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\Downloads\"/>
    </mc:Choice>
  </mc:AlternateContent>
  <xr:revisionPtr revIDLastSave="0" documentId="13_ncr:1_{334AF064-E0D6-4F99-80E4-94DBB76D957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elo " sheetId="1" r:id="rId1"/>
    <sheet name="Normality test 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4" i="1" l="1"/>
  <c r="F73" i="1"/>
  <c r="CB75" i="1"/>
  <c r="CH107" i="1"/>
  <c r="CH109" i="1"/>
  <c r="CH108" i="1"/>
  <c r="CH106" i="1"/>
  <c r="CH105" i="1"/>
  <c r="CH104" i="1"/>
  <c r="CH103" i="1"/>
  <c r="CH102" i="1"/>
  <c r="CH101" i="1"/>
  <c r="CH100" i="1"/>
  <c r="CH98" i="1"/>
  <c r="CH72" i="1"/>
  <c r="CH73" i="1" s="1"/>
  <c r="CH71" i="1"/>
  <c r="CH74" i="1" s="1"/>
  <c r="CH75" i="1" s="1"/>
  <c r="CH70" i="1"/>
  <c r="CH69" i="1"/>
  <c r="CF109" i="1"/>
  <c r="CF108" i="1"/>
  <c r="CF107" i="1"/>
  <c r="CF106" i="1"/>
  <c r="CF105" i="1"/>
  <c r="CF104" i="1"/>
  <c r="CF103" i="1"/>
  <c r="CF102" i="1"/>
  <c r="CF101" i="1"/>
  <c r="CF100" i="1"/>
  <c r="CF99" i="1"/>
  <c r="CF98" i="1"/>
  <c r="CF72" i="1"/>
  <c r="CF73" i="1" s="1"/>
  <c r="CF71" i="1"/>
  <c r="CF74" i="1" s="1"/>
  <c r="CF75" i="1" s="1"/>
  <c r="CF70" i="1"/>
  <c r="CF69" i="1"/>
  <c r="W80" i="1"/>
  <c r="Y80" i="1"/>
  <c r="AA80" i="1"/>
  <c r="AC80" i="1"/>
  <c r="AE80" i="1"/>
  <c r="AG80" i="1"/>
  <c r="AI80" i="1"/>
  <c r="AK80" i="1"/>
  <c r="AM80" i="1"/>
  <c r="AM89" i="1" s="1"/>
  <c r="AN108" i="1" s="1"/>
  <c r="AO80" i="1"/>
  <c r="AQ80" i="1"/>
  <c r="AS80" i="1"/>
  <c r="AU80" i="1"/>
  <c r="AW80" i="1"/>
  <c r="AY80" i="1"/>
  <c r="BA80" i="1"/>
  <c r="BC80" i="1"/>
  <c r="BE80" i="1"/>
  <c r="BG80" i="1"/>
  <c r="BI80" i="1"/>
  <c r="BK80" i="1"/>
  <c r="BM80" i="1"/>
  <c r="BO80" i="1"/>
  <c r="BQ80" i="1"/>
  <c r="BS80" i="1"/>
  <c r="BU80" i="1"/>
  <c r="BW80" i="1"/>
  <c r="BY80" i="1"/>
  <c r="CA80" i="1"/>
  <c r="CC80" i="1"/>
  <c r="W88" i="1"/>
  <c r="Y88" i="1"/>
  <c r="AA88" i="1"/>
  <c r="AC88" i="1"/>
  <c r="AE88" i="1"/>
  <c r="AG88" i="1"/>
  <c r="AI88" i="1"/>
  <c r="AK88" i="1"/>
  <c r="AM88" i="1"/>
  <c r="AO88" i="1"/>
  <c r="AQ88" i="1"/>
  <c r="AS88" i="1"/>
  <c r="AU88" i="1"/>
  <c r="AW88" i="1"/>
  <c r="AY88" i="1"/>
  <c r="BA88" i="1"/>
  <c r="BC88" i="1"/>
  <c r="BE88" i="1"/>
  <c r="BG88" i="1"/>
  <c r="BI88" i="1"/>
  <c r="BK88" i="1"/>
  <c r="BM88" i="1"/>
  <c r="BO88" i="1"/>
  <c r="BQ88" i="1"/>
  <c r="BS88" i="1"/>
  <c r="BU88" i="1"/>
  <c r="BW88" i="1"/>
  <c r="BY88" i="1"/>
  <c r="CA88" i="1"/>
  <c r="CC88" i="1"/>
  <c r="CD72" i="1"/>
  <c r="CD73" i="1" s="1"/>
  <c r="CD71" i="1"/>
  <c r="CD70" i="1"/>
  <c r="CD69" i="1"/>
  <c r="CB72" i="1"/>
  <c r="CB73" i="1" s="1"/>
  <c r="CB71" i="1"/>
  <c r="CB70" i="1"/>
  <c r="CB69" i="1"/>
  <c r="BZ72" i="1"/>
  <c r="BZ73" i="1" s="1"/>
  <c r="BZ71" i="1"/>
  <c r="BZ70" i="1"/>
  <c r="BZ69" i="1"/>
  <c r="BX72" i="1"/>
  <c r="BX73" i="1" s="1"/>
  <c r="BX71" i="1"/>
  <c r="BX70" i="1"/>
  <c r="BX69" i="1"/>
  <c r="BV72" i="1"/>
  <c r="BV73" i="1" s="1"/>
  <c r="BV71" i="1"/>
  <c r="BV70" i="1"/>
  <c r="BV69" i="1"/>
  <c r="BT72" i="1"/>
  <c r="BT73" i="1" s="1"/>
  <c r="BT71" i="1"/>
  <c r="BT70" i="1"/>
  <c r="BT69" i="1"/>
  <c r="BR72" i="1"/>
  <c r="BR73" i="1" s="1"/>
  <c r="BR71" i="1"/>
  <c r="BR70" i="1"/>
  <c r="BR69" i="1"/>
  <c r="BP72" i="1"/>
  <c r="BP73" i="1" s="1"/>
  <c r="BP71" i="1"/>
  <c r="BP70" i="1"/>
  <c r="BP69" i="1"/>
  <c r="BN72" i="1"/>
  <c r="BN73" i="1" s="1"/>
  <c r="BN71" i="1"/>
  <c r="BN70" i="1"/>
  <c r="BN69" i="1"/>
  <c r="BL72" i="1"/>
  <c r="BL73" i="1" s="1"/>
  <c r="BL71" i="1"/>
  <c r="BL70" i="1"/>
  <c r="BL69" i="1"/>
  <c r="BJ72" i="1"/>
  <c r="BJ73" i="1" s="1"/>
  <c r="BJ71" i="1"/>
  <c r="BJ70" i="1"/>
  <c r="BJ69" i="1"/>
  <c r="BH72" i="1"/>
  <c r="BH73" i="1" s="1"/>
  <c r="BH71" i="1"/>
  <c r="BH70" i="1"/>
  <c r="BH69" i="1"/>
  <c r="BF72" i="1"/>
  <c r="BF73" i="1" s="1"/>
  <c r="BF71" i="1"/>
  <c r="BF70" i="1"/>
  <c r="BF69" i="1"/>
  <c r="BD72" i="1"/>
  <c r="BD73" i="1" s="1"/>
  <c r="BD71" i="1"/>
  <c r="BD70" i="1"/>
  <c r="BD69" i="1"/>
  <c r="BB72" i="1"/>
  <c r="BB73" i="1" s="1"/>
  <c r="BB71" i="1"/>
  <c r="BB70" i="1"/>
  <c r="BB69" i="1"/>
  <c r="AZ72" i="1"/>
  <c r="AZ71" i="1"/>
  <c r="AZ70" i="1"/>
  <c r="AZ69" i="1"/>
  <c r="AX72" i="1"/>
  <c r="AX73" i="1" s="1"/>
  <c r="AX71" i="1"/>
  <c r="AX70" i="1"/>
  <c r="AX69" i="1"/>
  <c r="AV72" i="1"/>
  <c r="AV73" i="1" s="1"/>
  <c r="AV71" i="1"/>
  <c r="AV70" i="1"/>
  <c r="AV69" i="1"/>
  <c r="AT72" i="1"/>
  <c r="AT73" i="1" s="1"/>
  <c r="AT71" i="1"/>
  <c r="AT70" i="1"/>
  <c r="AT69" i="1"/>
  <c r="AR72" i="1"/>
  <c r="AR73" i="1" s="1"/>
  <c r="AR71" i="1"/>
  <c r="AR70" i="1"/>
  <c r="AR69" i="1"/>
  <c r="AP72" i="1"/>
  <c r="AP73" i="1" s="1"/>
  <c r="AP71" i="1"/>
  <c r="AP70" i="1"/>
  <c r="AP69" i="1"/>
  <c r="AN72" i="1"/>
  <c r="AN73" i="1" s="1"/>
  <c r="AN71" i="1"/>
  <c r="AN70" i="1"/>
  <c r="AN69" i="1"/>
  <c r="AL72" i="1"/>
  <c r="AL71" i="1"/>
  <c r="AL70" i="1"/>
  <c r="AL69" i="1"/>
  <c r="AJ72" i="1"/>
  <c r="AJ73" i="1" s="1"/>
  <c r="AJ71" i="1"/>
  <c r="AJ70" i="1"/>
  <c r="AJ69" i="1"/>
  <c r="AH72" i="1"/>
  <c r="AH73" i="1" s="1"/>
  <c r="AH71" i="1"/>
  <c r="AH70" i="1"/>
  <c r="AH69" i="1"/>
  <c r="AF72" i="1"/>
  <c r="AF73" i="1" s="1"/>
  <c r="AF71" i="1"/>
  <c r="AF70" i="1"/>
  <c r="AF69" i="1"/>
  <c r="AD72" i="1"/>
  <c r="AD73" i="1" s="1"/>
  <c r="AD71" i="1"/>
  <c r="AD70" i="1"/>
  <c r="AD69" i="1"/>
  <c r="AB72" i="1"/>
  <c r="AB73" i="1" s="1"/>
  <c r="AB71" i="1"/>
  <c r="AB70" i="1"/>
  <c r="AB69" i="1"/>
  <c r="Z72" i="1"/>
  <c r="Z73" i="1" s="1"/>
  <c r="Z71" i="1"/>
  <c r="Z70" i="1"/>
  <c r="Z69" i="1"/>
  <c r="AD1009" i="2"/>
  <c r="AD1008" i="2"/>
  <c r="AD1007" i="2"/>
  <c r="AD1006" i="2"/>
  <c r="AD1005" i="2"/>
  <c r="AD1004" i="2"/>
  <c r="AD1003" i="2"/>
  <c r="AD1002" i="2"/>
  <c r="AD1001" i="2"/>
  <c r="AD1000" i="2"/>
  <c r="AD999" i="2"/>
  <c r="AD998" i="2"/>
  <c r="AD997" i="2"/>
  <c r="AD996" i="2"/>
  <c r="AD995" i="2"/>
  <c r="AD994" i="2"/>
  <c r="AD993" i="2"/>
  <c r="AD992" i="2"/>
  <c r="AD991" i="2"/>
  <c r="AD990" i="2"/>
  <c r="AD989" i="2"/>
  <c r="AD988" i="2"/>
  <c r="AD987" i="2"/>
  <c r="AD986" i="2"/>
  <c r="AD985" i="2"/>
  <c r="AD984" i="2"/>
  <c r="AD983" i="2"/>
  <c r="AD982" i="2"/>
  <c r="AD981" i="2"/>
  <c r="AD980" i="2"/>
  <c r="AD979" i="2"/>
  <c r="AD978" i="2"/>
  <c r="AD977" i="2"/>
  <c r="AD976" i="2"/>
  <c r="AD975" i="2"/>
  <c r="AD974" i="2"/>
  <c r="AD973" i="2"/>
  <c r="AD972" i="2"/>
  <c r="AD971" i="2"/>
  <c r="AD970" i="2"/>
  <c r="AD969" i="2"/>
  <c r="AD968" i="2"/>
  <c r="AD967" i="2"/>
  <c r="AD966" i="2"/>
  <c r="AD965" i="2"/>
  <c r="AD964" i="2"/>
  <c r="AD963" i="2"/>
  <c r="AD962" i="2"/>
  <c r="AD961" i="2"/>
  <c r="AD960" i="2"/>
  <c r="AD959" i="2"/>
  <c r="AD958" i="2"/>
  <c r="AD957" i="2"/>
  <c r="AD956" i="2"/>
  <c r="AD955" i="2"/>
  <c r="AD954" i="2"/>
  <c r="AD953" i="2"/>
  <c r="AD952" i="2"/>
  <c r="AD951" i="2"/>
  <c r="AD950" i="2"/>
  <c r="AD949" i="2"/>
  <c r="AD948" i="2"/>
  <c r="AD947" i="2"/>
  <c r="AD946" i="2"/>
  <c r="AD945" i="2"/>
  <c r="AD944" i="2"/>
  <c r="AD943" i="2"/>
  <c r="AD942" i="2"/>
  <c r="AD941" i="2"/>
  <c r="AD940" i="2"/>
  <c r="AD939" i="2"/>
  <c r="AD938" i="2"/>
  <c r="AD937" i="2"/>
  <c r="AD936" i="2"/>
  <c r="AD935" i="2"/>
  <c r="AD934" i="2"/>
  <c r="AD933" i="2"/>
  <c r="AD932" i="2"/>
  <c r="AD931" i="2"/>
  <c r="AD930" i="2"/>
  <c r="AD929" i="2"/>
  <c r="AD928" i="2"/>
  <c r="AD927" i="2"/>
  <c r="AD926" i="2"/>
  <c r="AD925" i="2"/>
  <c r="AD924" i="2"/>
  <c r="AD923" i="2"/>
  <c r="AD922" i="2"/>
  <c r="AD921" i="2"/>
  <c r="AD920" i="2"/>
  <c r="AD919" i="2"/>
  <c r="AD918" i="2"/>
  <c r="AD917" i="2"/>
  <c r="AD916" i="2"/>
  <c r="AD915" i="2"/>
  <c r="AD914" i="2"/>
  <c r="AD913" i="2"/>
  <c r="AD912" i="2"/>
  <c r="AD911" i="2"/>
  <c r="AD910" i="2"/>
  <c r="AD909" i="2"/>
  <c r="AD908" i="2"/>
  <c r="AD907" i="2"/>
  <c r="AD906" i="2"/>
  <c r="AD905" i="2"/>
  <c r="AD904" i="2"/>
  <c r="AD903" i="2"/>
  <c r="AD902" i="2"/>
  <c r="AD901" i="2"/>
  <c r="AD900" i="2"/>
  <c r="AD899" i="2"/>
  <c r="AD898" i="2"/>
  <c r="AD897" i="2"/>
  <c r="AD896" i="2"/>
  <c r="AD895" i="2"/>
  <c r="AD894" i="2"/>
  <c r="AD893" i="2"/>
  <c r="AD892" i="2"/>
  <c r="AD891" i="2"/>
  <c r="AD890" i="2"/>
  <c r="AD889" i="2"/>
  <c r="AD888" i="2"/>
  <c r="AD887" i="2"/>
  <c r="AD886" i="2"/>
  <c r="AD885" i="2"/>
  <c r="AD884" i="2"/>
  <c r="AD883" i="2"/>
  <c r="AD882" i="2"/>
  <c r="AD881" i="2"/>
  <c r="AD880" i="2"/>
  <c r="AD879" i="2"/>
  <c r="AD878" i="2"/>
  <c r="AD877" i="2"/>
  <c r="AD876" i="2"/>
  <c r="AD875" i="2"/>
  <c r="AD874" i="2"/>
  <c r="AD873" i="2"/>
  <c r="AD872" i="2"/>
  <c r="AD871" i="2"/>
  <c r="AD870" i="2"/>
  <c r="AD869" i="2"/>
  <c r="AD868" i="2"/>
  <c r="AD867" i="2"/>
  <c r="AD866" i="2"/>
  <c r="AD865" i="2"/>
  <c r="AD864" i="2"/>
  <c r="AD863" i="2"/>
  <c r="AD862" i="2"/>
  <c r="AD861" i="2"/>
  <c r="AD860" i="2"/>
  <c r="AD859" i="2"/>
  <c r="AD858" i="2"/>
  <c r="AD857" i="2"/>
  <c r="AD856" i="2"/>
  <c r="AD855" i="2"/>
  <c r="AD854" i="2"/>
  <c r="AD853" i="2"/>
  <c r="AD852" i="2"/>
  <c r="AD851" i="2"/>
  <c r="AD850" i="2"/>
  <c r="AD849" i="2"/>
  <c r="AD848" i="2"/>
  <c r="AD847" i="2"/>
  <c r="AD846" i="2"/>
  <c r="AD845" i="2"/>
  <c r="AD844" i="2"/>
  <c r="AD843" i="2"/>
  <c r="AD842" i="2"/>
  <c r="AD841" i="2"/>
  <c r="AD840" i="2"/>
  <c r="AD839" i="2"/>
  <c r="AD838" i="2"/>
  <c r="AD837" i="2"/>
  <c r="AD836" i="2"/>
  <c r="AD835" i="2"/>
  <c r="AD834" i="2"/>
  <c r="AD833" i="2"/>
  <c r="AD832" i="2"/>
  <c r="AD831" i="2"/>
  <c r="AD830" i="2"/>
  <c r="AD829" i="2"/>
  <c r="AD828" i="2"/>
  <c r="AD827" i="2"/>
  <c r="AD826" i="2"/>
  <c r="AD825" i="2"/>
  <c r="AD824" i="2"/>
  <c r="AD823" i="2"/>
  <c r="AD822" i="2"/>
  <c r="AD821" i="2"/>
  <c r="AD820" i="2"/>
  <c r="AD819" i="2"/>
  <c r="AD818" i="2"/>
  <c r="AD817" i="2"/>
  <c r="AD816" i="2"/>
  <c r="AD815" i="2"/>
  <c r="AD814" i="2"/>
  <c r="AD813" i="2"/>
  <c r="AD812" i="2"/>
  <c r="AD811" i="2"/>
  <c r="AD810" i="2"/>
  <c r="AD809" i="2"/>
  <c r="AD808" i="2"/>
  <c r="AD807" i="2"/>
  <c r="AD806" i="2"/>
  <c r="AD805" i="2"/>
  <c r="AD804" i="2"/>
  <c r="AD803" i="2"/>
  <c r="AD802" i="2"/>
  <c r="AD801" i="2"/>
  <c r="AD800" i="2"/>
  <c r="AD799" i="2"/>
  <c r="AD798" i="2"/>
  <c r="AD797" i="2"/>
  <c r="AD796" i="2"/>
  <c r="AD795" i="2"/>
  <c r="AD794" i="2"/>
  <c r="AD793" i="2"/>
  <c r="AD792" i="2"/>
  <c r="AD791" i="2"/>
  <c r="AD790" i="2"/>
  <c r="AD789" i="2"/>
  <c r="AD788" i="2"/>
  <c r="AD787" i="2"/>
  <c r="AD786" i="2"/>
  <c r="AD785" i="2"/>
  <c r="AD784" i="2"/>
  <c r="AD783" i="2"/>
  <c r="AD782" i="2"/>
  <c r="AD781" i="2"/>
  <c r="AD780" i="2"/>
  <c r="AD779" i="2"/>
  <c r="AD778" i="2"/>
  <c r="AD777" i="2"/>
  <c r="AD776" i="2"/>
  <c r="AD775" i="2"/>
  <c r="AD774" i="2"/>
  <c r="AD773" i="2"/>
  <c r="AD772" i="2"/>
  <c r="AD771" i="2"/>
  <c r="AD770" i="2"/>
  <c r="AD769" i="2"/>
  <c r="AD768" i="2"/>
  <c r="AD767" i="2"/>
  <c r="AD766" i="2"/>
  <c r="AD765" i="2"/>
  <c r="AD764" i="2"/>
  <c r="AD763" i="2"/>
  <c r="AD762" i="2"/>
  <c r="AD761" i="2"/>
  <c r="AD760" i="2"/>
  <c r="AD759" i="2"/>
  <c r="AD758" i="2"/>
  <c r="AD757" i="2"/>
  <c r="AD756" i="2"/>
  <c r="AD755" i="2"/>
  <c r="AD754" i="2"/>
  <c r="AD753" i="2"/>
  <c r="AD752" i="2"/>
  <c r="AD751" i="2"/>
  <c r="AD750" i="2"/>
  <c r="AD749" i="2"/>
  <c r="AD748" i="2"/>
  <c r="AD747" i="2"/>
  <c r="AD746" i="2"/>
  <c r="AD745" i="2"/>
  <c r="AD744" i="2"/>
  <c r="AD743" i="2"/>
  <c r="AD742" i="2"/>
  <c r="AD741" i="2"/>
  <c r="AD740" i="2"/>
  <c r="AD739" i="2"/>
  <c r="AD738" i="2"/>
  <c r="AD737" i="2"/>
  <c r="AD736" i="2"/>
  <c r="AD735" i="2"/>
  <c r="AD734" i="2"/>
  <c r="AD733" i="2"/>
  <c r="AD732" i="2"/>
  <c r="AD731" i="2"/>
  <c r="AD730" i="2"/>
  <c r="AD729" i="2"/>
  <c r="AD728" i="2"/>
  <c r="AD727" i="2"/>
  <c r="AD726" i="2"/>
  <c r="AD725" i="2"/>
  <c r="AD724" i="2"/>
  <c r="AD723" i="2"/>
  <c r="AD722" i="2"/>
  <c r="AD721" i="2"/>
  <c r="AD720" i="2"/>
  <c r="AD719" i="2"/>
  <c r="AD718" i="2"/>
  <c r="AD717" i="2"/>
  <c r="AD716" i="2"/>
  <c r="AD715" i="2"/>
  <c r="AD714" i="2"/>
  <c r="AD713" i="2"/>
  <c r="AD712" i="2"/>
  <c r="AD711" i="2"/>
  <c r="AD710" i="2"/>
  <c r="AD709" i="2"/>
  <c r="AD708" i="2"/>
  <c r="AD707" i="2"/>
  <c r="AD706" i="2"/>
  <c r="AD705" i="2"/>
  <c r="AD704" i="2"/>
  <c r="AD703" i="2"/>
  <c r="AD702" i="2"/>
  <c r="AD701" i="2"/>
  <c r="AD700" i="2"/>
  <c r="AD699" i="2"/>
  <c r="AD698" i="2"/>
  <c r="AD697" i="2"/>
  <c r="AD696" i="2"/>
  <c r="AD695" i="2"/>
  <c r="AD694" i="2"/>
  <c r="AD693" i="2"/>
  <c r="AD692" i="2"/>
  <c r="AD691" i="2"/>
  <c r="AD690" i="2"/>
  <c r="AD689" i="2"/>
  <c r="AD688" i="2"/>
  <c r="AD687" i="2"/>
  <c r="AD686" i="2"/>
  <c r="AD685" i="2"/>
  <c r="AD684" i="2"/>
  <c r="AD683" i="2"/>
  <c r="AD682" i="2"/>
  <c r="AD681" i="2"/>
  <c r="AD680" i="2"/>
  <c r="AD679" i="2"/>
  <c r="AD678" i="2"/>
  <c r="AD677" i="2"/>
  <c r="AD676" i="2"/>
  <c r="AD675" i="2"/>
  <c r="AD674" i="2"/>
  <c r="AD673" i="2"/>
  <c r="AD672" i="2"/>
  <c r="AD671" i="2"/>
  <c r="AD670" i="2"/>
  <c r="AD669" i="2"/>
  <c r="AD668" i="2"/>
  <c r="AD667" i="2"/>
  <c r="AD666" i="2"/>
  <c r="AD665" i="2"/>
  <c r="AD664" i="2"/>
  <c r="AD663" i="2"/>
  <c r="AD662" i="2"/>
  <c r="AD661" i="2"/>
  <c r="AD660" i="2"/>
  <c r="AD659" i="2"/>
  <c r="AD658" i="2"/>
  <c r="AD657" i="2"/>
  <c r="AD656" i="2"/>
  <c r="AD655" i="2"/>
  <c r="AD654" i="2"/>
  <c r="AD653" i="2"/>
  <c r="AD652" i="2"/>
  <c r="AD651" i="2"/>
  <c r="AD650" i="2"/>
  <c r="AD649" i="2"/>
  <c r="AD648" i="2"/>
  <c r="AD647" i="2"/>
  <c r="AD646" i="2"/>
  <c r="AD645" i="2"/>
  <c r="AD644" i="2"/>
  <c r="AD643" i="2"/>
  <c r="AD642" i="2"/>
  <c r="AD641" i="2"/>
  <c r="AD640" i="2"/>
  <c r="AD639" i="2"/>
  <c r="AD638" i="2"/>
  <c r="AD637" i="2"/>
  <c r="AD636" i="2"/>
  <c r="AD635" i="2"/>
  <c r="AD634" i="2"/>
  <c r="AD633" i="2"/>
  <c r="AD632" i="2"/>
  <c r="AD631" i="2"/>
  <c r="AD630" i="2"/>
  <c r="AD629" i="2"/>
  <c r="AD628" i="2"/>
  <c r="AD627" i="2"/>
  <c r="AD626" i="2"/>
  <c r="AD625" i="2"/>
  <c r="AD624" i="2"/>
  <c r="AD623" i="2"/>
  <c r="AD622" i="2"/>
  <c r="AD621" i="2"/>
  <c r="AD620" i="2"/>
  <c r="AD619" i="2"/>
  <c r="AD618" i="2"/>
  <c r="AD617" i="2"/>
  <c r="AD616" i="2"/>
  <c r="AD615" i="2"/>
  <c r="AD614" i="2"/>
  <c r="AD613" i="2"/>
  <c r="AD612" i="2"/>
  <c r="AD611" i="2"/>
  <c r="AD610" i="2"/>
  <c r="AD609" i="2"/>
  <c r="AD608" i="2"/>
  <c r="AD607" i="2"/>
  <c r="AD606" i="2"/>
  <c r="AD605" i="2"/>
  <c r="AD604" i="2"/>
  <c r="AD603" i="2"/>
  <c r="AD602" i="2"/>
  <c r="AD601" i="2"/>
  <c r="AD600" i="2"/>
  <c r="AD599" i="2"/>
  <c r="AD598" i="2"/>
  <c r="AD597" i="2"/>
  <c r="AD596" i="2"/>
  <c r="AD595" i="2"/>
  <c r="AD594" i="2"/>
  <c r="AD593" i="2"/>
  <c r="AD592" i="2"/>
  <c r="AD591" i="2"/>
  <c r="AD590" i="2"/>
  <c r="AD589" i="2"/>
  <c r="AD588" i="2"/>
  <c r="AD587" i="2"/>
  <c r="AD586" i="2"/>
  <c r="AD585" i="2"/>
  <c r="AD584" i="2"/>
  <c r="AD583" i="2"/>
  <c r="AD582" i="2"/>
  <c r="AD581" i="2"/>
  <c r="AD580" i="2"/>
  <c r="AD579" i="2"/>
  <c r="AD578" i="2"/>
  <c r="AD577" i="2"/>
  <c r="AD576" i="2"/>
  <c r="AD575" i="2"/>
  <c r="AD574" i="2"/>
  <c r="AD573" i="2"/>
  <c r="AD572" i="2"/>
  <c r="AD571" i="2"/>
  <c r="AD570" i="2"/>
  <c r="AD569" i="2"/>
  <c r="AD568" i="2"/>
  <c r="AD567" i="2"/>
  <c r="AD566" i="2"/>
  <c r="AD565" i="2"/>
  <c r="AD564" i="2"/>
  <c r="AD563" i="2"/>
  <c r="AD562" i="2"/>
  <c r="AD561" i="2"/>
  <c r="AD560" i="2"/>
  <c r="AD559" i="2"/>
  <c r="AD558" i="2"/>
  <c r="AD557" i="2"/>
  <c r="AD556" i="2"/>
  <c r="AD555" i="2"/>
  <c r="AD554" i="2"/>
  <c r="AD553" i="2"/>
  <c r="AD552" i="2"/>
  <c r="AD551" i="2"/>
  <c r="AD550" i="2"/>
  <c r="AD549" i="2"/>
  <c r="AD548" i="2"/>
  <c r="AD547" i="2"/>
  <c r="AD546" i="2"/>
  <c r="AD545" i="2"/>
  <c r="AD544" i="2"/>
  <c r="AD543" i="2"/>
  <c r="AD542" i="2"/>
  <c r="AD541" i="2"/>
  <c r="AD540" i="2"/>
  <c r="AD539" i="2"/>
  <c r="AD538" i="2"/>
  <c r="AD537" i="2"/>
  <c r="AD536" i="2"/>
  <c r="AD535" i="2"/>
  <c r="AD534" i="2"/>
  <c r="AD533" i="2"/>
  <c r="AD532" i="2"/>
  <c r="AD531" i="2"/>
  <c r="AD530" i="2"/>
  <c r="AD529" i="2"/>
  <c r="AD528" i="2"/>
  <c r="AD527" i="2"/>
  <c r="AD526" i="2"/>
  <c r="AD525" i="2"/>
  <c r="AD524" i="2"/>
  <c r="AD523" i="2"/>
  <c r="AD522" i="2"/>
  <c r="AD521" i="2"/>
  <c r="AD520" i="2"/>
  <c r="AD519" i="2"/>
  <c r="AD518" i="2"/>
  <c r="AD517" i="2"/>
  <c r="AD516" i="2"/>
  <c r="AD515" i="2"/>
  <c r="AD514" i="2"/>
  <c r="AD513" i="2"/>
  <c r="AD512" i="2"/>
  <c r="AD511" i="2"/>
  <c r="AD510" i="2"/>
  <c r="AD509" i="2"/>
  <c r="AD508" i="2"/>
  <c r="AD507" i="2"/>
  <c r="AD506" i="2"/>
  <c r="AD505" i="2"/>
  <c r="AD504" i="2"/>
  <c r="AD503" i="2"/>
  <c r="AD502" i="2"/>
  <c r="AD501" i="2"/>
  <c r="AD500" i="2"/>
  <c r="AD499" i="2"/>
  <c r="AD498" i="2"/>
  <c r="AD497" i="2"/>
  <c r="AD496" i="2"/>
  <c r="AD495" i="2"/>
  <c r="AD494" i="2"/>
  <c r="AD493" i="2"/>
  <c r="AD492" i="2"/>
  <c r="AD491" i="2"/>
  <c r="AD490" i="2"/>
  <c r="AD489" i="2"/>
  <c r="AD488" i="2"/>
  <c r="AD487" i="2"/>
  <c r="AD486" i="2"/>
  <c r="AD485" i="2"/>
  <c r="AD484" i="2"/>
  <c r="AD483" i="2"/>
  <c r="AD482" i="2"/>
  <c r="AD481" i="2"/>
  <c r="AD480" i="2"/>
  <c r="AD479" i="2"/>
  <c r="AD478" i="2"/>
  <c r="AD477" i="2"/>
  <c r="AD476" i="2"/>
  <c r="AD475" i="2"/>
  <c r="AD474" i="2"/>
  <c r="AD473" i="2"/>
  <c r="AD472" i="2"/>
  <c r="AD471" i="2"/>
  <c r="AD470" i="2"/>
  <c r="AD469" i="2"/>
  <c r="AD468" i="2"/>
  <c r="AD467" i="2"/>
  <c r="AD466" i="2"/>
  <c r="AD465" i="2"/>
  <c r="AD464" i="2"/>
  <c r="AD463" i="2"/>
  <c r="AD462" i="2"/>
  <c r="AD461" i="2"/>
  <c r="AD460" i="2"/>
  <c r="AD459" i="2"/>
  <c r="AD458" i="2"/>
  <c r="AD457" i="2"/>
  <c r="AD456" i="2"/>
  <c r="AD455" i="2"/>
  <c r="AD454" i="2"/>
  <c r="AD453" i="2"/>
  <c r="AD452" i="2"/>
  <c r="AD451" i="2"/>
  <c r="AD450" i="2"/>
  <c r="AD449" i="2"/>
  <c r="AD448" i="2"/>
  <c r="AD447" i="2"/>
  <c r="AD446" i="2"/>
  <c r="AD445" i="2"/>
  <c r="AD444" i="2"/>
  <c r="AD443" i="2"/>
  <c r="AD442" i="2"/>
  <c r="AD441" i="2"/>
  <c r="AD440" i="2"/>
  <c r="AD439" i="2"/>
  <c r="AD438" i="2"/>
  <c r="AD437" i="2"/>
  <c r="AD436" i="2"/>
  <c r="AD435" i="2"/>
  <c r="AD434" i="2"/>
  <c r="AD433" i="2"/>
  <c r="AD432" i="2"/>
  <c r="AD431" i="2"/>
  <c r="AD430" i="2"/>
  <c r="AD429" i="2"/>
  <c r="AD428" i="2"/>
  <c r="AD427" i="2"/>
  <c r="AD426" i="2"/>
  <c r="AD425" i="2"/>
  <c r="AD424" i="2"/>
  <c r="AD423" i="2"/>
  <c r="AD422" i="2"/>
  <c r="AD421" i="2"/>
  <c r="AD420" i="2"/>
  <c r="AD419" i="2"/>
  <c r="AD418" i="2"/>
  <c r="AD417" i="2"/>
  <c r="AD416" i="2"/>
  <c r="AD415" i="2"/>
  <c r="AD414" i="2"/>
  <c r="AD413" i="2"/>
  <c r="AD412" i="2"/>
  <c r="AD411" i="2"/>
  <c r="AD410" i="2"/>
  <c r="AD409" i="2"/>
  <c r="AD408" i="2"/>
  <c r="AD407" i="2"/>
  <c r="AD406" i="2"/>
  <c r="AD405" i="2"/>
  <c r="AD404" i="2"/>
  <c r="AD403" i="2"/>
  <c r="AD402" i="2"/>
  <c r="AD401" i="2"/>
  <c r="AD400" i="2"/>
  <c r="AD399" i="2"/>
  <c r="AD398" i="2"/>
  <c r="AD397" i="2"/>
  <c r="AD396" i="2"/>
  <c r="AD395" i="2"/>
  <c r="AD394" i="2"/>
  <c r="AD393" i="2"/>
  <c r="AD392" i="2"/>
  <c r="AD391" i="2"/>
  <c r="AD390" i="2"/>
  <c r="AD389" i="2"/>
  <c r="AD388" i="2"/>
  <c r="AD387" i="2"/>
  <c r="AD386" i="2"/>
  <c r="AD385" i="2"/>
  <c r="AD384" i="2"/>
  <c r="AD383" i="2"/>
  <c r="AD382" i="2"/>
  <c r="AD381" i="2"/>
  <c r="AD380" i="2"/>
  <c r="AD379" i="2"/>
  <c r="AD378" i="2"/>
  <c r="AD377" i="2"/>
  <c r="AD376" i="2"/>
  <c r="AD375" i="2"/>
  <c r="AD374" i="2"/>
  <c r="AD373" i="2"/>
  <c r="AD372" i="2"/>
  <c r="AD371" i="2"/>
  <c r="AD370" i="2"/>
  <c r="AD369" i="2"/>
  <c r="AD368" i="2"/>
  <c r="AD367" i="2"/>
  <c r="AD366" i="2"/>
  <c r="AD365" i="2"/>
  <c r="AD364" i="2"/>
  <c r="AD363" i="2"/>
  <c r="AD362" i="2"/>
  <c r="AD361" i="2"/>
  <c r="AD360" i="2"/>
  <c r="AD359" i="2"/>
  <c r="AD358" i="2"/>
  <c r="AD357" i="2"/>
  <c r="AD356" i="2"/>
  <c r="AD355" i="2"/>
  <c r="AD354" i="2"/>
  <c r="AD353" i="2"/>
  <c r="AD352" i="2"/>
  <c r="AD351" i="2"/>
  <c r="AD350" i="2"/>
  <c r="AD349" i="2"/>
  <c r="AD348" i="2"/>
  <c r="AD347" i="2"/>
  <c r="AD346" i="2"/>
  <c r="AD345" i="2"/>
  <c r="AD344" i="2"/>
  <c r="AD343" i="2"/>
  <c r="AD342" i="2"/>
  <c r="AD341" i="2"/>
  <c r="AD340" i="2"/>
  <c r="AD339" i="2"/>
  <c r="AD338" i="2"/>
  <c r="AD337" i="2"/>
  <c r="AD336" i="2"/>
  <c r="AD335" i="2"/>
  <c r="AD334" i="2"/>
  <c r="AD333" i="2"/>
  <c r="AD332" i="2"/>
  <c r="AD331" i="2"/>
  <c r="AD330" i="2"/>
  <c r="AD329" i="2"/>
  <c r="AD328" i="2"/>
  <c r="AD327" i="2"/>
  <c r="AD326" i="2"/>
  <c r="AD325" i="2"/>
  <c r="AD324" i="2"/>
  <c r="AD323" i="2"/>
  <c r="AD322" i="2"/>
  <c r="AD321" i="2"/>
  <c r="AD320" i="2"/>
  <c r="AD319" i="2"/>
  <c r="AD318" i="2"/>
  <c r="AD317" i="2"/>
  <c r="AD316" i="2"/>
  <c r="AD315" i="2"/>
  <c r="AD314" i="2"/>
  <c r="AD313" i="2"/>
  <c r="AD312" i="2"/>
  <c r="AD311" i="2"/>
  <c r="AD310" i="2"/>
  <c r="AD309" i="2"/>
  <c r="AD308" i="2"/>
  <c r="AD307" i="2"/>
  <c r="AD306" i="2"/>
  <c r="AD305" i="2"/>
  <c r="AD304" i="2"/>
  <c r="AD303" i="2"/>
  <c r="AD302" i="2"/>
  <c r="AD301" i="2"/>
  <c r="AD300" i="2"/>
  <c r="AD299" i="2"/>
  <c r="AD298" i="2"/>
  <c r="AD297" i="2"/>
  <c r="AD296" i="2"/>
  <c r="AD295" i="2"/>
  <c r="AD294" i="2"/>
  <c r="AD293" i="2"/>
  <c r="AD292" i="2"/>
  <c r="AD291" i="2"/>
  <c r="AD290" i="2"/>
  <c r="AD289" i="2"/>
  <c r="AD288" i="2"/>
  <c r="AD287" i="2"/>
  <c r="AD286" i="2"/>
  <c r="AD285" i="2"/>
  <c r="AD284" i="2"/>
  <c r="AD283" i="2"/>
  <c r="AD282" i="2"/>
  <c r="AD281" i="2"/>
  <c r="AD280" i="2"/>
  <c r="AD279" i="2"/>
  <c r="AD278" i="2"/>
  <c r="AD277" i="2"/>
  <c r="AD276" i="2"/>
  <c r="AD275" i="2"/>
  <c r="AD274" i="2"/>
  <c r="AD273" i="2"/>
  <c r="AD272" i="2"/>
  <c r="AD271" i="2"/>
  <c r="AD270" i="2"/>
  <c r="AD269" i="2"/>
  <c r="AD268" i="2"/>
  <c r="AD267" i="2"/>
  <c r="AD266" i="2"/>
  <c r="AD265" i="2"/>
  <c r="AD264" i="2"/>
  <c r="AD263" i="2"/>
  <c r="AD262" i="2"/>
  <c r="AD261" i="2"/>
  <c r="AD260" i="2"/>
  <c r="AD259" i="2"/>
  <c r="AD258" i="2"/>
  <c r="AD257" i="2"/>
  <c r="AD256" i="2"/>
  <c r="AD255" i="2"/>
  <c r="AD254" i="2"/>
  <c r="AD253" i="2"/>
  <c r="AD252" i="2"/>
  <c r="AD251" i="2"/>
  <c r="AD250" i="2"/>
  <c r="AD249" i="2"/>
  <c r="AD248" i="2"/>
  <c r="AD247" i="2"/>
  <c r="AD246" i="2"/>
  <c r="AD245" i="2"/>
  <c r="AD244" i="2"/>
  <c r="AD243" i="2"/>
  <c r="AD242" i="2"/>
  <c r="AD241" i="2"/>
  <c r="AD240" i="2"/>
  <c r="AD239" i="2"/>
  <c r="AD238" i="2"/>
  <c r="AD237" i="2"/>
  <c r="AD236" i="2"/>
  <c r="AD235" i="2"/>
  <c r="AD234" i="2"/>
  <c r="AD233" i="2"/>
  <c r="AD232" i="2"/>
  <c r="AD231" i="2"/>
  <c r="AD230" i="2"/>
  <c r="AD229" i="2"/>
  <c r="AD228" i="2"/>
  <c r="AD227" i="2"/>
  <c r="AD226" i="2"/>
  <c r="AD225" i="2"/>
  <c r="AD224" i="2"/>
  <c r="AD223" i="2"/>
  <c r="AD222" i="2"/>
  <c r="AD221" i="2"/>
  <c r="AD220" i="2"/>
  <c r="AD219" i="2"/>
  <c r="AD218" i="2"/>
  <c r="AD217" i="2"/>
  <c r="AD216" i="2"/>
  <c r="AD215" i="2"/>
  <c r="AD214" i="2"/>
  <c r="AD213" i="2"/>
  <c r="AD212" i="2"/>
  <c r="AD211" i="2"/>
  <c r="AD210" i="2"/>
  <c r="AD209" i="2"/>
  <c r="AD208" i="2"/>
  <c r="AD207" i="2"/>
  <c r="AD206" i="2"/>
  <c r="AD205" i="2"/>
  <c r="AD204" i="2"/>
  <c r="AD203" i="2"/>
  <c r="AD202" i="2"/>
  <c r="AD201" i="2"/>
  <c r="AD200" i="2"/>
  <c r="AD199" i="2"/>
  <c r="AD198" i="2"/>
  <c r="AD197" i="2"/>
  <c r="AD196" i="2"/>
  <c r="AD195" i="2"/>
  <c r="AD194" i="2"/>
  <c r="AD193" i="2"/>
  <c r="AD192" i="2"/>
  <c r="AD191" i="2"/>
  <c r="AD190" i="2"/>
  <c r="AD189" i="2"/>
  <c r="AD188" i="2"/>
  <c r="AD187" i="2"/>
  <c r="AD186" i="2"/>
  <c r="AD185" i="2"/>
  <c r="AD184" i="2"/>
  <c r="AD183" i="2"/>
  <c r="AD182" i="2"/>
  <c r="AD181" i="2"/>
  <c r="AD180" i="2"/>
  <c r="AD179" i="2"/>
  <c r="AD178" i="2"/>
  <c r="AD177" i="2"/>
  <c r="AD176" i="2"/>
  <c r="AD175" i="2"/>
  <c r="AD174" i="2"/>
  <c r="AD173" i="2"/>
  <c r="AD172" i="2"/>
  <c r="AD171" i="2"/>
  <c r="AD170" i="2"/>
  <c r="AD169" i="2"/>
  <c r="AD168" i="2"/>
  <c r="AD167" i="2"/>
  <c r="AD166" i="2"/>
  <c r="AD165" i="2"/>
  <c r="AD164" i="2"/>
  <c r="AD163" i="2"/>
  <c r="AD162" i="2"/>
  <c r="AD161" i="2"/>
  <c r="AD160" i="2"/>
  <c r="AD159" i="2"/>
  <c r="AD158" i="2"/>
  <c r="AD157" i="2"/>
  <c r="AD156" i="2"/>
  <c r="AD155" i="2"/>
  <c r="AD154" i="2"/>
  <c r="AD153" i="2"/>
  <c r="AD152" i="2"/>
  <c r="AD151" i="2"/>
  <c r="AD150" i="2"/>
  <c r="AD149" i="2"/>
  <c r="AD148" i="2"/>
  <c r="AD147" i="2"/>
  <c r="AD146" i="2"/>
  <c r="AD145" i="2"/>
  <c r="AD144" i="2"/>
  <c r="AD143" i="2"/>
  <c r="AD142" i="2"/>
  <c r="AD141" i="2"/>
  <c r="AD140" i="2"/>
  <c r="AD139" i="2"/>
  <c r="AD138" i="2"/>
  <c r="AD137" i="2"/>
  <c r="AD136" i="2"/>
  <c r="AD135" i="2"/>
  <c r="AD134" i="2"/>
  <c r="AD133" i="2"/>
  <c r="AD132" i="2"/>
  <c r="AD131" i="2"/>
  <c r="AD130" i="2"/>
  <c r="AD129" i="2"/>
  <c r="AD128" i="2"/>
  <c r="AD127" i="2"/>
  <c r="AD126" i="2"/>
  <c r="AD125" i="2"/>
  <c r="AD124" i="2"/>
  <c r="AD123" i="2"/>
  <c r="AD122" i="2"/>
  <c r="AD121" i="2"/>
  <c r="AD120" i="2"/>
  <c r="AD119" i="2"/>
  <c r="AD118" i="2"/>
  <c r="AD117" i="2"/>
  <c r="AD116" i="2"/>
  <c r="AD115" i="2"/>
  <c r="AD114" i="2"/>
  <c r="AD113" i="2"/>
  <c r="AD112" i="2"/>
  <c r="AD111" i="2"/>
  <c r="AD110" i="2"/>
  <c r="AD109" i="2"/>
  <c r="AD108" i="2"/>
  <c r="AD107" i="2"/>
  <c r="AD106" i="2"/>
  <c r="AD105" i="2"/>
  <c r="AD104" i="2"/>
  <c r="AD103" i="2"/>
  <c r="AD102" i="2"/>
  <c r="AD101" i="2"/>
  <c r="AD100" i="2"/>
  <c r="AD99" i="2"/>
  <c r="AD98" i="2"/>
  <c r="AD97" i="2"/>
  <c r="AD96" i="2"/>
  <c r="AD95" i="2"/>
  <c r="AD94" i="2"/>
  <c r="AD93" i="2"/>
  <c r="AD92" i="2"/>
  <c r="AD91" i="2"/>
  <c r="AD90" i="2"/>
  <c r="AD89" i="2"/>
  <c r="AD88" i="2"/>
  <c r="AD87" i="2"/>
  <c r="AD86" i="2"/>
  <c r="AD85" i="2"/>
  <c r="AD84" i="2"/>
  <c r="AD83" i="2"/>
  <c r="AD82" i="2"/>
  <c r="AD81" i="2"/>
  <c r="AD80" i="2"/>
  <c r="AD79" i="2"/>
  <c r="AD78" i="2"/>
  <c r="AD77" i="2"/>
  <c r="AD76" i="2"/>
  <c r="AD75" i="2"/>
  <c r="AD74" i="2"/>
  <c r="AD73" i="2"/>
  <c r="AD72" i="2"/>
  <c r="AD71" i="2"/>
  <c r="AD70" i="2"/>
  <c r="AD69" i="2"/>
  <c r="AD68" i="2"/>
  <c r="AD67" i="2"/>
  <c r="AD66" i="2"/>
  <c r="AD65" i="2"/>
  <c r="AD64" i="2"/>
  <c r="AD63" i="2"/>
  <c r="AD62" i="2"/>
  <c r="AD61" i="2"/>
  <c r="AD60" i="2"/>
  <c r="AD59" i="2"/>
  <c r="AD58" i="2"/>
  <c r="AD57" i="2"/>
  <c r="AD56" i="2"/>
  <c r="AD55" i="2"/>
  <c r="AD54" i="2"/>
  <c r="AD53" i="2"/>
  <c r="AD52" i="2"/>
  <c r="AD51" i="2"/>
  <c r="AD50" i="2"/>
  <c r="AD49" i="2"/>
  <c r="AD48" i="2"/>
  <c r="AD47" i="2"/>
  <c r="AD46" i="2"/>
  <c r="AD45" i="2"/>
  <c r="AD44" i="2"/>
  <c r="AD43" i="2"/>
  <c r="AD42" i="2"/>
  <c r="AD41" i="2"/>
  <c r="AD40" i="2"/>
  <c r="AD39" i="2"/>
  <c r="AD38" i="2"/>
  <c r="AD37" i="2"/>
  <c r="AD36" i="2"/>
  <c r="AD35" i="2"/>
  <c r="AD34" i="2"/>
  <c r="AD33" i="2"/>
  <c r="AD32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2" i="2"/>
  <c r="AD11" i="2"/>
  <c r="AD10" i="2"/>
  <c r="AE6" i="2"/>
  <c r="AA452" i="2" s="1"/>
  <c r="B6" i="2"/>
  <c r="B5" i="2"/>
  <c r="U88" i="1"/>
  <c r="S88" i="1"/>
  <c r="Q88" i="1"/>
  <c r="O88" i="1"/>
  <c r="M88" i="1"/>
  <c r="K88" i="1"/>
  <c r="I88" i="1"/>
  <c r="G88" i="1"/>
  <c r="E88" i="1"/>
  <c r="U80" i="1"/>
  <c r="S80" i="1"/>
  <c r="Q80" i="1"/>
  <c r="O80" i="1"/>
  <c r="M80" i="1"/>
  <c r="K80" i="1"/>
  <c r="I80" i="1"/>
  <c r="I78" i="1" s="1"/>
  <c r="G80" i="1"/>
  <c r="E80" i="1"/>
  <c r="X72" i="1"/>
  <c r="X73" i="1" s="1"/>
  <c r="V72" i="1"/>
  <c r="T72" i="1"/>
  <c r="T73" i="1" s="1"/>
  <c r="R72" i="1"/>
  <c r="R73" i="1" s="1"/>
  <c r="P72" i="1"/>
  <c r="P73" i="1" s="1"/>
  <c r="N72" i="1"/>
  <c r="N73" i="1" s="1"/>
  <c r="L72" i="1"/>
  <c r="L73" i="1" s="1"/>
  <c r="J72" i="1"/>
  <c r="H72" i="1"/>
  <c r="H73" i="1" s="1"/>
  <c r="F72" i="1"/>
  <c r="X71" i="1"/>
  <c r="V71" i="1"/>
  <c r="T71" i="1"/>
  <c r="R71" i="1"/>
  <c r="P71" i="1"/>
  <c r="N71" i="1"/>
  <c r="L71" i="1"/>
  <c r="J71" i="1"/>
  <c r="H71" i="1"/>
  <c r="F71" i="1"/>
  <c r="X70" i="1"/>
  <c r="V70" i="1"/>
  <c r="T70" i="1"/>
  <c r="R70" i="1"/>
  <c r="P70" i="1"/>
  <c r="N70" i="1"/>
  <c r="L70" i="1"/>
  <c r="J70" i="1"/>
  <c r="H70" i="1"/>
  <c r="F70" i="1"/>
  <c r="X69" i="1"/>
  <c r="V69" i="1"/>
  <c r="T69" i="1"/>
  <c r="R69" i="1"/>
  <c r="P69" i="1"/>
  <c r="N69" i="1"/>
  <c r="L69" i="1"/>
  <c r="J69" i="1"/>
  <c r="H69" i="1"/>
  <c r="F69" i="1"/>
  <c r="BW82" i="1" l="1"/>
  <c r="BU82" i="1"/>
  <c r="BE90" i="1"/>
  <c r="BQ90" i="1"/>
  <c r="BQ87" i="1"/>
  <c r="BR107" i="1" s="1"/>
  <c r="BA82" i="1"/>
  <c r="AK89" i="1"/>
  <c r="AL108" i="1" s="1"/>
  <c r="CH99" i="1"/>
  <c r="CH110" i="1" s="1"/>
  <c r="CH111" i="1" s="1"/>
  <c r="CH112" i="1" s="1"/>
  <c r="AB74" i="1"/>
  <c r="AB75" i="1" s="1"/>
  <c r="AF74" i="1"/>
  <c r="AF75" i="1" s="1"/>
  <c r="AN74" i="1"/>
  <c r="AN75" i="1" s="1"/>
  <c r="AV74" i="1"/>
  <c r="AV75" i="1" s="1"/>
  <c r="BD74" i="1"/>
  <c r="BD75" i="1" s="1"/>
  <c r="BH74" i="1"/>
  <c r="BH75" i="1" s="1"/>
  <c r="BX74" i="1"/>
  <c r="BX75" i="1" s="1"/>
  <c r="CF110" i="1"/>
  <c r="CF111" i="1" s="1"/>
  <c r="CF112" i="1" s="1"/>
  <c r="CB74" i="1"/>
  <c r="BS86" i="1"/>
  <c r="BS82" i="1"/>
  <c r="BS84" i="1"/>
  <c r="AA83" i="1"/>
  <c r="AA87" i="1"/>
  <c r="AB107" i="1" s="1"/>
  <c r="CC84" i="1"/>
  <c r="BY79" i="1"/>
  <c r="BZ99" i="1" s="1"/>
  <c r="BU86" i="1"/>
  <c r="BI81" i="1"/>
  <c r="BJ100" i="1" s="1"/>
  <c r="BA79" i="1"/>
  <c r="BB99" i="1" s="1"/>
  <c r="AS89" i="1"/>
  <c r="AT108" i="1" s="1"/>
  <c r="AC87" i="1"/>
  <c r="AD107" i="1" s="1"/>
  <c r="AA81" i="1"/>
  <c r="AB100" i="1" s="1"/>
  <c r="Y90" i="1"/>
  <c r="W84" i="1"/>
  <c r="AR74" i="1"/>
  <c r="AR75" i="1" s="1"/>
  <c r="AJ74" i="1"/>
  <c r="AJ75" i="1" s="1"/>
  <c r="AK87" i="1"/>
  <c r="BA90" i="1"/>
  <c r="AK90" i="1"/>
  <c r="AA85" i="1"/>
  <c r="BQ81" i="1"/>
  <c r="BR100" i="1" s="1"/>
  <c r="BY89" i="1"/>
  <c r="BZ108" i="1" s="1"/>
  <c r="BG89" i="1"/>
  <c r="BH108" i="1" s="1"/>
  <c r="BO87" i="1"/>
  <c r="BP107" i="1" s="1"/>
  <c r="AS79" i="1"/>
  <c r="BI89" i="1"/>
  <c r="BJ108" i="1" s="1"/>
  <c r="BU90" i="1"/>
  <c r="BE84" i="1"/>
  <c r="CC78" i="1"/>
  <c r="AK79" i="1"/>
  <c r="AL99" i="1" s="1"/>
  <c r="BY90" i="1"/>
  <c r="BQ78" i="1"/>
  <c r="AI79" i="1"/>
  <c r="AG84" i="1"/>
  <c r="BM78" i="1"/>
  <c r="BM86" i="1"/>
  <c r="AW84" i="1"/>
  <c r="AW82" i="1"/>
  <c r="AU87" i="1"/>
  <c r="AU89" i="1"/>
  <c r="AV108" i="1" s="1"/>
  <c r="AU84" i="1"/>
  <c r="AU83" i="1"/>
  <c r="AU90" i="1"/>
  <c r="AE82" i="1"/>
  <c r="AE86" i="1"/>
  <c r="AQ81" i="1"/>
  <c r="AR100" i="1" s="1"/>
  <c r="BM84" i="1"/>
  <c r="AT99" i="1"/>
  <c r="AS87" i="1"/>
  <c r="AS83" i="1"/>
  <c r="AS90" i="1"/>
  <c r="AS85" i="1"/>
  <c r="AC81" i="1"/>
  <c r="AD100" i="1" s="1"/>
  <c r="AC83" i="1"/>
  <c r="AC85" i="1"/>
  <c r="AC79" i="1"/>
  <c r="AD99" i="1" s="1"/>
  <c r="AC78" i="1"/>
  <c r="BY78" i="1"/>
  <c r="AM82" i="1"/>
  <c r="AM84" i="1"/>
  <c r="AM86" i="1"/>
  <c r="AM90" i="1"/>
  <c r="AN109" i="1" s="1"/>
  <c r="BO85" i="1"/>
  <c r="BY83" i="1"/>
  <c r="BK78" i="1"/>
  <c r="BK82" i="1"/>
  <c r="Y84" i="1"/>
  <c r="BY85" i="1"/>
  <c r="BY81" i="1"/>
  <c r="BZ100" i="1" s="1"/>
  <c r="AS78" i="1"/>
  <c r="AT98" i="1" s="1"/>
  <c r="AE89" i="1"/>
  <c r="AF108" i="1" s="1"/>
  <c r="AK82" i="1"/>
  <c r="AL107" i="1"/>
  <c r="BY87" i="1"/>
  <c r="BZ107" i="1" s="1"/>
  <c r="BA85" i="1"/>
  <c r="BQ83" i="1"/>
  <c r="AU81" i="1"/>
  <c r="AV100" i="1" s="1"/>
  <c r="AM81" i="1"/>
  <c r="AN100" i="1" s="1"/>
  <c r="AK78" i="1"/>
  <c r="AC90" i="1"/>
  <c r="AC89" i="1"/>
  <c r="AD108" i="1" s="1"/>
  <c r="BO84" i="1"/>
  <c r="AI84" i="1"/>
  <c r="AU85" i="1"/>
  <c r="BA83" i="1"/>
  <c r="AS81" i="1"/>
  <c r="AT100" i="1" s="1"/>
  <c r="BA87" i="1"/>
  <c r="AK81" i="1"/>
  <c r="AL100" i="1" s="1"/>
  <c r="BI79" i="1"/>
  <c r="BJ99" i="1" s="1"/>
  <c r="BW83" i="1"/>
  <c r="BX102" i="1" s="1"/>
  <c r="BG78" i="1"/>
  <c r="BA89" i="1"/>
  <c r="BB108" i="1" s="1"/>
  <c r="AU78" i="1"/>
  <c r="AM85" i="1"/>
  <c r="BU84" i="1"/>
  <c r="N74" i="1"/>
  <c r="N75" i="1" s="1"/>
  <c r="Z74" i="1"/>
  <c r="Z75" i="1" s="1"/>
  <c r="AH74" i="1"/>
  <c r="AH75" i="1" s="1"/>
  <c r="AP74" i="1"/>
  <c r="AP75" i="1" s="1"/>
  <c r="AT74" i="1"/>
  <c r="AT75" i="1" s="1"/>
  <c r="AX74" i="1"/>
  <c r="AX75" i="1" s="1"/>
  <c r="BB74" i="1"/>
  <c r="BB75" i="1" s="1"/>
  <c r="BF74" i="1"/>
  <c r="BF75" i="1" s="1"/>
  <c r="BJ74" i="1"/>
  <c r="BJ75" i="1" s="1"/>
  <c r="BV74" i="1"/>
  <c r="BV75" i="1" s="1"/>
  <c r="BZ74" i="1"/>
  <c r="BZ75" i="1" s="1"/>
  <c r="CD74" i="1"/>
  <c r="CD75" i="1" s="1"/>
  <c r="BY82" i="1"/>
  <c r="AS82" i="1"/>
  <c r="AC82" i="1"/>
  <c r="AK85" i="1"/>
  <c r="AK83" i="1"/>
  <c r="BS79" i="1"/>
  <c r="BT99" i="1" s="1"/>
  <c r="AM78" i="1"/>
  <c r="W86" i="1"/>
  <c r="W79" i="1"/>
  <c r="X99" i="1" s="1"/>
  <c r="BQ79" i="1"/>
  <c r="BR99" i="1" s="1"/>
  <c r="BA81" i="1"/>
  <c r="BB100" i="1" s="1"/>
  <c r="BS85" i="1"/>
  <c r="BS89" i="1"/>
  <c r="BT108" i="1" s="1"/>
  <c r="BQ89" i="1"/>
  <c r="BR108" i="1" s="1"/>
  <c r="BQ82" i="1"/>
  <c r="BQ85" i="1"/>
  <c r="BO83" i="1"/>
  <c r="BO81" i="1"/>
  <c r="BP100" i="1" s="1"/>
  <c r="BO79" i="1"/>
  <c r="BO90" i="1"/>
  <c r="BM90" i="1"/>
  <c r="BM82" i="1"/>
  <c r="BI87" i="1"/>
  <c r="BI85" i="1"/>
  <c r="BI82" i="1"/>
  <c r="BI78" i="1"/>
  <c r="BI90" i="1"/>
  <c r="BI83" i="1"/>
  <c r="BG86" i="1"/>
  <c r="BC81" i="1"/>
  <c r="BD100" i="1" s="1"/>
  <c r="BA78" i="1"/>
  <c r="AY87" i="1"/>
  <c r="AY81" i="1"/>
  <c r="AZ100" i="1" s="1"/>
  <c r="AY85" i="1"/>
  <c r="AY79" i="1"/>
  <c r="AW90" i="1"/>
  <c r="CA84" i="1"/>
  <c r="CA89" i="1"/>
  <c r="CB108" i="1" s="1"/>
  <c r="CA78" i="1"/>
  <c r="CA81" i="1"/>
  <c r="CB100" i="1" s="1"/>
  <c r="CA90" i="1"/>
  <c r="CB109" i="1" s="1"/>
  <c r="CA85" i="1"/>
  <c r="AQ90" i="1"/>
  <c r="AQ85" i="1"/>
  <c r="AQ78" i="1"/>
  <c r="AQ89" i="1"/>
  <c r="AR108" i="1" s="1"/>
  <c r="AQ82" i="1"/>
  <c r="AQ84" i="1"/>
  <c r="AQ83" i="1"/>
  <c r="AR102" i="1" s="1"/>
  <c r="AQ79" i="1"/>
  <c r="BG85" i="1"/>
  <c r="BG82" i="1"/>
  <c r="BG90" i="1"/>
  <c r="AQ87" i="1"/>
  <c r="AR107" i="1" s="1"/>
  <c r="AG79" i="1"/>
  <c r="AG81" i="1"/>
  <c r="AH100" i="1" s="1"/>
  <c r="AG83" i="1"/>
  <c r="AG85" i="1"/>
  <c r="AG87" i="1"/>
  <c r="AG89" i="1"/>
  <c r="AH108" i="1" s="1"/>
  <c r="AG86" i="1"/>
  <c r="AG78" i="1"/>
  <c r="AG90" i="1"/>
  <c r="AG82" i="1"/>
  <c r="AH101" i="1" s="1"/>
  <c r="AQ86" i="1"/>
  <c r="W90" i="1"/>
  <c r="BK87" i="1"/>
  <c r="AY78" i="1"/>
  <c r="AY84" i="1"/>
  <c r="AO79" i="1"/>
  <c r="AO81" i="1"/>
  <c r="AP100" i="1" s="1"/>
  <c r="AO83" i="1"/>
  <c r="AO85" i="1"/>
  <c r="AO87" i="1"/>
  <c r="AO89" i="1"/>
  <c r="AP108" i="1" s="1"/>
  <c r="AO78" i="1"/>
  <c r="AO84" i="1"/>
  <c r="AE84" i="1"/>
  <c r="AE78" i="1"/>
  <c r="BK79" i="1"/>
  <c r="AO86" i="1"/>
  <c r="AP105" i="1" s="1"/>
  <c r="BC84" i="1"/>
  <c r="AY83" i="1"/>
  <c r="AI87" i="1"/>
  <c r="AJ107" i="1" s="1"/>
  <c r="AA86" i="1"/>
  <c r="W83" i="1"/>
  <c r="BC82" i="1"/>
  <c r="CC79" i="1"/>
  <c r="CC81" i="1"/>
  <c r="CD100" i="1" s="1"/>
  <c r="CC83" i="1"/>
  <c r="CC85" i="1"/>
  <c r="CC87" i="1"/>
  <c r="CC89" i="1"/>
  <c r="CD108" i="1" s="1"/>
  <c r="CC90" i="1"/>
  <c r="BG83" i="1"/>
  <c r="BG87" i="1"/>
  <c r="BG79" i="1"/>
  <c r="AE79" i="1"/>
  <c r="AF98" i="1" s="1"/>
  <c r="BS87" i="1"/>
  <c r="CC86" i="1"/>
  <c r="AI83" i="1"/>
  <c r="AA82" i="1"/>
  <c r="BS81" i="1"/>
  <c r="BT100" i="1" s="1"/>
  <c r="BG81" i="1"/>
  <c r="BH100" i="1" s="1"/>
  <c r="AA78" i="1"/>
  <c r="AA79" i="1"/>
  <c r="AA90" i="1"/>
  <c r="BC79" i="1"/>
  <c r="AI78" i="1"/>
  <c r="AY90" i="1"/>
  <c r="BC87" i="1"/>
  <c r="AE87" i="1"/>
  <c r="BC85" i="1"/>
  <c r="BS83" i="1"/>
  <c r="BT102" i="1" s="1"/>
  <c r="CC82" i="1"/>
  <c r="AY82" i="1"/>
  <c r="AE81" i="1"/>
  <c r="AF100" i="1" s="1"/>
  <c r="CA83" i="1"/>
  <c r="CA87" i="1"/>
  <c r="CA79" i="1"/>
  <c r="CA82" i="1"/>
  <c r="CB101" i="1" s="1"/>
  <c r="CA86" i="1"/>
  <c r="AI89" i="1"/>
  <c r="AJ108" i="1" s="1"/>
  <c r="AI81" i="1"/>
  <c r="AJ100" i="1" s="1"/>
  <c r="AI82" i="1"/>
  <c r="AI85" i="1"/>
  <c r="AI86" i="1"/>
  <c r="AI90" i="1"/>
  <c r="BW81" i="1"/>
  <c r="BX100" i="1" s="1"/>
  <c r="BW85" i="1"/>
  <c r="BW78" i="1"/>
  <c r="BK81" i="1"/>
  <c r="BL100" i="1" s="1"/>
  <c r="BK85" i="1"/>
  <c r="BK84" i="1"/>
  <c r="BK90" i="1"/>
  <c r="W78" i="1"/>
  <c r="W89" i="1"/>
  <c r="X108" i="1" s="1"/>
  <c r="W81" i="1"/>
  <c r="X100" i="1" s="1"/>
  <c r="W85" i="1"/>
  <c r="BW87" i="1"/>
  <c r="W87" i="1"/>
  <c r="X107" i="1" s="1"/>
  <c r="BC86" i="1"/>
  <c r="BK83" i="1"/>
  <c r="BC90" i="1"/>
  <c r="AE90" i="1"/>
  <c r="AA84" i="1"/>
  <c r="AB103" i="1" s="1"/>
  <c r="AO82" i="1"/>
  <c r="BS78" i="1"/>
  <c r="BS90" i="1"/>
  <c r="AW79" i="1"/>
  <c r="AW81" i="1"/>
  <c r="AW83" i="1"/>
  <c r="AW85" i="1"/>
  <c r="AW87" i="1"/>
  <c r="AW89" i="1"/>
  <c r="AX108" i="1" s="1"/>
  <c r="AW78" i="1"/>
  <c r="BW79" i="1"/>
  <c r="BW90" i="1"/>
  <c r="AO90" i="1"/>
  <c r="BK89" i="1"/>
  <c r="BL108" i="1" s="1"/>
  <c r="AY89" i="1"/>
  <c r="AZ108" i="1" s="1"/>
  <c r="AA89" i="1"/>
  <c r="AB108" i="1" s="1"/>
  <c r="AY86" i="1"/>
  <c r="AE85" i="1"/>
  <c r="BW89" i="1"/>
  <c r="BX108" i="1" s="1"/>
  <c r="BW86" i="1"/>
  <c r="BK86" i="1"/>
  <c r="AW86" i="1"/>
  <c r="BW84" i="1"/>
  <c r="BG84" i="1"/>
  <c r="BH103" i="1" s="1"/>
  <c r="BC83" i="1"/>
  <c r="AE83" i="1"/>
  <c r="W82" i="1"/>
  <c r="BO78" i="1"/>
  <c r="BO82" i="1"/>
  <c r="BO86" i="1"/>
  <c r="BO89" i="1"/>
  <c r="BP108" i="1" s="1"/>
  <c r="BC89" i="1"/>
  <c r="BD108" i="1" s="1"/>
  <c r="Y79" i="1"/>
  <c r="Y81" i="1"/>
  <c r="Z100" i="1" s="1"/>
  <c r="Y83" i="1"/>
  <c r="Y85" i="1"/>
  <c r="Y87" i="1"/>
  <c r="Y89" i="1"/>
  <c r="Z108" i="1" s="1"/>
  <c r="Y78" i="1"/>
  <c r="Y82" i="1"/>
  <c r="Z101" i="1" s="1"/>
  <c r="Y86" i="1"/>
  <c r="BE79" i="1"/>
  <c r="BE81" i="1"/>
  <c r="BF100" i="1" s="1"/>
  <c r="BE83" i="1"/>
  <c r="BE85" i="1"/>
  <c r="BE87" i="1"/>
  <c r="BE89" i="1"/>
  <c r="BF108" i="1" s="1"/>
  <c r="BE78" i="1"/>
  <c r="AM79" i="1"/>
  <c r="AM87" i="1"/>
  <c r="AN107" i="1" s="1"/>
  <c r="BE86" i="1"/>
  <c r="AU86" i="1"/>
  <c r="AM83" i="1"/>
  <c r="BE82" i="1"/>
  <c r="AU82" i="1"/>
  <c r="BM79" i="1"/>
  <c r="BM81" i="1"/>
  <c r="BN100" i="1" s="1"/>
  <c r="BM83" i="1"/>
  <c r="BM85" i="1"/>
  <c r="BM87" i="1"/>
  <c r="BM89" i="1"/>
  <c r="BN108" i="1" s="1"/>
  <c r="BU79" i="1"/>
  <c r="BU81" i="1"/>
  <c r="BU83" i="1"/>
  <c r="BU85" i="1"/>
  <c r="BU87" i="1"/>
  <c r="BU89" i="1"/>
  <c r="BV108" i="1" s="1"/>
  <c r="BU78" i="1"/>
  <c r="BC78" i="1"/>
  <c r="AU79" i="1"/>
  <c r="AV99" i="1" s="1"/>
  <c r="BY86" i="1"/>
  <c r="BQ86" i="1"/>
  <c r="BR105" i="1" s="1"/>
  <c r="BI86" i="1"/>
  <c r="BA86" i="1"/>
  <c r="AS86" i="1"/>
  <c r="AK86" i="1"/>
  <c r="AC86" i="1"/>
  <c r="BY84" i="1"/>
  <c r="BQ84" i="1"/>
  <c r="BI84" i="1"/>
  <c r="BA84" i="1"/>
  <c r="AS84" i="1"/>
  <c r="AK84" i="1"/>
  <c r="AC84" i="1"/>
  <c r="P74" i="1"/>
  <c r="P75" i="1" s="1"/>
  <c r="U81" i="1"/>
  <c r="V100" i="1" s="1"/>
  <c r="AD74" i="1"/>
  <c r="AD75" i="1" s="1"/>
  <c r="T74" i="1"/>
  <c r="T75" i="1" s="1"/>
  <c r="R74" i="1"/>
  <c r="R75" i="1" s="1"/>
  <c r="U87" i="1"/>
  <c r="V107" i="1" s="1"/>
  <c r="AZ74" i="1"/>
  <c r="AZ75" i="1" s="1"/>
  <c r="BT74" i="1"/>
  <c r="BT75" i="1" s="1"/>
  <c r="U78" i="1"/>
  <c r="M85" i="1"/>
  <c r="BL74" i="1"/>
  <c r="BL75" i="1" s="1"/>
  <c r="BN74" i="1"/>
  <c r="BN75" i="1" s="1"/>
  <c r="BR74" i="1"/>
  <c r="BR75" i="1" s="1"/>
  <c r="BP74" i="1"/>
  <c r="BP75" i="1" s="1"/>
  <c r="AZ73" i="1"/>
  <c r="O89" i="1"/>
  <c r="P108" i="1" s="1"/>
  <c r="S84" i="1"/>
  <c r="H74" i="1"/>
  <c r="H75" i="1" s="1"/>
  <c r="G78" i="1"/>
  <c r="V74" i="1"/>
  <c r="V75" i="1" s="1"/>
  <c r="G83" i="1"/>
  <c r="M87" i="1"/>
  <c r="N107" i="1" s="1"/>
  <c r="M79" i="1"/>
  <c r="N99" i="1" s="1"/>
  <c r="O87" i="1"/>
  <c r="P107" i="1" s="1"/>
  <c r="M83" i="1"/>
  <c r="O83" i="1"/>
  <c r="X74" i="1"/>
  <c r="X75" i="1" s="1"/>
  <c r="U83" i="1"/>
  <c r="G85" i="1"/>
  <c r="M78" i="1"/>
  <c r="M81" i="1"/>
  <c r="N100" i="1" s="1"/>
  <c r="M89" i="1"/>
  <c r="N108" i="1" s="1"/>
  <c r="AL74" i="1"/>
  <c r="AL75" i="1" s="1"/>
  <c r="J74" i="1"/>
  <c r="J75" i="1" s="1"/>
  <c r="O79" i="1"/>
  <c r="S82" i="1"/>
  <c r="V73" i="1"/>
  <c r="O78" i="1"/>
  <c r="O81" i="1"/>
  <c r="P100" i="1" s="1"/>
  <c r="O85" i="1"/>
  <c r="AL73" i="1"/>
  <c r="U79" i="1"/>
  <c r="U85" i="1"/>
  <c r="U90" i="1"/>
  <c r="U89" i="1"/>
  <c r="V108" i="1" s="1"/>
  <c r="S86" i="1"/>
  <c r="S78" i="1"/>
  <c r="L74" i="1"/>
  <c r="L75" i="1" s="1"/>
  <c r="K90" i="1"/>
  <c r="J73" i="1"/>
  <c r="I86" i="1"/>
  <c r="G81" i="1"/>
  <c r="H100" i="1" s="1"/>
  <c r="G79" i="1"/>
  <c r="G89" i="1"/>
  <c r="H108" i="1" s="1"/>
  <c r="G87" i="1"/>
  <c r="H107" i="1" s="1"/>
  <c r="F75" i="1"/>
  <c r="E90" i="1"/>
  <c r="E79" i="1"/>
  <c r="E78" i="1"/>
  <c r="E85" i="1"/>
  <c r="E81" i="1"/>
  <c r="F100" i="1" s="1"/>
  <c r="E83" i="1"/>
  <c r="E87" i="1"/>
  <c r="F107" i="1" s="1"/>
  <c r="E89" i="1"/>
  <c r="F108" i="1" s="1"/>
  <c r="K84" i="1"/>
  <c r="Q89" i="1"/>
  <c r="R108" i="1" s="1"/>
  <c r="Q87" i="1"/>
  <c r="R107" i="1" s="1"/>
  <c r="Q85" i="1"/>
  <c r="Q83" i="1"/>
  <c r="Q81" i="1"/>
  <c r="R100" i="1" s="1"/>
  <c r="Q79" i="1"/>
  <c r="R99" i="1" s="1"/>
  <c r="Q78" i="1"/>
  <c r="Q90" i="1"/>
  <c r="S89" i="1"/>
  <c r="T108" i="1" s="1"/>
  <c r="S87" i="1"/>
  <c r="T107" i="1" s="1"/>
  <c r="S85" i="1"/>
  <c r="S83" i="1"/>
  <c r="S81" i="1"/>
  <c r="T100" i="1" s="1"/>
  <c r="S79" i="1"/>
  <c r="T99" i="1" s="1"/>
  <c r="I82" i="1"/>
  <c r="Q84" i="1"/>
  <c r="S90" i="1"/>
  <c r="K79" i="1"/>
  <c r="L99" i="1" s="1"/>
  <c r="K89" i="1"/>
  <c r="L108" i="1" s="1"/>
  <c r="K87" i="1"/>
  <c r="K85" i="1"/>
  <c r="K83" i="1"/>
  <c r="K81" i="1"/>
  <c r="L100" i="1" s="1"/>
  <c r="K78" i="1"/>
  <c r="K86" i="1"/>
  <c r="I89" i="1"/>
  <c r="J108" i="1" s="1"/>
  <c r="I87" i="1"/>
  <c r="I85" i="1"/>
  <c r="I83" i="1"/>
  <c r="I81" i="1"/>
  <c r="J100" i="1" s="1"/>
  <c r="I79" i="1"/>
  <c r="J98" i="1" s="1"/>
  <c r="I90" i="1"/>
  <c r="K82" i="1"/>
  <c r="Q82" i="1"/>
  <c r="I84" i="1"/>
  <c r="Q86" i="1"/>
  <c r="AB10" i="2"/>
  <c r="AE10" i="2" s="1"/>
  <c r="AF10" i="2" s="1"/>
  <c r="Z13" i="2"/>
  <c r="AB14" i="2"/>
  <c r="AE14" i="2" s="1"/>
  <c r="Z17" i="2"/>
  <c r="AB18" i="2"/>
  <c r="AE18" i="2" s="1"/>
  <c r="Z21" i="2"/>
  <c r="AB22" i="2"/>
  <c r="AE22" i="2" s="1"/>
  <c r="Z25" i="2"/>
  <c r="AB26" i="2"/>
  <c r="AE26" i="2" s="1"/>
  <c r="Z29" i="2"/>
  <c r="AB30" i="2"/>
  <c r="AE30" i="2" s="1"/>
  <c r="Z33" i="2"/>
  <c r="AB34" i="2"/>
  <c r="AE34" i="2" s="1"/>
  <c r="Z37" i="2"/>
  <c r="AB38" i="2"/>
  <c r="AE38" i="2" s="1"/>
  <c r="Z41" i="2"/>
  <c r="AB42" i="2"/>
  <c r="AE42" i="2" s="1"/>
  <c r="AA45" i="2"/>
  <c r="AA48" i="2"/>
  <c r="AA51" i="2"/>
  <c r="AA54" i="2"/>
  <c r="AB57" i="2"/>
  <c r="AE57" i="2" s="1"/>
  <c r="AB60" i="2"/>
  <c r="AE60" i="2" s="1"/>
  <c r="AB63" i="2"/>
  <c r="AE63" i="2" s="1"/>
  <c r="Z68" i="2"/>
  <c r="Z71" i="2"/>
  <c r="Z74" i="2"/>
  <c r="AA77" i="2"/>
  <c r="AB80" i="2"/>
  <c r="AE80" i="2" s="1"/>
  <c r="Z82" i="2"/>
  <c r="AB87" i="2"/>
  <c r="AE87" i="2" s="1"/>
  <c r="AA89" i="2"/>
  <c r="Z91" i="2"/>
  <c r="Z143" i="2"/>
  <c r="Z148" i="2"/>
  <c r="Z153" i="2"/>
  <c r="AA155" i="2"/>
  <c r="AB165" i="2"/>
  <c r="AE165" i="2" s="1"/>
  <c r="AA167" i="2"/>
  <c r="AB169" i="2"/>
  <c r="AE169" i="2" s="1"/>
  <c r="Z176" i="2"/>
  <c r="Z181" i="2"/>
  <c r="Z188" i="2"/>
  <c r="AB190" i="2"/>
  <c r="AE190" i="2" s="1"/>
  <c r="AA192" i="2"/>
  <c r="AB194" i="2"/>
  <c r="AE194" i="2" s="1"/>
  <c r="AA196" i="2"/>
  <c r="AA200" i="2"/>
  <c r="AB204" i="2"/>
  <c r="AE204" i="2" s="1"/>
  <c r="Z217" i="2"/>
  <c r="AB230" i="2"/>
  <c r="AE230" i="2" s="1"/>
  <c r="AA288" i="2"/>
  <c r="Z386" i="2"/>
  <c r="Z421" i="2"/>
  <c r="AA13" i="2"/>
  <c r="AA17" i="2"/>
  <c r="AA21" i="2"/>
  <c r="AA25" i="2"/>
  <c r="AA29" i="2"/>
  <c r="AA33" i="2"/>
  <c r="AA37" i="2"/>
  <c r="AA41" i="2"/>
  <c r="AB45" i="2"/>
  <c r="AE45" i="2" s="1"/>
  <c r="AB48" i="2"/>
  <c r="AE48" i="2" s="1"/>
  <c r="AB51" i="2"/>
  <c r="AE51" i="2" s="1"/>
  <c r="Z56" i="2"/>
  <c r="Z59" i="2"/>
  <c r="Z62" i="2"/>
  <c r="AA65" i="2"/>
  <c r="AA68" i="2"/>
  <c r="AA71" i="2"/>
  <c r="AA74" i="2"/>
  <c r="AB77" i="2"/>
  <c r="AE77" i="2" s="1"/>
  <c r="AA82" i="2"/>
  <c r="AA84" i="2"/>
  <c r="AA91" i="2"/>
  <c r="Z95" i="2"/>
  <c r="Z99" i="2"/>
  <c r="Z103" i="2"/>
  <c r="Z107" i="2"/>
  <c r="Z111" i="2"/>
  <c r="Z115" i="2"/>
  <c r="Z119" i="2"/>
  <c r="Z123" i="2"/>
  <c r="Z127" i="2"/>
  <c r="AA129" i="2"/>
  <c r="Z141" i="2"/>
  <c r="AB148" i="2"/>
  <c r="AE148" i="2" s="1"/>
  <c r="AA153" i="2"/>
  <c r="AB176" i="2"/>
  <c r="AE176" i="2" s="1"/>
  <c r="AA181" i="2"/>
  <c r="AA186" i="2"/>
  <c r="AA188" i="2"/>
  <c r="AB196" i="2"/>
  <c r="AE196" i="2" s="1"/>
  <c r="AB198" i="2"/>
  <c r="AE198" i="2" s="1"/>
  <c r="AB200" i="2"/>
  <c r="AE200" i="2" s="1"/>
  <c r="AB202" i="2"/>
  <c r="AE202" i="2" s="1"/>
  <c r="AA217" i="2"/>
  <c r="AA221" i="2"/>
  <c r="Z241" i="2"/>
  <c r="Z247" i="2"/>
  <c r="AB262" i="2"/>
  <c r="AE262" i="2" s="1"/>
  <c r="AA320" i="2"/>
  <c r="AA401" i="2"/>
  <c r="AA464" i="2"/>
  <c r="H5" i="2"/>
  <c r="H7" i="2" s="1"/>
  <c r="Z12" i="2"/>
  <c r="AB13" i="2"/>
  <c r="AE13" i="2" s="1"/>
  <c r="Z16" i="2"/>
  <c r="AB17" i="2"/>
  <c r="AE17" i="2" s="1"/>
  <c r="Z20" i="2"/>
  <c r="AB21" i="2"/>
  <c r="AE21" i="2" s="1"/>
  <c r="Z24" i="2"/>
  <c r="AB25" i="2"/>
  <c r="AE25" i="2" s="1"/>
  <c r="Z28" i="2"/>
  <c r="AB29" i="2"/>
  <c r="AE29" i="2" s="1"/>
  <c r="Z32" i="2"/>
  <c r="AB33" i="2"/>
  <c r="AE33" i="2" s="1"/>
  <c r="Z36" i="2"/>
  <c r="AB37" i="2"/>
  <c r="AE37" i="2" s="1"/>
  <c r="Z40" i="2"/>
  <c r="AB41" i="2"/>
  <c r="AE41" i="2" s="1"/>
  <c r="Z44" i="2"/>
  <c r="Z47" i="2"/>
  <c r="Z50" i="2"/>
  <c r="AA53" i="2"/>
  <c r="AA56" i="2"/>
  <c r="AA59" i="2"/>
  <c r="AA62" i="2"/>
  <c r="AB65" i="2"/>
  <c r="AE65" i="2" s="1"/>
  <c r="AB68" i="2"/>
  <c r="AE68" i="2" s="1"/>
  <c r="AB71" i="2"/>
  <c r="AE71" i="2" s="1"/>
  <c r="Z76" i="2"/>
  <c r="Z79" i="2"/>
  <c r="AB84" i="2"/>
  <c r="AE84" i="2" s="1"/>
  <c r="Z86" i="2"/>
  <c r="AB91" i="2"/>
  <c r="AE91" i="2" s="1"/>
  <c r="AA93" i="2"/>
  <c r="AB95" i="2"/>
  <c r="AE95" i="2" s="1"/>
  <c r="AA97" i="2"/>
  <c r="AB99" i="2"/>
  <c r="AE99" i="2" s="1"/>
  <c r="AA101" i="2"/>
  <c r="AB103" i="2"/>
  <c r="AE103" i="2" s="1"/>
  <c r="AA105" i="2"/>
  <c r="AB107" i="2"/>
  <c r="AE107" i="2" s="1"/>
  <c r="AA109" i="2"/>
  <c r="AB111" i="2"/>
  <c r="AE111" i="2" s="1"/>
  <c r="AA113" i="2"/>
  <c r="AB115" i="2"/>
  <c r="AE115" i="2" s="1"/>
  <c r="AA117" i="2"/>
  <c r="AB119" i="2"/>
  <c r="AE119" i="2" s="1"/>
  <c r="AA121" i="2"/>
  <c r="AB123" i="2"/>
  <c r="AE123" i="2" s="1"/>
  <c r="AA125" i="2"/>
  <c r="AA127" i="2"/>
  <c r="AB129" i="2"/>
  <c r="AE129" i="2" s="1"/>
  <c r="AA131" i="2"/>
  <c r="AA133" i="2"/>
  <c r="Z137" i="2"/>
  <c r="AA139" i="2"/>
  <c r="AB141" i="2"/>
  <c r="AE141" i="2" s="1"/>
  <c r="AA146" i="2"/>
  <c r="Z151" i="2"/>
  <c r="AA158" i="2"/>
  <c r="AA162" i="2"/>
  <c r="Z172" i="2"/>
  <c r="AB174" i="2"/>
  <c r="AE174" i="2" s="1"/>
  <c r="Z179" i="2"/>
  <c r="Z184" i="2"/>
  <c r="AA214" i="2"/>
  <c r="AB236" i="2"/>
  <c r="AE236" i="2" s="1"/>
  <c r="AA253" i="2"/>
  <c r="Z273" i="2"/>
  <c r="Z279" i="2"/>
  <c r="AB294" i="2"/>
  <c r="AE294" i="2" s="1"/>
  <c r="AB366" i="2"/>
  <c r="AE366" i="2" s="1"/>
  <c r="E82" i="1"/>
  <c r="M82" i="1"/>
  <c r="U82" i="1"/>
  <c r="V101" i="1" s="1"/>
  <c r="E84" i="1"/>
  <c r="M84" i="1"/>
  <c r="U84" i="1"/>
  <c r="E86" i="1"/>
  <c r="M86" i="1"/>
  <c r="U86" i="1"/>
  <c r="M90" i="1"/>
  <c r="AA12" i="2"/>
  <c r="AA16" i="2"/>
  <c r="AA20" i="2"/>
  <c r="AA24" i="2"/>
  <c r="AA28" i="2"/>
  <c r="AA32" i="2"/>
  <c r="AA36" i="2"/>
  <c r="AA40" i="2"/>
  <c r="AA44" i="2"/>
  <c r="AA47" i="2"/>
  <c r="AA50" i="2"/>
  <c r="AB53" i="2"/>
  <c r="AE53" i="2" s="1"/>
  <c r="AB56" i="2"/>
  <c r="AE56" i="2" s="1"/>
  <c r="AB59" i="2"/>
  <c r="AE59" i="2" s="1"/>
  <c r="Z64" i="2"/>
  <c r="Z67" i="2"/>
  <c r="Z70" i="2"/>
  <c r="AA73" i="2"/>
  <c r="AA76" i="2"/>
  <c r="AA79" i="2"/>
  <c r="AA86" i="2"/>
  <c r="AA88" i="2"/>
  <c r="AB133" i="2"/>
  <c r="AE133" i="2" s="1"/>
  <c r="AA135" i="2"/>
  <c r="AB137" i="2"/>
  <c r="AE137" i="2" s="1"/>
  <c r="Z144" i="2"/>
  <c r="Z149" i="2"/>
  <c r="Z156" i="2"/>
  <c r="AB158" i="2"/>
  <c r="AE158" i="2" s="1"/>
  <c r="AA160" i="2"/>
  <c r="AB162" i="2"/>
  <c r="AE162" i="2" s="1"/>
  <c r="AA164" i="2"/>
  <c r="AA168" i="2"/>
  <c r="AB172" i="2"/>
  <c r="AE172" i="2" s="1"/>
  <c r="Z177" i="2"/>
  <c r="AA184" i="2"/>
  <c r="Z191" i="2"/>
  <c r="AA193" i="2"/>
  <c r="Z205" i="2"/>
  <c r="Z211" i="2"/>
  <c r="AA218" i="2"/>
  <c r="AA227" i="2"/>
  <c r="AB268" i="2"/>
  <c r="AE268" i="2" s="1"/>
  <c r="AA285" i="2"/>
  <c r="Z305" i="2"/>
  <c r="Z311" i="2"/>
  <c r="AB326" i="2"/>
  <c r="AE326" i="2" s="1"/>
  <c r="AA331" i="2"/>
  <c r="AA1008" i="2"/>
  <c r="AA1004" i="2"/>
  <c r="AA1000" i="2"/>
  <c r="AA996" i="2"/>
  <c r="AA992" i="2"/>
  <c r="AB1009" i="2"/>
  <c r="AE1009" i="2" s="1"/>
  <c r="Z1008" i="2"/>
  <c r="AB1005" i="2"/>
  <c r="AE1005" i="2" s="1"/>
  <c r="Z1004" i="2"/>
  <c r="AB1001" i="2"/>
  <c r="AE1001" i="2" s="1"/>
  <c r="Z1000" i="2"/>
  <c r="AB997" i="2"/>
  <c r="AE997" i="2" s="1"/>
  <c r="Z996" i="2"/>
  <c r="AB993" i="2"/>
  <c r="AE993" i="2" s="1"/>
  <c r="Z992" i="2"/>
  <c r="AB989" i="2"/>
  <c r="AE989" i="2" s="1"/>
  <c r="Z988" i="2"/>
  <c r="AB985" i="2"/>
  <c r="AE985" i="2" s="1"/>
  <c r="Z984" i="2"/>
  <c r="AB981" i="2"/>
  <c r="AE981" i="2" s="1"/>
  <c r="Z980" i="2"/>
  <c r="AB977" i="2"/>
  <c r="AE977" i="2" s="1"/>
  <c r="Z976" i="2"/>
  <c r="AB973" i="2"/>
  <c r="AE973" i="2" s="1"/>
  <c r="Z972" i="2"/>
  <c r="AB969" i="2"/>
  <c r="AE969" i="2" s="1"/>
  <c r="Z968" i="2"/>
  <c r="AB965" i="2"/>
  <c r="AE965" i="2" s="1"/>
  <c r="Z964" i="2"/>
  <c r="AB961" i="2"/>
  <c r="AE961" i="2" s="1"/>
  <c r="Z960" i="2"/>
  <c r="AB957" i="2"/>
  <c r="AE957" i="2" s="1"/>
  <c r="Z956" i="2"/>
  <c r="AB953" i="2"/>
  <c r="AE953" i="2" s="1"/>
  <c r="Z952" i="2"/>
  <c r="AB949" i="2"/>
  <c r="AE949" i="2" s="1"/>
  <c r="Z948" i="2"/>
  <c r="AB945" i="2"/>
  <c r="AE945" i="2" s="1"/>
  <c r="Z944" i="2"/>
  <c r="AB941" i="2"/>
  <c r="AE941" i="2" s="1"/>
  <c r="Z940" i="2"/>
  <c r="AB937" i="2"/>
  <c r="AE937" i="2" s="1"/>
  <c r="Z936" i="2"/>
  <c r="AB933" i="2"/>
  <c r="AE933" i="2" s="1"/>
  <c r="Z932" i="2"/>
  <c r="AB929" i="2"/>
  <c r="AE929" i="2" s="1"/>
  <c r="Z928" i="2"/>
  <c r="AB925" i="2"/>
  <c r="AE925" i="2" s="1"/>
  <c r="Z924" i="2"/>
  <c r="AB921" i="2"/>
  <c r="AE921" i="2" s="1"/>
  <c r="Z920" i="2"/>
  <c r="AB917" i="2"/>
  <c r="AE917" i="2" s="1"/>
  <c r="Z916" i="2"/>
  <c r="AB913" i="2"/>
  <c r="AE913" i="2" s="1"/>
  <c r="Z912" i="2"/>
  <c r="AB909" i="2"/>
  <c r="AE909" i="2" s="1"/>
  <c r="Z908" i="2"/>
  <c r="AB905" i="2"/>
  <c r="AE905" i="2" s="1"/>
  <c r="Z904" i="2"/>
  <c r="AB901" i="2"/>
  <c r="AE901" i="2" s="1"/>
  <c r="Z900" i="2"/>
  <c r="AB897" i="2"/>
  <c r="AE897" i="2" s="1"/>
  <c r="AA1009" i="2"/>
  <c r="Z1009" i="2"/>
  <c r="AB1006" i="2"/>
  <c r="AE1006" i="2" s="1"/>
  <c r="Z1005" i="2"/>
  <c r="AB1002" i="2"/>
  <c r="AE1002" i="2" s="1"/>
  <c r="Z1001" i="2"/>
  <c r="AB998" i="2"/>
  <c r="AE998" i="2" s="1"/>
  <c r="Z997" i="2"/>
  <c r="AB994" i="2"/>
  <c r="AE994" i="2" s="1"/>
  <c r="Z993" i="2"/>
  <c r="AB990" i="2"/>
  <c r="AE990" i="2" s="1"/>
  <c r="Z989" i="2"/>
  <c r="AB986" i="2"/>
  <c r="AE986" i="2" s="1"/>
  <c r="Z985" i="2"/>
  <c r="AB982" i="2"/>
  <c r="AE982" i="2" s="1"/>
  <c r="Z981" i="2"/>
  <c r="AB978" i="2"/>
  <c r="AE978" i="2" s="1"/>
  <c r="Z977" i="2"/>
  <c r="AB974" i="2"/>
  <c r="AE974" i="2" s="1"/>
  <c r="Z973" i="2"/>
  <c r="AB970" i="2"/>
  <c r="AE970" i="2" s="1"/>
  <c r="Z969" i="2"/>
  <c r="AB966" i="2"/>
  <c r="AE966" i="2" s="1"/>
  <c r="Z965" i="2"/>
  <c r="AB962" i="2"/>
  <c r="AE962" i="2" s="1"/>
  <c r="Z961" i="2"/>
  <c r="AB958" i="2"/>
  <c r="AE958" i="2" s="1"/>
  <c r="Z957" i="2"/>
  <c r="AB954" i="2"/>
  <c r="AE954" i="2" s="1"/>
  <c r="Z953" i="2"/>
  <c r="AB950" i="2"/>
  <c r="AE950" i="2" s="1"/>
  <c r="Z949" i="2"/>
  <c r="AB946" i="2"/>
  <c r="AE946" i="2" s="1"/>
  <c r="Z945" i="2"/>
  <c r="AB942" i="2"/>
  <c r="AE942" i="2" s="1"/>
  <c r="Z941" i="2"/>
  <c r="AB938" i="2"/>
  <c r="AE938" i="2" s="1"/>
  <c r="Z937" i="2"/>
  <c r="AB934" i="2"/>
  <c r="AE934" i="2" s="1"/>
  <c r="Z933" i="2"/>
  <c r="AB930" i="2"/>
  <c r="AE930" i="2" s="1"/>
  <c r="Z929" i="2"/>
  <c r="AB926" i="2"/>
  <c r="AE926" i="2" s="1"/>
  <c r="Z925" i="2"/>
  <c r="AB922" i="2"/>
  <c r="AE922" i="2" s="1"/>
  <c r="Z921" i="2"/>
  <c r="AB918" i="2"/>
  <c r="AE918" i="2" s="1"/>
  <c r="Z917" i="2"/>
  <c r="AB914" i="2"/>
  <c r="AE914" i="2" s="1"/>
  <c r="Z913" i="2"/>
  <c r="AB910" i="2"/>
  <c r="AE910" i="2" s="1"/>
  <c r="Z909" i="2"/>
  <c r="AB906" i="2"/>
  <c r="AE906" i="2" s="1"/>
  <c r="Z905" i="2"/>
  <c r="AB902" i="2"/>
  <c r="AE902" i="2" s="1"/>
  <c r="Z901" i="2"/>
  <c r="AB898" i="2"/>
  <c r="AE898" i="2" s="1"/>
  <c r="Z897" i="2"/>
  <c r="AA1006" i="2"/>
  <c r="AA1002" i="2"/>
  <c r="AA998" i="2"/>
  <c r="AA994" i="2"/>
  <c r="AB1007" i="2"/>
  <c r="AE1007" i="2" s="1"/>
  <c r="Z1006" i="2"/>
  <c r="AB1003" i="2"/>
  <c r="AE1003" i="2" s="1"/>
  <c r="Z1002" i="2"/>
  <c r="AB999" i="2"/>
  <c r="AE999" i="2" s="1"/>
  <c r="Z998" i="2"/>
  <c r="AB995" i="2"/>
  <c r="AE995" i="2" s="1"/>
  <c r="Z994" i="2"/>
  <c r="AB991" i="2"/>
  <c r="AE991" i="2" s="1"/>
  <c r="Z990" i="2"/>
  <c r="AB987" i="2"/>
  <c r="AE987" i="2" s="1"/>
  <c r="Z986" i="2"/>
  <c r="AB983" i="2"/>
  <c r="AE983" i="2" s="1"/>
  <c r="Z982" i="2"/>
  <c r="AB979" i="2"/>
  <c r="AE979" i="2" s="1"/>
  <c r="Z978" i="2"/>
  <c r="AB975" i="2"/>
  <c r="AE975" i="2" s="1"/>
  <c r="Z974" i="2"/>
  <c r="AB971" i="2"/>
  <c r="AE971" i="2" s="1"/>
  <c r="Z970" i="2"/>
  <c r="AB967" i="2"/>
  <c r="AE967" i="2" s="1"/>
  <c r="Z966" i="2"/>
  <c r="AB963" i="2"/>
  <c r="AE963" i="2" s="1"/>
  <c r="Z962" i="2"/>
  <c r="AB959" i="2"/>
  <c r="AE959" i="2" s="1"/>
  <c r="Z958" i="2"/>
  <c r="AB955" i="2"/>
  <c r="AE955" i="2" s="1"/>
  <c r="Z954" i="2"/>
  <c r="AB951" i="2"/>
  <c r="AE951" i="2" s="1"/>
  <c r="Z950" i="2"/>
  <c r="AB947" i="2"/>
  <c r="AE947" i="2" s="1"/>
  <c r="Z946" i="2"/>
  <c r="AB943" i="2"/>
  <c r="AE943" i="2" s="1"/>
  <c r="Z942" i="2"/>
  <c r="AB939" i="2"/>
  <c r="AE939" i="2" s="1"/>
  <c r="Z938" i="2"/>
  <c r="AB935" i="2"/>
  <c r="AE935" i="2" s="1"/>
  <c r="Z934" i="2"/>
  <c r="AB931" i="2"/>
  <c r="AE931" i="2" s="1"/>
  <c r="Z930" i="2"/>
  <c r="AB927" i="2"/>
  <c r="AE927" i="2" s="1"/>
  <c r="Z926" i="2"/>
  <c r="AB923" i="2"/>
  <c r="AE923" i="2" s="1"/>
  <c r="Z922" i="2"/>
  <c r="AB919" i="2"/>
  <c r="AE919" i="2" s="1"/>
  <c r="Z918" i="2"/>
  <c r="AB915" i="2"/>
  <c r="AE915" i="2" s="1"/>
  <c r="Z914" i="2"/>
  <c r="AB911" i="2"/>
  <c r="AE911" i="2" s="1"/>
  <c r="Z910" i="2"/>
  <c r="AB907" i="2"/>
  <c r="AE907" i="2" s="1"/>
  <c r="Z906" i="2"/>
  <c r="AB903" i="2"/>
  <c r="AE903" i="2" s="1"/>
  <c r="Z902" i="2"/>
  <c r="AB899" i="2"/>
  <c r="AE899" i="2" s="1"/>
  <c r="Z898" i="2"/>
  <c r="AA1003" i="2"/>
  <c r="AB1000" i="2"/>
  <c r="AE1000" i="2" s="1"/>
  <c r="AA987" i="2"/>
  <c r="AA985" i="2"/>
  <c r="Z983" i="2"/>
  <c r="AB972" i="2"/>
  <c r="AE972" i="2" s="1"/>
  <c r="AA970" i="2"/>
  <c r="AA968" i="2"/>
  <c r="AA955" i="2"/>
  <c r="AA953" i="2"/>
  <c r="Z951" i="2"/>
  <c r="AB940" i="2"/>
  <c r="AE940" i="2" s="1"/>
  <c r="AA938" i="2"/>
  <c r="AA936" i="2"/>
  <c r="AA923" i="2"/>
  <c r="AA921" i="2"/>
  <c r="Z919" i="2"/>
  <c r="AB908" i="2"/>
  <c r="AE908" i="2" s="1"/>
  <c r="AA906" i="2"/>
  <c r="AA904" i="2"/>
  <c r="AA893" i="2"/>
  <c r="AA889" i="2"/>
  <c r="AA885" i="2"/>
  <c r="AA881" i="2"/>
  <c r="AA877" i="2"/>
  <c r="AA873" i="2"/>
  <c r="AA869" i="2"/>
  <c r="AA865" i="2"/>
  <c r="AA861" i="2"/>
  <c r="AA857" i="2"/>
  <c r="AA853" i="2"/>
  <c r="AA849" i="2"/>
  <c r="AA845" i="2"/>
  <c r="AA841" i="2"/>
  <c r="AA837" i="2"/>
  <c r="AA833" i="2"/>
  <c r="AA829" i="2"/>
  <c r="AA825" i="2"/>
  <c r="AA821" i="2"/>
  <c r="AA817" i="2"/>
  <c r="AA813" i="2"/>
  <c r="AA809" i="2"/>
  <c r="AA805" i="2"/>
  <c r="AA801" i="2"/>
  <c r="Z1003" i="2"/>
  <c r="AA997" i="2"/>
  <c r="AA991" i="2"/>
  <c r="AA989" i="2"/>
  <c r="Z987" i="2"/>
  <c r="AB976" i="2"/>
  <c r="AE976" i="2" s="1"/>
  <c r="AA974" i="2"/>
  <c r="AA972" i="2"/>
  <c r="AA959" i="2"/>
  <c r="AA957" i="2"/>
  <c r="AB1008" i="2"/>
  <c r="AE1008" i="2" s="1"/>
  <c r="Z991" i="2"/>
  <c r="AB980" i="2"/>
  <c r="AE980" i="2" s="1"/>
  <c r="AA978" i="2"/>
  <c r="AA976" i="2"/>
  <c r="AA963" i="2"/>
  <c r="AA961" i="2"/>
  <c r="Z959" i="2"/>
  <c r="AA1005" i="2"/>
  <c r="AA999" i="2"/>
  <c r="AB996" i="2"/>
  <c r="AE996" i="2" s="1"/>
  <c r="AB984" i="2"/>
  <c r="AE984" i="2" s="1"/>
  <c r="AA982" i="2"/>
  <c r="AA980" i="2"/>
  <c r="AA967" i="2"/>
  <c r="AA965" i="2"/>
  <c r="Z963" i="2"/>
  <c r="Z999" i="2"/>
  <c r="AA993" i="2"/>
  <c r="AB988" i="2"/>
  <c r="AE988" i="2" s="1"/>
  <c r="AA986" i="2"/>
  <c r="AA984" i="2"/>
  <c r="AA971" i="2"/>
  <c r="AA969" i="2"/>
  <c r="Z967" i="2"/>
  <c r="AB956" i="2"/>
  <c r="AE956" i="2" s="1"/>
  <c r="AA954" i="2"/>
  <c r="AA952" i="2"/>
  <c r="AA939" i="2"/>
  <c r="AA937" i="2"/>
  <c r="Z935" i="2"/>
  <c r="AB924" i="2"/>
  <c r="AE924" i="2" s="1"/>
  <c r="AA922" i="2"/>
  <c r="AA920" i="2"/>
  <c r="AA907" i="2"/>
  <c r="AA905" i="2"/>
  <c r="Z903" i="2"/>
  <c r="AA895" i="2"/>
  <c r="AA891" i="2"/>
  <c r="AA887" i="2"/>
  <c r="AA883" i="2"/>
  <c r="AA879" i="2"/>
  <c r="AA875" i="2"/>
  <c r="AA871" i="2"/>
  <c r="AA867" i="2"/>
  <c r="AA863" i="2"/>
  <c r="AA859" i="2"/>
  <c r="AA855" i="2"/>
  <c r="AA1007" i="2"/>
  <c r="AB1004" i="2"/>
  <c r="AE1004" i="2" s="1"/>
  <c r="AA990" i="2"/>
  <c r="AA988" i="2"/>
  <c r="Z1007" i="2"/>
  <c r="AA1001" i="2"/>
  <c r="AA995" i="2"/>
  <c r="AB992" i="2"/>
  <c r="AE992" i="2" s="1"/>
  <c r="AA979" i="2"/>
  <c r="AA977" i="2"/>
  <c r="Z975" i="2"/>
  <c r="AB964" i="2"/>
  <c r="AE964" i="2" s="1"/>
  <c r="AA962" i="2"/>
  <c r="AA960" i="2"/>
  <c r="AA947" i="2"/>
  <c r="AA945" i="2"/>
  <c r="Z943" i="2"/>
  <c r="AB932" i="2"/>
  <c r="AE932" i="2" s="1"/>
  <c r="AA930" i="2"/>
  <c r="AA928" i="2"/>
  <c r="Z995" i="2"/>
  <c r="AA958" i="2"/>
  <c r="AA948" i="2"/>
  <c r="AA942" i="2"/>
  <c r="AB936" i="2"/>
  <c r="AE936" i="2" s="1"/>
  <c r="AA927" i="2"/>
  <c r="AA900" i="2"/>
  <c r="AA897" i="2"/>
  <c r="AB895" i="2"/>
  <c r="AE895" i="2" s="1"/>
  <c r="AA892" i="2"/>
  <c r="AB887" i="2"/>
  <c r="AE887" i="2" s="1"/>
  <c r="AA884" i="2"/>
  <c r="AB879" i="2"/>
  <c r="AE879" i="2" s="1"/>
  <c r="AA876" i="2"/>
  <c r="AB871" i="2"/>
  <c r="AE871" i="2" s="1"/>
  <c r="AA868" i="2"/>
  <c r="AB863" i="2"/>
  <c r="AE863" i="2" s="1"/>
  <c r="AA860" i="2"/>
  <c r="AB855" i="2"/>
  <c r="AE855" i="2" s="1"/>
  <c r="AA852" i="2"/>
  <c r="AB849" i="2"/>
  <c r="AE849" i="2" s="1"/>
  <c r="AB846" i="2"/>
  <c r="AE846" i="2" s="1"/>
  <c r="AB843" i="2"/>
  <c r="AE843" i="2" s="1"/>
  <c r="Z842" i="2"/>
  <c r="Z839" i="2"/>
  <c r="AA836" i="2"/>
  <c r="AB833" i="2"/>
  <c r="AE833" i="2" s="1"/>
  <c r="AB830" i="2"/>
  <c r="AE830" i="2" s="1"/>
  <c r="AB827" i="2"/>
  <c r="AE827" i="2" s="1"/>
  <c r="Z826" i="2"/>
  <c r="Z823" i="2"/>
  <c r="AA820" i="2"/>
  <c r="AB817" i="2"/>
  <c r="AE817" i="2" s="1"/>
  <c r="AB814" i="2"/>
  <c r="AE814" i="2" s="1"/>
  <c r="AB811" i="2"/>
  <c r="AE811" i="2" s="1"/>
  <c r="Z810" i="2"/>
  <c r="Z807" i="2"/>
  <c r="AA804" i="2"/>
  <c r="AB801" i="2"/>
  <c r="AE801" i="2" s="1"/>
  <c r="AB798" i="2"/>
  <c r="AE798" i="2" s="1"/>
  <c r="Z797" i="2"/>
  <c r="AB794" i="2"/>
  <c r="AE794" i="2" s="1"/>
  <c r="Z793" i="2"/>
  <c r="AB790" i="2"/>
  <c r="AE790" i="2" s="1"/>
  <c r="Z789" i="2"/>
  <c r="AB944" i="2"/>
  <c r="AE944" i="2" s="1"/>
  <c r="Z939" i="2"/>
  <c r="AA933" i="2"/>
  <c r="Z927" i="2"/>
  <c r="AA918" i="2"/>
  <c r="AA915" i="2"/>
  <c r="AA908" i="2"/>
  <c r="Z895" i="2"/>
  <c r="Z892" i="2"/>
  <c r="AB890" i="2"/>
  <c r="AE890" i="2" s="1"/>
  <c r="Z887" i="2"/>
  <c r="Z884" i="2"/>
  <c r="AB882" i="2"/>
  <c r="AE882" i="2" s="1"/>
  <c r="Z879" i="2"/>
  <c r="Z876" i="2"/>
  <c r="AB874" i="2"/>
  <c r="AE874" i="2" s="1"/>
  <c r="Z871" i="2"/>
  <c r="Z868" i="2"/>
  <c r="AB866" i="2"/>
  <c r="AE866" i="2" s="1"/>
  <c r="Z863" i="2"/>
  <c r="Z860" i="2"/>
  <c r="AB858" i="2"/>
  <c r="AE858" i="2" s="1"/>
  <c r="Z855" i="2"/>
  <c r="Z852" i="2"/>
  <c r="Z849" i="2"/>
  <c r="AA846" i="2"/>
  <c r="AA843" i="2"/>
  <c r="AB840" i="2"/>
  <c r="AE840" i="2" s="1"/>
  <c r="Z836" i="2"/>
  <c r="Z833" i="2"/>
  <c r="AA830" i="2"/>
  <c r="AA827" i="2"/>
  <c r="AB824" i="2"/>
  <c r="AE824" i="2" s="1"/>
  <c r="Z820" i="2"/>
  <c r="Z817" i="2"/>
  <c r="AA814" i="2"/>
  <c r="AA811" i="2"/>
  <c r="AB808" i="2"/>
  <c r="AE808" i="2" s="1"/>
  <c r="Z804" i="2"/>
  <c r="Z801" i="2"/>
  <c r="AA798" i="2"/>
  <c r="AA794" i="2"/>
  <c r="AA790" i="2"/>
  <c r="AA981" i="2"/>
  <c r="Z971" i="2"/>
  <c r="AA950" i="2"/>
  <c r="Z947" i="2"/>
  <c r="AA944" i="2"/>
  <c r="AA929" i="2"/>
  <c r="AA924" i="2"/>
  <c r="Z915" i="2"/>
  <c r="AB912" i="2"/>
  <c r="AE912" i="2" s="1"/>
  <c r="AA910" i="2"/>
  <c r="AA902" i="2"/>
  <c r="AA899" i="2"/>
  <c r="AB893" i="2"/>
  <c r="AE893" i="2" s="1"/>
  <c r="AA890" i="2"/>
  <c r="AB885" i="2"/>
  <c r="AE885" i="2" s="1"/>
  <c r="AA882" i="2"/>
  <c r="AB877" i="2"/>
  <c r="AE877" i="2" s="1"/>
  <c r="AA874" i="2"/>
  <c r="AB869" i="2"/>
  <c r="AE869" i="2" s="1"/>
  <c r="AA866" i="2"/>
  <c r="AB861" i="2"/>
  <c r="AE861" i="2" s="1"/>
  <c r="AA858" i="2"/>
  <c r="AB853" i="2"/>
  <c r="AE853" i="2" s="1"/>
  <c r="AB850" i="2"/>
  <c r="AE850" i="2" s="1"/>
  <c r="AB847" i="2"/>
  <c r="AE847" i="2" s="1"/>
  <c r="Z846" i="2"/>
  <c r="Z843" i="2"/>
  <c r="AA840" i="2"/>
  <c r="AB837" i="2"/>
  <c r="AE837" i="2" s="1"/>
  <c r="AB834" i="2"/>
  <c r="AE834" i="2" s="1"/>
  <c r="AB831" i="2"/>
  <c r="AE831" i="2" s="1"/>
  <c r="Z830" i="2"/>
  <c r="Z827" i="2"/>
  <c r="AA824" i="2"/>
  <c r="AB821" i="2"/>
  <c r="AE821" i="2" s="1"/>
  <c r="AB818" i="2"/>
  <c r="AE818" i="2" s="1"/>
  <c r="AB815" i="2"/>
  <c r="AE815" i="2" s="1"/>
  <c r="Z814" i="2"/>
  <c r="Z811" i="2"/>
  <c r="AA808" i="2"/>
  <c r="AB805" i="2"/>
  <c r="AE805" i="2" s="1"/>
  <c r="AB802" i="2"/>
  <c r="AE802" i="2" s="1"/>
  <c r="AB799" i="2"/>
  <c r="AE799" i="2" s="1"/>
  <c r="Z798" i="2"/>
  <c r="AB795" i="2"/>
  <c r="AE795" i="2" s="1"/>
  <c r="Z794" i="2"/>
  <c r="AB791" i="2"/>
  <c r="AE791" i="2" s="1"/>
  <c r="Z790" i="2"/>
  <c r="AB787" i="2"/>
  <c r="AE787" i="2" s="1"/>
  <c r="AA975" i="2"/>
  <c r="AA966" i="2"/>
  <c r="AA935" i="2"/>
  <c r="AA932" i="2"/>
  <c r="AB920" i="2"/>
  <c r="AE920" i="2" s="1"/>
  <c r="AA912" i="2"/>
  <c r="Z899" i="2"/>
  <c r="AB896" i="2"/>
  <c r="AE896" i="2" s="1"/>
  <c r="Z893" i="2"/>
  <c r="Z890" i="2"/>
  <c r="AB888" i="2"/>
  <c r="AE888" i="2" s="1"/>
  <c r="Z885" i="2"/>
  <c r="Z882" i="2"/>
  <c r="AB880" i="2"/>
  <c r="AE880" i="2" s="1"/>
  <c r="Z877" i="2"/>
  <c r="Z874" i="2"/>
  <c r="AB872" i="2"/>
  <c r="AE872" i="2" s="1"/>
  <c r="Z869" i="2"/>
  <c r="Z866" i="2"/>
  <c r="AB864" i="2"/>
  <c r="AE864" i="2" s="1"/>
  <c r="Z861" i="2"/>
  <c r="Z858" i="2"/>
  <c r="AB856" i="2"/>
  <c r="AE856" i="2" s="1"/>
  <c r="Z853" i="2"/>
  <c r="AA850" i="2"/>
  <c r="AA847" i="2"/>
  <c r="AB844" i="2"/>
  <c r="AE844" i="2" s="1"/>
  <c r="Z840" i="2"/>
  <c r="Z837" i="2"/>
  <c r="AA834" i="2"/>
  <c r="AA831" i="2"/>
  <c r="AB828" i="2"/>
  <c r="AE828" i="2" s="1"/>
  <c r="Z824" i="2"/>
  <c r="Z821" i="2"/>
  <c r="AA818" i="2"/>
  <c r="AA815" i="2"/>
  <c r="AB812" i="2"/>
  <c r="AE812" i="2" s="1"/>
  <c r="Z808" i="2"/>
  <c r="Z805" i="2"/>
  <c r="AA802" i="2"/>
  <c r="AA799" i="2"/>
  <c r="AA795" i="2"/>
  <c r="AB960" i="2"/>
  <c r="AE960" i="2" s="1"/>
  <c r="AA956" i="2"/>
  <c r="AB952" i="2"/>
  <c r="AE952" i="2" s="1"/>
  <c r="AA946" i="2"/>
  <c r="AA941" i="2"/>
  <c r="AA926" i="2"/>
  <c r="Z923" i="2"/>
  <c r="AA917" i="2"/>
  <c r="AA914" i="2"/>
  <c r="Z907" i="2"/>
  <c r="AB904" i="2"/>
  <c r="AE904" i="2" s="1"/>
  <c r="AA896" i="2"/>
  <c r="AB891" i="2"/>
  <c r="AE891" i="2" s="1"/>
  <c r="AA888" i="2"/>
  <c r="AB883" i="2"/>
  <c r="AE883" i="2" s="1"/>
  <c r="AA880" i="2"/>
  <c r="AB875" i="2"/>
  <c r="AE875" i="2" s="1"/>
  <c r="AA872" i="2"/>
  <c r="AB867" i="2"/>
  <c r="AE867" i="2" s="1"/>
  <c r="AA864" i="2"/>
  <c r="AB859" i="2"/>
  <c r="AE859" i="2" s="1"/>
  <c r="AA856" i="2"/>
  <c r="AB851" i="2"/>
  <c r="AE851" i="2" s="1"/>
  <c r="Z850" i="2"/>
  <c r="Z847" i="2"/>
  <c r="AA844" i="2"/>
  <c r="AB841" i="2"/>
  <c r="AE841" i="2" s="1"/>
  <c r="AB838" i="2"/>
  <c r="AE838" i="2" s="1"/>
  <c r="AB835" i="2"/>
  <c r="AE835" i="2" s="1"/>
  <c r="Z834" i="2"/>
  <c r="Z831" i="2"/>
  <c r="AA828" i="2"/>
  <c r="AB825" i="2"/>
  <c r="AE825" i="2" s="1"/>
  <c r="AB822" i="2"/>
  <c r="AE822" i="2" s="1"/>
  <c r="AB819" i="2"/>
  <c r="AE819" i="2" s="1"/>
  <c r="Z818" i="2"/>
  <c r="Z815" i="2"/>
  <c r="AA812" i="2"/>
  <c r="AB809" i="2"/>
  <c r="AE809" i="2" s="1"/>
  <c r="AB806" i="2"/>
  <c r="AE806" i="2" s="1"/>
  <c r="AB803" i="2"/>
  <c r="AE803" i="2" s="1"/>
  <c r="Z802" i="2"/>
  <c r="Z799" i="2"/>
  <c r="AB796" i="2"/>
  <c r="AE796" i="2" s="1"/>
  <c r="Z795" i="2"/>
  <c r="AB792" i="2"/>
  <c r="AE792" i="2" s="1"/>
  <c r="Z791" i="2"/>
  <c r="Z979" i="2"/>
  <c r="AA949" i="2"/>
  <c r="AA943" i="2"/>
  <c r="AA931" i="2"/>
  <c r="AB928" i="2"/>
  <c r="AE928" i="2" s="1"/>
  <c r="AA901" i="2"/>
  <c r="AA898" i="2"/>
  <c r="Z896" i="2"/>
  <c r="AB894" i="2"/>
  <c r="AE894" i="2" s="1"/>
  <c r="Z891" i="2"/>
  <c r="Z888" i="2"/>
  <c r="AB886" i="2"/>
  <c r="AE886" i="2" s="1"/>
  <c r="Z883" i="2"/>
  <c r="Z880" i="2"/>
  <c r="AB878" i="2"/>
  <c r="AE878" i="2" s="1"/>
  <c r="Z875" i="2"/>
  <c r="Z872" i="2"/>
  <c r="AB870" i="2"/>
  <c r="AE870" i="2" s="1"/>
  <c r="Z867" i="2"/>
  <c r="Z864" i="2"/>
  <c r="AB862" i="2"/>
  <c r="AE862" i="2" s="1"/>
  <c r="Z859" i="2"/>
  <c r="Z856" i="2"/>
  <c r="AB854" i="2"/>
  <c r="AE854" i="2" s="1"/>
  <c r="AA851" i="2"/>
  <c r="AB848" i="2"/>
  <c r="AE848" i="2" s="1"/>
  <c r="Z844" i="2"/>
  <c r="Z841" i="2"/>
  <c r="AA838" i="2"/>
  <c r="AA835" i="2"/>
  <c r="AB832" i="2"/>
  <c r="AE832" i="2" s="1"/>
  <c r="Z828" i="2"/>
  <c r="Z825" i="2"/>
  <c r="AA822" i="2"/>
  <c r="AA819" i="2"/>
  <c r="AB816" i="2"/>
  <c r="AE816" i="2" s="1"/>
  <c r="Z812" i="2"/>
  <c r="Z809" i="2"/>
  <c r="AA806" i="2"/>
  <c r="AA803" i="2"/>
  <c r="AB800" i="2"/>
  <c r="AE800" i="2" s="1"/>
  <c r="AA796" i="2"/>
  <c r="AA964" i="2"/>
  <c r="Z955" i="2"/>
  <c r="AA940" i="2"/>
  <c r="AA934" i="2"/>
  <c r="Z931" i="2"/>
  <c r="AA919" i="2"/>
  <c r="AB916" i="2"/>
  <c r="AE916" i="2" s="1"/>
  <c r="AA911" i="2"/>
  <c r="AA909" i="2"/>
  <c r="AA894" i="2"/>
  <c r="AB889" i="2"/>
  <c r="AE889" i="2" s="1"/>
  <c r="AA886" i="2"/>
  <c r="AB881" i="2"/>
  <c r="AE881" i="2" s="1"/>
  <c r="AA878" i="2"/>
  <c r="AB873" i="2"/>
  <c r="AE873" i="2" s="1"/>
  <c r="AA870" i="2"/>
  <c r="AB865" i="2"/>
  <c r="AE865" i="2" s="1"/>
  <c r="AA862" i="2"/>
  <c r="AB857" i="2"/>
  <c r="AE857" i="2" s="1"/>
  <c r="AA854" i="2"/>
  <c r="Z851" i="2"/>
  <c r="AA848" i="2"/>
  <c r="AB845" i="2"/>
  <c r="AE845" i="2" s="1"/>
  <c r="AB842" i="2"/>
  <c r="AE842" i="2" s="1"/>
  <c r="AB839" i="2"/>
  <c r="AE839" i="2" s="1"/>
  <c r="Z838" i="2"/>
  <c r="Z835" i="2"/>
  <c r="AA832" i="2"/>
  <c r="AB829" i="2"/>
  <c r="AE829" i="2" s="1"/>
  <c r="AB826" i="2"/>
  <c r="AE826" i="2" s="1"/>
  <c r="AB823" i="2"/>
  <c r="AE823" i="2" s="1"/>
  <c r="Z822" i="2"/>
  <c r="Z819" i="2"/>
  <c r="AA816" i="2"/>
  <c r="AB813" i="2"/>
  <c r="AE813" i="2" s="1"/>
  <c r="AB810" i="2"/>
  <c r="AE810" i="2" s="1"/>
  <c r="AB807" i="2"/>
  <c r="AE807" i="2" s="1"/>
  <c r="Z806" i="2"/>
  <c r="Z803" i="2"/>
  <c r="AA800" i="2"/>
  <c r="AB797" i="2"/>
  <c r="AE797" i="2" s="1"/>
  <c r="Z796" i="2"/>
  <c r="AB793" i="2"/>
  <c r="AE793" i="2" s="1"/>
  <c r="Z792" i="2"/>
  <c r="AB789" i="2"/>
  <c r="AE789" i="2" s="1"/>
  <c r="Z788" i="2"/>
  <c r="AB785" i="2"/>
  <c r="AE785" i="2" s="1"/>
  <c r="Z784" i="2"/>
  <c r="AB781" i="2"/>
  <c r="AE781" i="2" s="1"/>
  <c r="Z780" i="2"/>
  <c r="AB777" i="2"/>
  <c r="AE777" i="2" s="1"/>
  <c r="AB900" i="2"/>
  <c r="AE900" i="2" s="1"/>
  <c r="Z845" i="2"/>
  <c r="Z829" i="2"/>
  <c r="Z813" i="2"/>
  <c r="AA797" i="2"/>
  <c r="AA787" i="2"/>
  <c r="AA784" i="2"/>
  <c r="Z781" i="2"/>
  <c r="Z778" i="2"/>
  <c r="AA775" i="2"/>
  <c r="AA771" i="2"/>
  <c r="AA767" i="2"/>
  <c r="AA763" i="2"/>
  <c r="AA759" i="2"/>
  <c r="AA755" i="2"/>
  <c r="AA751" i="2"/>
  <c r="AA747" i="2"/>
  <c r="AA743" i="2"/>
  <c r="AA739" i="2"/>
  <c r="AA735" i="2"/>
  <c r="AA731" i="2"/>
  <c r="AA727" i="2"/>
  <c r="AA723" i="2"/>
  <c r="AA719" i="2"/>
  <c r="AA715" i="2"/>
  <c r="AA711" i="2"/>
  <c r="AA707" i="2"/>
  <c r="AA703" i="2"/>
  <c r="AA699" i="2"/>
  <c r="AA695" i="2"/>
  <c r="AA691" i="2"/>
  <c r="AA687" i="2"/>
  <c r="AA683" i="2"/>
  <c r="AA679" i="2"/>
  <c r="AA675" i="2"/>
  <c r="AA671" i="2"/>
  <c r="AA667" i="2"/>
  <c r="AA663" i="2"/>
  <c r="AA659" i="2"/>
  <c r="AA655" i="2"/>
  <c r="AA651" i="2"/>
  <c r="AA647" i="2"/>
  <c r="AA643" i="2"/>
  <c r="AA639" i="2"/>
  <c r="AA635" i="2"/>
  <c r="AA631" i="2"/>
  <c r="AA627" i="2"/>
  <c r="AA623" i="2"/>
  <c r="AA619" i="2"/>
  <c r="AA615" i="2"/>
  <c r="AA611" i="2"/>
  <c r="AA607" i="2"/>
  <c r="AA603" i="2"/>
  <c r="AA599" i="2"/>
  <c r="AA595" i="2"/>
  <c r="AA591" i="2"/>
  <c r="AA587" i="2"/>
  <c r="AA583" i="2"/>
  <c r="AA579" i="2"/>
  <c r="AA575" i="2"/>
  <c r="AA571" i="2"/>
  <c r="AA567" i="2"/>
  <c r="AA563" i="2"/>
  <c r="AA559" i="2"/>
  <c r="AA555" i="2"/>
  <c r="AA551" i="2"/>
  <c r="AA547" i="2"/>
  <c r="AA543" i="2"/>
  <c r="AA539" i="2"/>
  <c r="AA535" i="2"/>
  <c r="Z911" i="2"/>
  <c r="AA839" i="2"/>
  <c r="AA823" i="2"/>
  <c r="AA807" i="2"/>
  <c r="AA792" i="2"/>
  <c r="Z787" i="2"/>
  <c r="AB782" i="2"/>
  <c r="AE782" i="2" s="1"/>
  <c r="AB779" i="2"/>
  <c r="AE779" i="2" s="1"/>
  <c r="AB776" i="2"/>
  <c r="AE776" i="2" s="1"/>
  <c r="Z775" i="2"/>
  <c r="AB772" i="2"/>
  <c r="AE772" i="2" s="1"/>
  <c r="Z771" i="2"/>
  <c r="AB768" i="2"/>
  <c r="AE768" i="2" s="1"/>
  <c r="Z767" i="2"/>
  <c r="AB764" i="2"/>
  <c r="AE764" i="2" s="1"/>
  <c r="Z763" i="2"/>
  <c r="AB760" i="2"/>
  <c r="AE760" i="2" s="1"/>
  <c r="Z759" i="2"/>
  <c r="AB756" i="2"/>
  <c r="AE756" i="2" s="1"/>
  <c r="Z755" i="2"/>
  <c r="AB752" i="2"/>
  <c r="AE752" i="2" s="1"/>
  <c r="Z751" i="2"/>
  <c r="AB748" i="2"/>
  <c r="AE748" i="2" s="1"/>
  <c r="Z747" i="2"/>
  <c r="AB744" i="2"/>
  <c r="AE744" i="2" s="1"/>
  <c r="Z743" i="2"/>
  <c r="AB740" i="2"/>
  <c r="AE740" i="2" s="1"/>
  <c r="Z739" i="2"/>
  <c r="AB736" i="2"/>
  <c r="AE736" i="2" s="1"/>
  <c r="Z735" i="2"/>
  <c r="AB732" i="2"/>
  <c r="AE732" i="2" s="1"/>
  <c r="Z731" i="2"/>
  <c r="AB728" i="2"/>
  <c r="AE728" i="2" s="1"/>
  <c r="Z727" i="2"/>
  <c r="AB724" i="2"/>
  <c r="AE724" i="2" s="1"/>
  <c r="Z723" i="2"/>
  <c r="AB720" i="2"/>
  <c r="AE720" i="2" s="1"/>
  <c r="Z719" i="2"/>
  <c r="AB716" i="2"/>
  <c r="AE716" i="2" s="1"/>
  <c r="Z715" i="2"/>
  <c r="AB712" i="2"/>
  <c r="AE712" i="2" s="1"/>
  <c r="Z711" i="2"/>
  <c r="AB708" i="2"/>
  <c r="AE708" i="2" s="1"/>
  <c r="Z707" i="2"/>
  <c r="AA916" i="2"/>
  <c r="AB892" i="2"/>
  <c r="AE892" i="2" s="1"/>
  <c r="AB876" i="2"/>
  <c r="AE876" i="2" s="1"/>
  <c r="AB860" i="2"/>
  <c r="AE860" i="2" s="1"/>
  <c r="AA789" i="2"/>
  <c r="AA785" i="2"/>
  <c r="AA782" i="2"/>
  <c r="AA779" i="2"/>
  <c r="AA776" i="2"/>
  <c r="AA772" i="2"/>
  <c r="AA768" i="2"/>
  <c r="AA764" i="2"/>
  <c r="AA760" i="2"/>
  <c r="AA756" i="2"/>
  <c r="AA752" i="2"/>
  <c r="AA748" i="2"/>
  <c r="AA744" i="2"/>
  <c r="AA740" i="2"/>
  <c r="AA736" i="2"/>
  <c r="AA732" i="2"/>
  <c r="AA728" i="2"/>
  <c r="AA724" i="2"/>
  <c r="AA720" i="2"/>
  <c r="AA716" i="2"/>
  <c r="AA712" i="2"/>
  <c r="AA708" i="2"/>
  <c r="AB948" i="2"/>
  <c r="AE948" i="2" s="1"/>
  <c r="Z886" i="2"/>
  <c r="Z881" i="2"/>
  <c r="Z870" i="2"/>
  <c r="Z865" i="2"/>
  <c r="Z854" i="2"/>
  <c r="Z785" i="2"/>
  <c r="Z782" i="2"/>
  <c r="Z779" i="2"/>
  <c r="Z776" i="2"/>
  <c r="AB773" i="2"/>
  <c r="AE773" i="2" s="1"/>
  <c r="Z772" i="2"/>
  <c r="AB769" i="2"/>
  <c r="AE769" i="2" s="1"/>
  <c r="Z768" i="2"/>
  <c r="AB765" i="2"/>
  <c r="AE765" i="2" s="1"/>
  <c r="Z764" i="2"/>
  <c r="AB761" i="2"/>
  <c r="AE761" i="2" s="1"/>
  <c r="Z760" i="2"/>
  <c r="AB757" i="2"/>
  <c r="AE757" i="2" s="1"/>
  <c r="Z756" i="2"/>
  <c r="AB753" i="2"/>
  <c r="AE753" i="2" s="1"/>
  <c r="Z752" i="2"/>
  <c r="AB749" i="2"/>
  <c r="AE749" i="2" s="1"/>
  <c r="Z748" i="2"/>
  <c r="AB745" i="2"/>
  <c r="AE745" i="2" s="1"/>
  <c r="Z744" i="2"/>
  <c r="AB741" i="2"/>
  <c r="AE741" i="2" s="1"/>
  <c r="Z740" i="2"/>
  <c r="AB737" i="2"/>
  <c r="AE737" i="2" s="1"/>
  <c r="Z736" i="2"/>
  <c r="AB733" i="2"/>
  <c r="AE733" i="2" s="1"/>
  <c r="Z732" i="2"/>
  <c r="AB729" i="2"/>
  <c r="AE729" i="2" s="1"/>
  <c r="Z728" i="2"/>
  <c r="AB725" i="2"/>
  <c r="AE725" i="2" s="1"/>
  <c r="Z724" i="2"/>
  <c r="AB721" i="2"/>
  <c r="AE721" i="2" s="1"/>
  <c r="Z720" i="2"/>
  <c r="AB717" i="2"/>
  <c r="AE717" i="2" s="1"/>
  <c r="Z716" i="2"/>
  <c r="AB713" i="2"/>
  <c r="AE713" i="2" s="1"/>
  <c r="Z712" i="2"/>
  <c r="AB709" i="2"/>
  <c r="AE709" i="2" s="1"/>
  <c r="AA983" i="2"/>
  <c r="AA903" i="2"/>
  <c r="Z848" i="2"/>
  <c r="AA842" i="2"/>
  <c r="Z832" i="2"/>
  <c r="AA826" i="2"/>
  <c r="Z816" i="2"/>
  <c r="AA810" i="2"/>
  <c r="Z800" i="2"/>
  <c r="AA791" i="2"/>
  <c r="AB788" i="2"/>
  <c r="AE788" i="2" s="1"/>
  <c r="AB786" i="2"/>
  <c r="AE786" i="2" s="1"/>
  <c r="AB783" i="2"/>
  <c r="AE783" i="2" s="1"/>
  <c r="AB780" i="2"/>
  <c r="AE780" i="2" s="1"/>
  <c r="AA777" i="2"/>
  <c r="AA773" i="2"/>
  <c r="AA769" i="2"/>
  <c r="AA765" i="2"/>
  <c r="AA761" i="2"/>
  <c r="AA757" i="2"/>
  <c r="AA753" i="2"/>
  <c r="AA749" i="2"/>
  <c r="AA745" i="2"/>
  <c r="AA741" i="2"/>
  <c r="AA737" i="2"/>
  <c r="AA733" i="2"/>
  <c r="AA729" i="2"/>
  <c r="AA725" i="2"/>
  <c r="AA721" i="2"/>
  <c r="AA717" i="2"/>
  <c r="AA713" i="2"/>
  <c r="AA709" i="2"/>
  <c r="AA705" i="2"/>
  <c r="AA701" i="2"/>
  <c r="AA697" i="2"/>
  <c r="AA693" i="2"/>
  <c r="AA689" i="2"/>
  <c r="AA685" i="2"/>
  <c r="AA681" i="2"/>
  <c r="AA677" i="2"/>
  <c r="AA673" i="2"/>
  <c r="AA669" i="2"/>
  <c r="AA665" i="2"/>
  <c r="AA661" i="2"/>
  <c r="AA657" i="2"/>
  <c r="AB968" i="2"/>
  <c r="AE968" i="2" s="1"/>
  <c r="AA788" i="2"/>
  <c r="AA786" i="2"/>
  <c r="AA783" i="2"/>
  <c r="AA780" i="2"/>
  <c r="Z777" i="2"/>
  <c r="AB774" i="2"/>
  <c r="AE774" i="2" s="1"/>
  <c r="Z773" i="2"/>
  <c r="AB770" i="2"/>
  <c r="AE770" i="2" s="1"/>
  <c r="Z769" i="2"/>
  <c r="AB766" i="2"/>
  <c r="AE766" i="2" s="1"/>
  <c r="Z765" i="2"/>
  <c r="AB762" i="2"/>
  <c r="AE762" i="2" s="1"/>
  <c r="Z761" i="2"/>
  <c r="AB758" i="2"/>
  <c r="AE758" i="2" s="1"/>
  <c r="Z757" i="2"/>
  <c r="AB754" i="2"/>
  <c r="AE754" i="2" s="1"/>
  <c r="Z753" i="2"/>
  <c r="AB750" i="2"/>
  <c r="AE750" i="2" s="1"/>
  <c r="Z749" i="2"/>
  <c r="AB746" i="2"/>
  <c r="AE746" i="2" s="1"/>
  <c r="Z745" i="2"/>
  <c r="AB742" i="2"/>
  <c r="AE742" i="2" s="1"/>
  <c r="Z741" i="2"/>
  <c r="AB738" i="2"/>
  <c r="AE738" i="2" s="1"/>
  <c r="Z737" i="2"/>
  <c r="AB734" i="2"/>
  <c r="AE734" i="2" s="1"/>
  <c r="Z733" i="2"/>
  <c r="AB730" i="2"/>
  <c r="AE730" i="2" s="1"/>
  <c r="Z729" i="2"/>
  <c r="AB726" i="2"/>
  <c r="AE726" i="2" s="1"/>
  <c r="Z725" i="2"/>
  <c r="AB722" i="2"/>
  <c r="AE722" i="2" s="1"/>
  <c r="Z721" i="2"/>
  <c r="AA925" i="2"/>
  <c r="AA913" i="2"/>
  <c r="AB884" i="2"/>
  <c r="AE884" i="2" s="1"/>
  <c r="AB868" i="2"/>
  <c r="AE868" i="2" s="1"/>
  <c r="AB852" i="2"/>
  <c r="AE852" i="2" s="1"/>
  <c r="AB836" i="2"/>
  <c r="AE836" i="2" s="1"/>
  <c r="AB820" i="2"/>
  <c r="AE820" i="2" s="1"/>
  <c r="AB804" i="2"/>
  <c r="AE804" i="2" s="1"/>
  <c r="Z786" i="2"/>
  <c r="Z783" i="2"/>
  <c r="AB778" i="2"/>
  <c r="AE778" i="2" s="1"/>
  <c r="AA774" i="2"/>
  <c r="AA770" i="2"/>
  <c r="AA766" i="2"/>
  <c r="AA762" i="2"/>
  <c r="AA758" i="2"/>
  <c r="AA754" i="2"/>
  <c r="AA750" i="2"/>
  <c r="AA746" i="2"/>
  <c r="AA742" i="2"/>
  <c r="AA738" i="2"/>
  <c r="AA734" i="2"/>
  <c r="AA730" i="2"/>
  <c r="AA726" i="2"/>
  <c r="AA722" i="2"/>
  <c r="AA718" i="2"/>
  <c r="AA714" i="2"/>
  <c r="AA710" i="2"/>
  <c r="AA706" i="2"/>
  <c r="AA702" i="2"/>
  <c r="AA698" i="2"/>
  <c r="AA694" i="2"/>
  <c r="AA690" i="2"/>
  <c r="AA686" i="2"/>
  <c r="AA682" i="2"/>
  <c r="AA678" i="2"/>
  <c r="AA674" i="2"/>
  <c r="AA670" i="2"/>
  <c r="AA666" i="2"/>
  <c r="AA662" i="2"/>
  <c r="AA658" i="2"/>
  <c r="AA654" i="2"/>
  <c r="AA650" i="2"/>
  <c r="AA646" i="2"/>
  <c r="AA642" i="2"/>
  <c r="AA638" i="2"/>
  <c r="AA634" i="2"/>
  <c r="AA630" i="2"/>
  <c r="AA626" i="2"/>
  <c r="AA622" i="2"/>
  <c r="AA618" i="2"/>
  <c r="AA614" i="2"/>
  <c r="AA610" i="2"/>
  <c r="AA606" i="2"/>
  <c r="AA602" i="2"/>
  <c r="AA778" i="2"/>
  <c r="AB755" i="2"/>
  <c r="AE755" i="2" s="1"/>
  <c r="Z746" i="2"/>
  <c r="AB723" i="2"/>
  <c r="AE723" i="2" s="1"/>
  <c r="Z709" i="2"/>
  <c r="Z703" i="2"/>
  <c r="AB701" i="2"/>
  <c r="AE701" i="2" s="1"/>
  <c r="Z696" i="2"/>
  <c r="AB694" i="2"/>
  <c r="AE694" i="2" s="1"/>
  <c r="AB692" i="2"/>
  <c r="AE692" i="2" s="1"/>
  <c r="Z687" i="2"/>
  <c r="AB685" i="2"/>
  <c r="AE685" i="2" s="1"/>
  <c r="Z680" i="2"/>
  <c r="AB678" i="2"/>
  <c r="AE678" i="2" s="1"/>
  <c r="AB676" i="2"/>
  <c r="AE676" i="2" s="1"/>
  <c r="Z671" i="2"/>
  <c r="AB669" i="2"/>
  <c r="AE669" i="2" s="1"/>
  <c r="Z664" i="2"/>
  <c r="AB662" i="2"/>
  <c r="AE662" i="2" s="1"/>
  <c r="AB660" i="2"/>
  <c r="AE660" i="2" s="1"/>
  <c r="Z655" i="2"/>
  <c r="AB653" i="2"/>
  <c r="AE653" i="2" s="1"/>
  <c r="AB650" i="2"/>
  <c r="AE650" i="2" s="1"/>
  <c r="Z647" i="2"/>
  <c r="AB645" i="2"/>
  <c r="AE645" i="2" s="1"/>
  <c r="AB642" i="2"/>
  <c r="AE642" i="2" s="1"/>
  <c r="Z639" i="2"/>
  <c r="AB637" i="2"/>
  <c r="AE637" i="2" s="1"/>
  <c r="AB634" i="2"/>
  <c r="AE634" i="2" s="1"/>
  <c r="Z631" i="2"/>
  <c r="AB629" i="2"/>
  <c r="AE629" i="2" s="1"/>
  <c r="AB626" i="2"/>
  <c r="AE626" i="2" s="1"/>
  <c r="Z623" i="2"/>
  <c r="AB621" i="2"/>
  <c r="AE621" i="2" s="1"/>
  <c r="AB618" i="2"/>
  <c r="AE618" i="2" s="1"/>
  <c r="Z615" i="2"/>
  <c r="AB613" i="2"/>
  <c r="AE613" i="2" s="1"/>
  <c r="AB610" i="2"/>
  <c r="AE610" i="2" s="1"/>
  <c r="Z607" i="2"/>
  <c r="AB605" i="2"/>
  <c r="AE605" i="2" s="1"/>
  <c r="AB602" i="2"/>
  <c r="AE602" i="2" s="1"/>
  <c r="AB599" i="2"/>
  <c r="AE599" i="2" s="1"/>
  <c r="AB596" i="2"/>
  <c r="AE596" i="2" s="1"/>
  <c r="AB593" i="2"/>
  <c r="AE593" i="2" s="1"/>
  <c r="Z592" i="2"/>
  <c r="Z589" i="2"/>
  <c r="AA586" i="2"/>
  <c r="AB583" i="2"/>
  <c r="AE583" i="2" s="1"/>
  <c r="AB580" i="2"/>
  <c r="AE580" i="2" s="1"/>
  <c r="AB577" i="2"/>
  <c r="AE577" i="2" s="1"/>
  <c r="Z576" i="2"/>
  <c r="Z573" i="2"/>
  <c r="AA570" i="2"/>
  <c r="AB567" i="2"/>
  <c r="AE567" i="2" s="1"/>
  <c r="AB564" i="2"/>
  <c r="AE564" i="2" s="1"/>
  <c r="Z878" i="2"/>
  <c r="Z857" i="2"/>
  <c r="AB759" i="2"/>
  <c r="AE759" i="2" s="1"/>
  <c r="Z750" i="2"/>
  <c r="AB727" i="2"/>
  <c r="AE727" i="2" s="1"/>
  <c r="AB718" i="2"/>
  <c r="AE718" i="2" s="1"/>
  <c r="AB715" i="2"/>
  <c r="AE715" i="2" s="1"/>
  <c r="Z701" i="2"/>
  <c r="AB699" i="2"/>
  <c r="AE699" i="2" s="1"/>
  <c r="Z694" i="2"/>
  <c r="AA692" i="2"/>
  <c r="Z685" i="2"/>
  <c r="AB683" i="2"/>
  <c r="AE683" i="2" s="1"/>
  <c r="Z678" i="2"/>
  <c r="AA676" i="2"/>
  <c r="Z669" i="2"/>
  <c r="AB667" i="2"/>
  <c r="AE667" i="2" s="1"/>
  <c r="Z662" i="2"/>
  <c r="AA660" i="2"/>
  <c r="AA653" i="2"/>
  <c r="Z650" i="2"/>
  <c r="AB648" i="2"/>
  <c r="AE648" i="2" s="1"/>
  <c r="AA645" i="2"/>
  <c r="Z642" i="2"/>
  <c r="AB640" i="2"/>
  <c r="AE640" i="2" s="1"/>
  <c r="AA637" i="2"/>
  <c r="Z634" i="2"/>
  <c r="AB632" i="2"/>
  <c r="AE632" i="2" s="1"/>
  <c r="AA629" i="2"/>
  <c r="Z626" i="2"/>
  <c r="AB624" i="2"/>
  <c r="AE624" i="2" s="1"/>
  <c r="AA621" i="2"/>
  <c r="Z618" i="2"/>
  <c r="AB616" i="2"/>
  <c r="AE616" i="2" s="1"/>
  <c r="AA613" i="2"/>
  <c r="Z610" i="2"/>
  <c r="AB608" i="2"/>
  <c r="AE608" i="2" s="1"/>
  <c r="AA605" i="2"/>
  <c r="Z602" i="2"/>
  <c r="Z599" i="2"/>
  <c r="AA596" i="2"/>
  <c r="AA593" i="2"/>
  <c r="AB590" i="2"/>
  <c r="AE590" i="2" s="1"/>
  <c r="Z586" i="2"/>
  <c r="Z583" i="2"/>
  <c r="AA580" i="2"/>
  <c r="AA577" i="2"/>
  <c r="AB574" i="2"/>
  <c r="AE574" i="2" s="1"/>
  <c r="Z570" i="2"/>
  <c r="Z567" i="2"/>
  <c r="AA564" i="2"/>
  <c r="AA793" i="2"/>
  <c r="AB763" i="2"/>
  <c r="AE763" i="2" s="1"/>
  <c r="Z754" i="2"/>
  <c r="AB731" i="2"/>
  <c r="AE731" i="2" s="1"/>
  <c r="Z722" i="2"/>
  <c r="Z718" i="2"/>
  <c r="AB706" i="2"/>
  <c r="AE706" i="2" s="1"/>
  <c r="AB704" i="2"/>
  <c r="AE704" i="2" s="1"/>
  <c r="Z699" i="2"/>
  <c r="AB697" i="2"/>
  <c r="AE697" i="2" s="1"/>
  <c r="Z692" i="2"/>
  <c r="AB690" i="2"/>
  <c r="AE690" i="2" s="1"/>
  <c r="AB688" i="2"/>
  <c r="AE688" i="2" s="1"/>
  <c r="Z683" i="2"/>
  <c r="AB681" i="2"/>
  <c r="AE681" i="2" s="1"/>
  <c r="Z676" i="2"/>
  <c r="AB674" i="2"/>
  <c r="AE674" i="2" s="1"/>
  <c r="AB672" i="2"/>
  <c r="AE672" i="2" s="1"/>
  <c r="Z667" i="2"/>
  <c r="AB665" i="2"/>
  <c r="AE665" i="2" s="1"/>
  <c r="Z660" i="2"/>
  <c r="AB658" i="2"/>
  <c r="AE658" i="2" s="1"/>
  <c r="AB656" i="2"/>
  <c r="AE656" i="2" s="1"/>
  <c r="Z653" i="2"/>
  <c r="AA648" i="2"/>
  <c r="Z645" i="2"/>
  <c r="AA640" i="2"/>
  <c r="Z637" i="2"/>
  <c r="AA632" i="2"/>
  <c r="Z629" i="2"/>
  <c r="AA624" i="2"/>
  <c r="Z621" i="2"/>
  <c r="AA616" i="2"/>
  <c r="Z613" i="2"/>
  <c r="AA608" i="2"/>
  <c r="Z605" i="2"/>
  <c r="AB600" i="2"/>
  <c r="AE600" i="2" s="1"/>
  <c r="AB597" i="2"/>
  <c r="AE597" i="2" s="1"/>
  <c r="Z596" i="2"/>
  <c r="Z593" i="2"/>
  <c r="AA590" i="2"/>
  <c r="AB587" i="2"/>
  <c r="AE587" i="2" s="1"/>
  <c r="AB584" i="2"/>
  <c r="AE584" i="2" s="1"/>
  <c r="AB581" i="2"/>
  <c r="AE581" i="2" s="1"/>
  <c r="Z580" i="2"/>
  <c r="Z577" i="2"/>
  <c r="AA574" i="2"/>
  <c r="AB571" i="2"/>
  <c r="AE571" i="2" s="1"/>
  <c r="AB568" i="2"/>
  <c r="AE568" i="2" s="1"/>
  <c r="AB565" i="2"/>
  <c r="AE565" i="2" s="1"/>
  <c r="Z564" i="2"/>
  <c r="Z862" i="2"/>
  <c r="AA781" i="2"/>
  <c r="AB767" i="2"/>
  <c r="AE767" i="2" s="1"/>
  <c r="Z758" i="2"/>
  <c r="AB735" i="2"/>
  <c r="AE735" i="2" s="1"/>
  <c r="Z726" i="2"/>
  <c r="AB714" i="2"/>
  <c r="AE714" i="2" s="1"/>
  <c r="AB711" i="2"/>
  <c r="AE711" i="2" s="1"/>
  <c r="Z708" i="2"/>
  <c r="Z706" i="2"/>
  <c r="AA704" i="2"/>
  <c r="Z697" i="2"/>
  <c r="AB695" i="2"/>
  <c r="AE695" i="2" s="1"/>
  <c r="Z690" i="2"/>
  <c r="AA688" i="2"/>
  <c r="Z681" i="2"/>
  <c r="AB679" i="2"/>
  <c r="AE679" i="2" s="1"/>
  <c r="Z674" i="2"/>
  <c r="AA672" i="2"/>
  <c r="Z665" i="2"/>
  <c r="AB663" i="2"/>
  <c r="AE663" i="2" s="1"/>
  <c r="Z658" i="2"/>
  <c r="AA656" i="2"/>
  <c r="AB651" i="2"/>
  <c r="AE651" i="2" s="1"/>
  <c r="Z648" i="2"/>
  <c r="AB643" i="2"/>
  <c r="AE643" i="2" s="1"/>
  <c r="Z640" i="2"/>
  <c r="AB635" i="2"/>
  <c r="AE635" i="2" s="1"/>
  <c r="Z632" i="2"/>
  <c r="AB627" i="2"/>
  <c r="AE627" i="2" s="1"/>
  <c r="Z624" i="2"/>
  <c r="AB619" i="2"/>
  <c r="AE619" i="2" s="1"/>
  <c r="Z616" i="2"/>
  <c r="AB611" i="2"/>
  <c r="AE611" i="2" s="1"/>
  <c r="Z608" i="2"/>
  <c r="AB603" i="2"/>
  <c r="AE603" i="2" s="1"/>
  <c r="AA600" i="2"/>
  <c r="AA597" i="2"/>
  <c r="AB594" i="2"/>
  <c r="AE594" i="2" s="1"/>
  <c r="Z590" i="2"/>
  <c r="Z587" i="2"/>
  <c r="AA584" i="2"/>
  <c r="AA581" i="2"/>
  <c r="AB578" i="2"/>
  <c r="AE578" i="2" s="1"/>
  <c r="Z574" i="2"/>
  <c r="Z571" i="2"/>
  <c r="AA568" i="2"/>
  <c r="AA565" i="2"/>
  <c r="AB562" i="2"/>
  <c r="AE562" i="2" s="1"/>
  <c r="Z558" i="2"/>
  <c r="Z555" i="2"/>
  <c r="AA552" i="2"/>
  <c r="AA549" i="2"/>
  <c r="AB546" i="2"/>
  <c r="AE546" i="2" s="1"/>
  <c r="Z542" i="2"/>
  <c r="Z539" i="2"/>
  <c r="AA536" i="2"/>
  <c r="AA533" i="2"/>
  <c r="AA529" i="2"/>
  <c r="AA525" i="2"/>
  <c r="AA521" i="2"/>
  <c r="AA517" i="2"/>
  <c r="AA513" i="2"/>
  <c r="AA509" i="2"/>
  <c r="AA505" i="2"/>
  <c r="AA501" i="2"/>
  <c r="AA497" i="2"/>
  <c r="AA493" i="2"/>
  <c r="AA489" i="2"/>
  <c r="AA485" i="2"/>
  <c r="AA481" i="2"/>
  <c r="AA477" i="2"/>
  <c r="AA473" i="2"/>
  <c r="AA469" i="2"/>
  <c r="AA465" i="2"/>
  <c r="AA951" i="2"/>
  <c r="AB771" i="2"/>
  <c r="AE771" i="2" s="1"/>
  <c r="Z762" i="2"/>
  <c r="AB739" i="2"/>
  <c r="AE739" i="2" s="1"/>
  <c r="Z730" i="2"/>
  <c r="Z717" i="2"/>
  <c r="Z714" i="2"/>
  <c r="Z704" i="2"/>
  <c r="AB702" i="2"/>
  <c r="AE702" i="2" s="1"/>
  <c r="AB700" i="2"/>
  <c r="AE700" i="2" s="1"/>
  <c r="Z695" i="2"/>
  <c r="AB693" i="2"/>
  <c r="AE693" i="2" s="1"/>
  <c r="Z688" i="2"/>
  <c r="AB686" i="2"/>
  <c r="AE686" i="2" s="1"/>
  <c r="AB684" i="2"/>
  <c r="AE684" i="2" s="1"/>
  <c r="Z679" i="2"/>
  <c r="AB677" i="2"/>
  <c r="AE677" i="2" s="1"/>
  <c r="Z672" i="2"/>
  <c r="AB670" i="2"/>
  <c r="AE670" i="2" s="1"/>
  <c r="AB668" i="2"/>
  <c r="AE668" i="2" s="1"/>
  <c r="Z663" i="2"/>
  <c r="AB661" i="2"/>
  <c r="AE661" i="2" s="1"/>
  <c r="Z656" i="2"/>
  <c r="AB654" i="2"/>
  <c r="AE654" i="2" s="1"/>
  <c r="Z651" i="2"/>
  <c r="AB649" i="2"/>
  <c r="AE649" i="2" s="1"/>
  <c r="AB646" i="2"/>
  <c r="AE646" i="2" s="1"/>
  <c r="Z643" i="2"/>
  <c r="AB641" i="2"/>
  <c r="AE641" i="2" s="1"/>
  <c r="AB638" i="2"/>
  <c r="AE638" i="2" s="1"/>
  <c r="Z635" i="2"/>
  <c r="AB633" i="2"/>
  <c r="AE633" i="2" s="1"/>
  <c r="AB630" i="2"/>
  <c r="AE630" i="2" s="1"/>
  <c r="Z627" i="2"/>
  <c r="AB625" i="2"/>
  <c r="AE625" i="2" s="1"/>
  <c r="AB622" i="2"/>
  <c r="AE622" i="2" s="1"/>
  <c r="Z619" i="2"/>
  <c r="AB617" i="2"/>
  <c r="AE617" i="2" s="1"/>
  <c r="AB614" i="2"/>
  <c r="AE614" i="2" s="1"/>
  <c r="Z611" i="2"/>
  <c r="AB609" i="2"/>
  <c r="AE609" i="2" s="1"/>
  <c r="AB606" i="2"/>
  <c r="AE606" i="2" s="1"/>
  <c r="Z603" i="2"/>
  <c r="AB601" i="2"/>
  <c r="AE601" i="2" s="1"/>
  <c r="Z600" i="2"/>
  <c r="Z597" i="2"/>
  <c r="AA594" i="2"/>
  <c r="AB591" i="2"/>
  <c r="AE591" i="2" s="1"/>
  <c r="AB588" i="2"/>
  <c r="AE588" i="2" s="1"/>
  <c r="AB585" i="2"/>
  <c r="AE585" i="2" s="1"/>
  <c r="Z584" i="2"/>
  <c r="Z581" i="2"/>
  <c r="AA578" i="2"/>
  <c r="AA973" i="2"/>
  <c r="Z889" i="2"/>
  <c r="AB775" i="2"/>
  <c r="AE775" i="2" s="1"/>
  <c r="Z766" i="2"/>
  <c r="AB743" i="2"/>
  <c r="AE743" i="2" s="1"/>
  <c r="Z734" i="2"/>
  <c r="AB710" i="2"/>
  <c r="AE710" i="2" s="1"/>
  <c r="Z702" i="2"/>
  <c r="AA700" i="2"/>
  <c r="Z693" i="2"/>
  <c r="AB691" i="2"/>
  <c r="AE691" i="2" s="1"/>
  <c r="Z686" i="2"/>
  <c r="AA684" i="2"/>
  <c r="Z677" i="2"/>
  <c r="AB675" i="2"/>
  <c r="AE675" i="2" s="1"/>
  <c r="Z670" i="2"/>
  <c r="AA668" i="2"/>
  <c r="Z661" i="2"/>
  <c r="AB659" i="2"/>
  <c r="AE659" i="2" s="1"/>
  <c r="Z654" i="2"/>
  <c r="AB652" i="2"/>
  <c r="AE652" i="2" s="1"/>
  <c r="AA649" i="2"/>
  <c r="Z646" i="2"/>
  <c r="AB644" i="2"/>
  <c r="AE644" i="2" s="1"/>
  <c r="AA641" i="2"/>
  <c r="Z638" i="2"/>
  <c r="AB636" i="2"/>
  <c r="AE636" i="2" s="1"/>
  <c r="AA633" i="2"/>
  <c r="Z630" i="2"/>
  <c r="AB628" i="2"/>
  <c r="AE628" i="2" s="1"/>
  <c r="AA625" i="2"/>
  <c r="Z622" i="2"/>
  <c r="AB620" i="2"/>
  <c r="AE620" i="2" s="1"/>
  <c r="AA617" i="2"/>
  <c r="Z614" i="2"/>
  <c r="AB612" i="2"/>
  <c r="AE612" i="2" s="1"/>
  <c r="AA609" i="2"/>
  <c r="Z606" i="2"/>
  <c r="AB604" i="2"/>
  <c r="AE604" i="2" s="1"/>
  <c r="AA601" i="2"/>
  <c r="AB598" i="2"/>
  <c r="AE598" i="2" s="1"/>
  <c r="Z594" i="2"/>
  <c r="Z591" i="2"/>
  <c r="AA588" i="2"/>
  <c r="AA585" i="2"/>
  <c r="AB582" i="2"/>
  <c r="AE582" i="2" s="1"/>
  <c r="Z578" i="2"/>
  <c r="Z575" i="2"/>
  <c r="AA572" i="2"/>
  <c r="AA569" i="2"/>
  <c r="AB566" i="2"/>
  <c r="AE566" i="2" s="1"/>
  <c r="Z774" i="2"/>
  <c r="AB747" i="2"/>
  <c r="AE747" i="2" s="1"/>
  <c r="AA696" i="2"/>
  <c r="Z691" i="2"/>
  <c r="AB687" i="2"/>
  <c r="AE687" i="2" s="1"/>
  <c r="Z666" i="2"/>
  <c r="AB657" i="2"/>
  <c r="AE657" i="2" s="1"/>
  <c r="AA644" i="2"/>
  <c r="Z636" i="2"/>
  <c r="AB623" i="2"/>
  <c r="AE623" i="2" s="1"/>
  <c r="Z598" i="2"/>
  <c r="Z579" i="2"/>
  <c r="AB575" i="2"/>
  <c r="AE575" i="2" s="1"/>
  <c r="AB561" i="2"/>
  <c r="AE561" i="2" s="1"/>
  <c r="AB558" i="2"/>
  <c r="AE558" i="2" s="1"/>
  <c r="AB555" i="2"/>
  <c r="AE555" i="2" s="1"/>
  <c r="Z552" i="2"/>
  <c r="AB550" i="2"/>
  <c r="AE550" i="2" s="1"/>
  <c r="Z547" i="2"/>
  <c r="AB545" i="2"/>
  <c r="AE545" i="2" s="1"/>
  <c r="AB542" i="2"/>
  <c r="AE542" i="2" s="1"/>
  <c r="AB539" i="2"/>
  <c r="AE539" i="2" s="1"/>
  <c r="Z536" i="2"/>
  <c r="AB534" i="2"/>
  <c r="AE534" i="2" s="1"/>
  <c r="AA531" i="2"/>
  <c r="AB528" i="2"/>
  <c r="AE528" i="2" s="1"/>
  <c r="Z524" i="2"/>
  <c r="Z521" i="2"/>
  <c r="AA518" i="2"/>
  <c r="AA515" i="2"/>
  <c r="AB512" i="2"/>
  <c r="AE512" i="2" s="1"/>
  <c r="Z508" i="2"/>
  <c r="Z505" i="2"/>
  <c r="AA502" i="2"/>
  <c r="AA499" i="2"/>
  <c r="AB496" i="2"/>
  <c r="AE496" i="2" s="1"/>
  <c r="Z492" i="2"/>
  <c r="Z489" i="2"/>
  <c r="AA486" i="2"/>
  <c r="AA483" i="2"/>
  <c r="AB480" i="2"/>
  <c r="AE480" i="2" s="1"/>
  <c r="Z476" i="2"/>
  <c r="Z473" i="2"/>
  <c r="AA470" i="2"/>
  <c r="AA467" i="2"/>
  <c r="AB464" i="2"/>
  <c r="AE464" i="2" s="1"/>
  <c r="Z463" i="2"/>
  <c r="AB460" i="2"/>
  <c r="AE460" i="2" s="1"/>
  <c r="Z459" i="2"/>
  <c r="AB456" i="2"/>
  <c r="AE456" i="2" s="1"/>
  <c r="Z455" i="2"/>
  <c r="AB452" i="2"/>
  <c r="AE452" i="2" s="1"/>
  <c r="Z451" i="2"/>
  <c r="AB448" i="2"/>
  <c r="AE448" i="2" s="1"/>
  <c r="Z447" i="2"/>
  <c r="AB444" i="2"/>
  <c r="AE444" i="2" s="1"/>
  <c r="Z443" i="2"/>
  <c r="AB440" i="2"/>
  <c r="AE440" i="2" s="1"/>
  <c r="Z439" i="2"/>
  <c r="AB436" i="2"/>
  <c r="AE436" i="2" s="1"/>
  <c r="Z435" i="2"/>
  <c r="AB432" i="2"/>
  <c r="AE432" i="2" s="1"/>
  <c r="Z431" i="2"/>
  <c r="AB428" i="2"/>
  <c r="AE428" i="2" s="1"/>
  <c r="Z427" i="2"/>
  <c r="AB424" i="2"/>
  <c r="AE424" i="2" s="1"/>
  <c r="Z423" i="2"/>
  <c r="AB420" i="2"/>
  <c r="AE420" i="2" s="1"/>
  <c r="Z419" i="2"/>
  <c r="AB416" i="2"/>
  <c r="AE416" i="2" s="1"/>
  <c r="Z415" i="2"/>
  <c r="AB412" i="2"/>
  <c r="AE412" i="2" s="1"/>
  <c r="Z411" i="2"/>
  <c r="AB408" i="2"/>
  <c r="AE408" i="2" s="1"/>
  <c r="Z407" i="2"/>
  <c r="AB404" i="2"/>
  <c r="AE404" i="2" s="1"/>
  <c r="Z403" i="2"/>
  <c r="AB400" i="2"/>
  <c r="AE400" i="2" s="1"/>
  <c r="Z399" i="2"/>
  <c r="AB396" i="2"/>
  <c r="AE396" i="2" s="1"/>
  <c r="Z395" i="2"/>
  <c r="AB392" i="2"/>
  <c r="AE392" i="2" s="1"/>
  <c r="Z391" i="2"/>
  <c r="AB388" i="2"/>
  <c r="AE388" i="2" s="1"/>
  <c r="Z387" i="2"/>
  <c r="AB384" i="2"/>
  <c r="AE384" i="2" s="1"/>
  <c r="Z383" i="2"/>
  <c r="AB380" i="2"/>
  <c r="AE380" i="2" s="1"/>
  <c r="Z379" i="2"/>
  <c r="AB376" i="2"/>
  <c r="AE376" i="2" s="1"/>
  <c r="Z375" i="2"/>
  <c r="AB372" i="2"/>
  <c r="AE372" i="2" s="1"/>
  <c r="Z371" i="2"/>
  <c r="AB368" i="2"/>
  <c r="AE368" i="2" s="1"/>
  <c r="Z367" i="2"/>
  <c r="AB364" i="2"/>
  <c r="AE364" i="2" s="1"/>
  <c r="Z363" i="2"/>
  <c r="AB360" i="2"/>
  <c r="AE360" i="2" s="1"/>
  <c r="Z359" i="2"/>
  <c r="AB356" i="2"/>
  <c r="AE356" i="2" s="1"/>
  <c r="Z355" i="2"/>
  <c r="AB352" i="2"/>
  <c r="AE352" i="2" s="1"/>
  <c r="Z351" i="2"/>
  <c r="AB348" i="2"/>
  <c r="AE348" i="2" s="1"/>
  <c r="Z347" i="2"/>
  <c r="AB344" i="2"/>
  <c r="AE344" i="2" s="1"/>
  <c r="Z343" i="2"/>
  <c r="AB340" i="2"/>
  <c r="AE340" i="2" s="1"/>
  <c r="Z339" i="2"/>
  <c r="AB336" i="2"/>
  <c r="AE336" i="2" s="1"/>
  <c r="Z335" i="2"/>
  <c r="AB719" i="2"/>
  <c r="AE719" i="2" s="1"/>
  <c r="Z713" i="2"/>
  <c r="AB682" i="2"/>
  <c r="AE682" i="2" s="1"/>
  <c r="Z657" i="2"/>
  <c r="AA652" i="2"/>
  <c r="Z644" i="2"/>
  <c r="AB631" i="2"/>
  <c r="AE631" i="2" s="1"/>
  <c r="Z601" i="2"/>
  <c r="AB586" i="2"/>
  <c r="AE586" i="2" s="1"/>
  <c r="AA582" i="2"/>
  <c r="AB572" i="2"/>
  <c r="AE572" i="2" s="1"/>
  <c r="AB569" i="2"/>
  <c r="AE569" i="2" s="1"/>
  <c r="AA566" i="2"/>
  <c r="AB563" i="2"/>
  <c r="AE563" i="2" s="1"/>
  <c r="AA561" i="2"/>
  <c r="AA558" i="2"/>
  <c r="AB553" i="2"/>
  <c r="AE553" i="2" s="1"/>
  <c r="AA550" i="2"/>
  <c r="AA545" i="2"/>
  <c r="AA542" i="2"/>
  <c r="AB537" i="2"/>
  <c r="AE537" i="2" s="1"/>
  <c r="AA534" i="2"/>
  <c r="Z531" i="2"/>
  <c r="AA528" i="2"/>
  <c r="AB525" i="2"/>
  <c r="AE525" i="2" s="1"/>
  <c r="AB522" i="2"/>
  <c r="AE522" i="2" s="1"/>
  <c r="AB519" i="2"/>
  <c r="AE519" i="2" s="1"/>
  <c r="Z518" i="2"/>
  <c r="Z515" i="2"/>
  <c r="AA512" i="2"/>
  <c r="AB509" i="2"/>
  <c r="AE509" i="2" s="1"/>
  <c r="AB506" i="2"/>
  <c r="AE506" i="2" s="1"/>
  <c r="AB503" i="2"/>
  <c r="AE503" i="2" s="1"/>
  <c r="Z502" i="2"/>
  <c r="Z499" i="2"/>
  <c r="AA496" i="2"/>
  <c r="AB493" i="2"/>
  <c r="AE493" i="2" s="1"/>
  <c r="AB490" i="2"/>
  <c r="AE490" i="2" s="1"/>
  <c r="AB487" i="2"/>
  <c r="AE487" i="2" s="1"/>
  <c r="Z486" i="2"/>
  <c r="Z483" i="2"/>
  <c r="AA480" i="2"/>
  <c r="AB477" i="2"/>
  <c r="AE477" i="2" s="1"/>
  <c r="AB474" i="2"/>
  <c r="AE474" i="2" s="1"/>
  <c r="Z873" i="2"/>
  <c r="AB707" i="2"/>
  <c r="AE707" i="2" s="1"/>
  <c r="AB703" i="2"/>
  <c r="AE703" i="2" s="1"/>
  <c r="Z682" i="2"/>
  <c r="AB673" i="2"/>
  <c r="AE673" i="2" s="1"/>
  <c r="Z652" i="2"/>
  <c r="AB639" i="2"/>
  <c r="AE639" i="2" s="1"/>
  <c r="Z609" i="2"/>
  <c r="AB589" i="2"/>
  <c r="AE589" i="2" s="1"/>
  <c r="Z582" i="2"/>
  <c r="Z572" i="2"/>
  <c r="Z569" i="2"/>
  <c r="Z566" i="2"/>
  <c r="Z563" i="2"/>
  <c r="Z561" i="2"/>
  <c r="AB556" i="2"/>
  <c r="AE556" i="2" s="1"/>
  <c r="AA553" i="2"/>
  <c r="Z550" i="2"/>
  <c r="AB548" i="2"/>
  <c r="AE548" i="2" s="1"/>
  <c r="Z545" i="2"/>
  <c r="AB540" i="2"/>
  <c r="AE540" i="2" s="1"/>
  <c r="AA537" i="2"/>
  <c r="Z534" i="2"/>
  <c r="AB532" i="2"/>
  <c r="AE532" i="2" s="1"/>
  <c r="Z528" i="2"/>
  <c r="Z525" i="2"/>
  <c r="AA522" i="2"/>
  <c r="AA519" i="2"/>
  <c r="AB516" i="2"/>
  <c r="AE516" i="2" s="1"/>
  <c r="Z512" i="2"/>
  <c r="Z509" i="2"/>
  <c r="AA506" i="2"/>
  <c r="AA503" i="2"/>
  <c r="AB500" i="2"/>
  <c r="AE500" i="2" s="1"/>
  <c r="Z496" i="2"/>
  <c r="Z493" i="2"/>
  <c r="AA490" i="2"/>
  <c r="AA487" i="2"/>
  <c r="AB484" i="2"/>
  <c r="AE484" i="2" s="1"/>
  <c r="Z480" i="2"/>
  <c r="Z477" i="2"/>
  <c r="AA474" i="2"/>
  <c r="AB751" i="2"/>
  <c r="AE751" i="2" s="1"/>
  <c r="Z738" i="2"/>
  <c r="AB698" i="2"/>
  <c r="AE698" i="2" s="1"/>
  <c r="Z673" i="2"/>
  <c r="Z668" i="2"/>
  <c r="AB664" i="2"/>
  <c r="AE664" i="2" s="1"/>
  <c r="AB647" i="2"/>
  <c r="AE647" i="2" s="1"/>
  <c r="Z617" i="2"/>
  <c r="AA604" i="2"/>
  <c r="AB592" i="2"/>
  <c r="AE592" i="2" s="1"/>
  <c r="AA589" i="2"/>
  <c r="Z585" i="2"/>
  <c r="AB559" i="2"/>
  <c r="AE559" i="2" s="1"/>
  <c r="AA556" i="2"/>
  <c r="Z553" i="2"/>
  <c r="AA548" i="2"/>
  <c r="AB543" i="2"/>
  <c r="AE543" i="2" s="1"/>
  <c r="AA540" i="2"/>
  <c r="Z537" i="2"/>
  <c r="AA532" i="2"/>
  <c r="AB529" i="2"/>
  <c r="AE529" i="2" s="1"/>
  <c r="AB526" i="2"/>
  <c r="AE526" i="2" s="1"/>
  <c r="AB523" i="2"/>
  <c r="AE523" i="2" s="1"/>
  <c r="Z522" i="2"/>
  <c r="Z519" i="2"/>
  <c r="AA516" i="2"/>
  <c r="AB513" i="2"/>
  <c r="AE513" i="2" s="1"/>
  <c r="AB510" i="2"/>
  <c r="AE510" i="2" s="1"/>
  <c r="AB507" i="2"/>
  <c r="AE507" i="2" s="1"/>
  <c r="Z506" i="2"/>
  <c r="Z503" i="2"/>
  <c r="AA500" i="2"/>
  <c r="AB497" i="2"/>
  <c r="AE497" i="2" s="1"/>
  <c r="AB494" i="2"/>
  <c r="AE494" i="2" s="1"/>
  <c r="AB491" i="2"/>
  <c r="AE491" i="2" s="1"/>
  <c r="Z490" i="2"/>
  <c r="Z487" i="2"/>
  <c r="AA484" i="2"/>
  <c r="AB481" i="2"/>
  <c r="AE481" i="2" s="1"/>
  <c r="AB478" i="2"/>
  <c r="AE478" i="2" s="1"/>
  <c r="AB475" i="2"/>
  <c r="AE475" i="2" s="1"/>
  <c r="Z474" i="2"/>
  <c r="Z894" i="2"/>
  <c r="Z698" i="2"/>
  <c r="AB689" i="2"/>
  <c r="AE689" i="2" s="1"/>
  <c r="AA664" i="2"/>
  <c r="Z659" i="2"/>
  <c r="AB655" i="2"/>
  <c r="AE655" i="2" s="1"/>
  <c r="Z625" i="2"/>
  <c r="AA612" i="2"/>
  <c r="Z604" i="2"/>
  <c r="AA592" i="2"/>
  <c r="Z565" i="2"/>
  <c r="AA562" i="2"/>
  <c r="Z559" i="2"/>
  <c r="AB557" i="2"/>
  <c r="AE557" i="2" s="1"/>
  <c r="Z556" i="2"/>
  <c r="AB554" i="2"/>
  <c r="AE554" i="2" s="1"/>
  <c r="AB551" i="2"/>
  <c r="AE551" i="2" s="1"/>
  <c r="Z548" i="2"/>
  <c r="AA546" i="2"/>
  <c r="Z543" i="2"/>
  <c r="AB541" i="2"/>
  <c r="AE541" i="2" s="1"/>
  <c r="Z540" i="2"/>
  <c r="AB538" i="2"/>
  <c r="AE538" i="2" s="1"/>
  <c r="AB535" i="2"/>
  <c r="AE535" i="2" s="1"/>
  <c r="Z532" i="2"/>
  <c r="Z529" i="2"/>
  <c r="AA526" i="2"/>
  <c r="AA523" i="2"/>
  <c r="AB520" i="2"/>
  <c r="AE520" i="2" s="1"/>
  <c r="Z516" i="2"/>
  <c r="Z513" i="2"/>
  <c r="AA510" i="2"/>
  <c r="AA507" i="2"/>
  <c r="AB504" i="2"/>
  <c r="AE504" i="2" s="1"/>
  <c r="Z500" i="2"/>
  <c r="Z497" i="2"/>
  <c r="AA494" i="2"/>
  <c r="AA491" i="2"/>
  <c r="AB488" i="2"/>
  <c r="AE488" i="2" s="1"/>
  <c r="Z484" i="2"/>
  <c r="Z481" i="2"/>
  <c r="AA478" i="2"/>
  <c r="AB784" i="2"/>
  <c r="AE784" i="2" s="1"/>
  <c r="Z770" i="2"/>
  <c r="Z689" i="2"/>
  <c r="Z684" i="2"/>
  <c r="AB680" i="2"/>
  <c r="AE680" i="2" s="1"/>
  <c r="Z633" i="2"/>
  <c r="AA620" i="2"/>
  <c r="Z612" i="2"/>
  <c r="AB595" i="2"/>
  <c r="AE595" i="2" s="1"/>
  <c r="Z588" i="2"/>
  <c r="AB576" i="2"/>
  <c r="AE576" i="2" s="1"/>
  <c r="Z568" i="2"/>
  <c r="Z562" i="2"/>
  <c r="AB560" i="2"/>
  <c r="AE560" i="2" s="1"/>
  <c r="AA557" i="2"/>
  <c r="AA554" i="2"/>
  <c r="Z551" i="2"/>
  <c r="AB549" i="2"/>
  <c r="AE549" i="2" s="1"/>
  <c r="Z546" i="2"/>
  <c r="AB544" i="2"/>
  <c r="AE544" i="2" s="1"/>
  <c r="AA541" i="2"/>
  <c r="AA538" i="2"/>
  <c r="Z535" i="2"/>
  <c r="AB533" i="2"/>
  <c r="AE533" i="2" s="1"/>
  <c r="AB530" i="2"/>
  <c r="AE530" i="2" s="1"/>
  <c r="AB527" i="2"/>
  <c r="AE527" i="2" s="1"/>
  <c r="Z526" i="2"/>
  <c r="Z523" i="2"/>
  <c r="AA520" i="2"/>
  <c r="AB517" i="2"/>
  <c r="AE517" i="2" s="1"/>
  <c r="AB514" i="2"/>
  <c r="AE514" i="2" s="1"/>
  <c r="AB511" i="2"/>
  <c r="AE511" i="2" s="1"/>
  <c r="Z510" i="2"/>
  <c r="Z507" i="2"/>
  <c r="AA504" i="2"/>
  <c r="AB501" i="2"/>
  <c r="AE501" i="2" s="1"/>
  <c r="AB498" i="2"/>
  <c r="AE498" i="2" s="1"/>
  <c r="AB495" i="2"/>
  <c r="AE495" i="2" s="1"/>
  <c r="Z494" i="2"/>
  <c r="Z491" i="2"/>
  <c r="AA488" i="2"/>
  <c r="AB485" i="2"/>
  <c r="AE485" i="2" s="1"/>
  <c r="AB482" i="2"/>
  <c r="AE482" i="2" s="1"/>
  <c r="AB479" i="2"/>
  <c r="AE479" i="2" s="1"/>
  <c r="Z478" i="2"/>
  <c r="Z475" i="2"/>
  <c r="AA472" i="2"/>
  <c r="AB469" i="2"/>
  <c r="AE469" i="2" s="1"/>
  <c r="AB466" i="2"/>
  <c r="AE466" i="2" s="1"/>
  <c r="AA462" i="2"/>
  <c r="AA458" i="2"/>
  <c r="AA454" i="2"/>
  <c r="AA450" i="2"/>
  <c r="AA446" i="2"/>
  <c r="AA598" i="2"/>
  <c r="Z554" i="2"/>
  <c r="Z541" i="2"/>
  <c r="Z514" i="2"/>
  <c r="Z495" i="2"/>
  <c r="AB476" i="2"/>
  <c r="AE476" i="2" s="1"/>
  <c r="AB471" i="2"/>
  <c r="AE471" i="2" s="1"/>
  <c r="AB462" i="2"/>
  <c r="AE462" i="2" s="1"/>
  <c r="AA457" i="2"/>
  <c r="Z452" i="2"/>
  <c r="AA447" i="2"/>
  <c r="AB445" i="2"/>
  <c r="AE445" i="2" s="1"/>
  <c r="AA442" i="2"/>
  <c r="AA439" i="2"/>
  <c r="Z436" i="2"/>
  <c r="Z433" i="2"/>
  <c r="Z430" i="2"/>
  <c r="AB425" i="2"/>
  <c r="AE425" i="2" s="1"/>
  <c r="AB422" i="2"/>
  <c r="AE422" i="2" s="1"/>
  <c r="AB419" i="2"/>
  <c r="AE419" i="2" s="1"/>
  <c r="AA416" i="2"/>
  <c r="AA413" i="2"/>
  <c r="AA410" i="2"/>
  <c r="AA407" i="2"/>
  <c r="Z404" i="2"/>
  <c r="Z401" i="2"/>
  <c r="Z398" i="2"/>
  <c r="AB393" i="2"/>
  <c r="AE393" i="2" s="1"/>
  <c r="AB390" i="2"/>
  <c r="AE390" i="2" s="1"/>
  <c r="AB387" i="2"/>
  <c r="AE387" i="2" s="1"/>
  <c r="AA384" i="2"/>
  <c r="AA381" i="2"/>
  <c r="AA378" i="2"/>
  <c r="AA375" i="2"/>
  <c r="Z372" i="2"/>
  <c r="Z369" i="2"/>
  <c r="Z366" i="2"/>
  <c r="AB361" i="2"/>
  <c r="AE361" i="2" s="1"/>
  <c r="AB358" i="2"/>
  <c r="AE358" i="2" s="1"/>
  <c r="AB355" i="2"/>
  <c r="AE355" i="2" s="1"/>
  <c r="AA352" i="2"/>
  <c r="AA349" i="2"/>
  <c r="AA346" i="2"/>
  <c r="AA343" i="2"/>
  <c r="Z340" i="2"/>
  <c r="Z337" i="2"/>
  <c r="Z334" i="2"/>
  <c r="AB331" i="2"/>
  <c r="AE331" i="2" s="1"/>
  <c r="Z330" i="2"/>
  <c r="AB327" i="2"/>
  <c r="AE327" i="2" s="1"/>
  <c r="Z326" i="2"/>
  <c r="AB323" i="2"/>
  <c r="AE323" i="2" s="1"/>
  <c r="Z322" i="2"/>
  <c r="AB319" i="2"/>
  <c r="AE319" i="2" s="1"/>
  <c r="Z318" i="2"/>
  <c r="AB315" i="2"/>
  <c r="AE315" i="2" s="1"/>
  <c r="Z314" i="2"/>
  <c r="AB311" i="2"/>
  <c r="AE311" i="2" s="1"/>
  <c r="Z310" i="2"/>
  <c r="AB307" i="2"/>
  <c r="AE307" i="2" s="1"/>
  <c r="Z306" i="2"/>
  <c r="AB303" i="2"/>
  <c r="AE303" i="2" s="1"/>
  <c r="Z302" i="2"/>
  <c r="AB299" i="2"/>
  <c r="AE299" i="2" s="1"/>
  <c r="Z298" i="2"/>
  <c r="AB295" i="2"/>
  <c r="AE295" i="2" s="1"/>
  <c r="Z294" i="2"/>
  <c r="AB291" i="2"/>
  <c r="AE291" i="2" s="1"/>
  <c r="Z290" i="2"/>
  <c r="AB287" i="2"/>
  <c r="AE287" i="2" s="1"/>
  <c r="Z286" i="2"/>
  <c r="AB283" i="2"/>
  <c r="AE283" i="2" s="1"/>
  <c r="Z282" i="2"/>
  <c r="AB279" i="2"/>
  <c r="AE279" i="2" s="1"/>
  <c r="Z278" i="2"/>
  <c r="AB275" i="2"/>
  <c r="AE275" i="2" s="1"/>
  <c r="Z274" i="2"/>
  <c r="AB271" i="2"/>
  <c r="AE271" i="2" s="1"/>
  <c r="Z270" i="2"/>
  <c r="AB267" i="2"/>
  <c r="AE267" i="2" s="1"/>
  <c r="Z266" i="2"/>
  <c r="AB263" i="2"/>
  <c r="AE263" i="2" s="1"/>
  <c r="Z262" i="2"/>
  <c r="AB259" i="2"/>
  <c r="AE259" i="2" s="1"/>
  <c r="Z258" i="2"/>
  <c r="AB255" i="2"/>
  <c r="AE255" i="2" s="1"/>
  <c r="Z254" i="2"/>
  <c r="AB251" i="2"/>
  <c r="AE251" i="2" s="1"/>
  <c r="Z250" i="2"/>
  <c r="AB247" i="2"/>
  <c r="AE247" i="2" s="1"/>
  <c r="Z246" i="2"/>
  <c r="AB243" i="2"/>
  <c r="AE243" i="2" s="1"/>
  <c r="Z242" i="2"/>
  <c r="AB239" i="2"/>
  <c r="AE239" i="2" s="1"/>
  <c r="Z238" i="2"/>
  <c r="AB235" i="2"/>
  <c r="AE235" i="2" s="1"/>
  <c r="Z234" i="2"/>
  <c r="AB231" i="2"/>
  <c r="AE231" i="2" s="1"/>
  <c r="Z230" i="2"/>
  <c r="AB227" i="2"/>
  <c r="AE227" i="2" s="1"/>
  <c r="Z226" i="2"/>
  <c r="AB223" i="2"/>
  <c r="AE223" i="2" s="1"/>
  <c r="Z222" i="2"/>
  <c r="AB219" i="2"/>
  <c r="AE219" i="2" s="1"/>
  <c r="Z218" i="2"/>
  <c r="AB215" i="2"/>
  <c r="AE215" i="2" s="1"/>
  <c r="Z214" i="2"/>
  <c r="AB211" i="2"/>
  <c r="AE211" i="2" s="1"/>
  <c r="Z210" i="2"/>
  <c r="AB207" i="2"/>
  <c r="AE207" i="2" s="1"/>
  <c r="Z206" i="2"/>
  <c r="AB203" i="2"/>
  <c r="AE203" i="2" s="1"/>
  <c r="Z202" i="2"/>
  <c r="AB199" i="2"/>
  <c r="AE199" i="2" s="1"/>
  <c r="Z198" i="2"/>
  <c r="AB195" i="2"/>
  <c r="AE195" i="2" s="1"/>
  <c r="Z194" i="2"/>
  <c r="AB191" i="2"/>
  <c r="AE191" i="2" s="1"/>
  <c r="Z190" i="2"/>
  <c r="AB187" i="2"/>
  <c r="AE187" i="2" s="1"/>
  <c r="Z186" i="2"/>
  <c r="AB183" i="2"/>
  <c r="AE183" i="2" s="1"/>
  <c r="Z182" i="2"/>
  <c r="AB179" i="2"/>
  <c r="AE179" i="2" s="1"/>
  <c r="Z178" i="2"/>
  <c r="AB175" i="2"/>
  <c r="AE175" i="2" s="1"/>
  <c r="Z174" i="2"/>
  <c r="AB171" i="2"/>
  <c r="AE171" i="2" s="1"/>
  <c r="Z170" i="2"/>
  <c r="AB167" i="2"/>
  <c r="AE167" i="2" s="1"/>
  <c r="Z166" i="2"/>
  <c r="AB163" i="2"/>
  <c r="AE163" i="2" s="1"/>
  <c r="Z162" i="2"/>
  <c r="AB159" i="2"/>
  <c r="AE159" i="2" s="1"/>
  <c r="Z158" i="2"/>
  <c r="AB155" i="2"/>
  <c r="AE155" i="2" s="1"/>
  <c r="Z154" i="2"/>
  <c r="AB151" i="2"/>
  <c r="AE151" i="2" s="1"/>
  <c r="Z150" i="2"/>
  <c r="AB147" i="2"/>
  <c r="AE147" i="2" s="1"/>
  <c r="Z146" i="2"/>
  <c r="AB143" i="2"/>
  <c r="AE143" i="2" s="1"/>
  <c r="Z142" i="2"/>
  <c r="AB139" i="2"/>
  <c r="AE139" i="2" s="1"/>
  <c r="Z138" i="2"/>
  <c r="AB135" i="2"/>
  <c r="AE135" i="2" s="1"/>
  <c r="Z134" i="2"/>
  <c r="AB131" i="2"/>
  <c r="AE131" i="2" s="1"/>
  <c r="Z130" i="2"/>
  <c r="AB127" i="2"/>
  <c r="AE127" i="2" s="1"/>
  <c r="Z126" i="2"/>
  <c r="AB696" i="2"/>
  <c r="AE696" i="2" s="1"/>
  <c r="Z675" i="2"/>
  <c r="Z649" i="2"/>
  <c r="AA636" i="2"/>
  <c r="AB579" i="2"/>
  <c r="AE579" i="2" s="1"/>
  <c r="AB573" i="2"/>
  <c r="AE573" i="2" s="1"/>
  <c r="Z549" i="2"/>
  <c r="AB521" i="2"/>
  <c r="AE521" i="2" s="1"/>
  <c r="Z517" i="2"/>
  <c r="AB502" i="2"/>
  <c r="AE502" i="2" s="1"/>
  <c r="AA498" i="2"/>
  <c r="AB483" i="2"/>
  <c r="AE483" i="2" s="1"/>
  <c r="AA479" i="2"/>
  <c r="AA476" i="2"/>
  <c r="AB473" i="2"/>
  <c r="AE473" i="2" s="1"/>
  <c r="AA471" i="2"/>
  <c r="AB467" i="2"/>
  <c r="AE467" i="2" s="1"/>
  <c r="Z462" i="2"/>
  <c r="AA460" i="2"/>
  <c r="Z457" i="2"/>
  <c r="AB455" i="2"/>
  <c r="AE455" i="2" s="1"/>
  <c r="AB450" i="2"/>
  <c r="AE450" i="2" s="1"/>
  <c r="AA445" i="2"/>
  <c r="Z442" i="2"/>
  <c r="AB437" i="2"/>
  <c r="AE437" i="2" s="1"/>
  <c r="AB434" i="2"/>
  <c r="AE434" i="2" s="1"/>
  <c r="AB431" i="2"/>
  <c r="AE431" i="2" s="1"/>
  <c r="AA428" i="2"/>
  <c r="AA425" i="2"/>
  <c r="AA422" i="2"/>
  <c r="AA419" i="2"/>
  <c r="Z416" i="2"/>
  <c r="Z413" i="2"/>
  <c r="Z410" i="2"/>
  <c r="AB405" i="2"/>
  <c r="AE405" i="2" s="1"/>
  <c r="AB402" i="2"/>
  <c r="AE402" i="2" s="1"/>
  <c r="AB399" i="2"/>
  <c r="AE399" i="2" s="1"/>
  <c r="AA396" i="2"/>
  <c r="AA393" i="2"/>
  <c r="AA390" i="2"/>
  <c r="AA387" i="2"/>
  <c r="Z384" i="2"/>
  <c r="Z381" i="2"/>
  <c r="Z378" i="2"/>
  <c r="AB373" i="2"/>
  <c r="AE373" i="2" s="1"/>
  <c r="AB370" i="2"/>
  <c r="AE370" i="2" s="1"/>
  <c r="AB367" i="2"/>
  <c r="AE367" i="2" s="1"/>
  <c r="AA364" i="2"/>
  <c r="AA361" i="2"/>
  <c r="AA358" i="2"/>
  <c r="AA355" i="2"/>
  <c r="Z352" i="2"/>
  <c r="Z641" i="2"/>
  <c r="AA573" i="2"/>
  <c r="Z557" i="2"/>
  <c r="AA544" i="2"/>
  <c r="AB536" i="2"/>
  <c r="AE536" i="2" s="1"/>
  <c r="AB524" i="2"/>
  <c r="AE524" i="2" s="1"/>
  <c r="Z498" i="2"/>
  <c r="Z479" i="2"/>
  <c r="Z471" i="2"/>
  <c r="Z469" i="2"/>
  <c r="Z467" i="2"/>
  <c r="AB465" i="2"/>
  <c r="AE465" i="2" s="1"/>
  <c r="Z460" i="2"/>
  <c r="AA455" i="2"/>
  <c r="AB453" i="2"/>
  <c r="AE453" i="2" s="1"/>
  <c r="Z450" i="2"/>
  <c r="AA448" i="2"/>
  <c r="Z445" i="2"/>
  <c r="AB443" i="2"/>
  <c r="AE443" i="2" s="1"/>
  <c r="AA440" i="2"/>
  <c r="AA437" i="2"/>
  <c r="AA434" i="2"/>
  <c r="AA431" i="2"/>
  <c r="Z428" i="2"/>
  <c r="Z425" i="2"/>
  <c r="Z422" i="2"/>
  <c r="AB417" i="2"/>
  <c r="AE417" i="2" s="1"/>
  <c r="AB414" i="2"/>
  <c r="AE414" i="2" s="1"/>
  <c r="AB411" i="2"/>
  <c r="AE411" i="2" s="1"/>
  <c r="AA408" i="2"/>
  <c r="AA405" i="2"/>
  <c r="AA402" i="2"/>
  <c r="AA399" i="2"/>
  <c r="Z396" i="2"/>
  <c r="Z393" i="2"/>
  <c r="Z390" i="2"/>
  <c r="AB385" i="2"/>
  <c r="AE385" i="2" s="1"/>
  <c r="AB382" i="2"/>
  <c r="AE382" i="2" s="1"/>
  <c r="AB379" i="2"/>
  <c r="AE379" i="2" s="1"/>
  <c r="AA376" i="2"/>
  <c r="AA373" i="2"/>
  <c r="AA370" i="2"/>
  <c r="AA367" i="2"/>
  <c r="Z364" i="2"/>
  <c r="Z361" i="2"/>
  <c r="Z358" i="2"/>
  <c r="AB353" i="2"/>
  <c r="AE353" i="2" s="1"/>
  <c r="AB350" i="2"/>
  <c r="AE350" i="2" s="1"/>
  <c r="AA680" i="2"/>
  <c r="AA628" i="2"/>
  <c r="AB615" i="2"/>
  <c r="AE615" i="2" s="1"/>
  <c r="Z544" i="2"/>
  <c r="AB531" i="2"/>
  <c r="AE531" i="2" s="1"/>
  <c r="AA527" i="2"/>
  <c r="AA524" i="2"/>
  <c r="Z520" i="2"/>
  <c r="AB505" i="2"/>
  <c r="AE505" i="2" s="1"/>
  <c r="Z501" i="2"/>
  <c r="AB486" i="2"/>
  <c r="AE486" i="2" s="1"/>
  <c r="AA482" i="2"/>
  <c r="AA475" i="2"/>
  <c r="Z465" i="2"/>
  <c r="AB463" i="2"/>
  <c r="AE463" i="2" s="1"/>
  <c r="AB458" i="2"/>
  <c r="AE458" i="2" s="1"/>
  <c r="AA453" i="2"/>
  <c r="Z448" i="2"/>
  <c r="AA443" i="2"/>
  <c r="Z440" i="2"/>
  <c r="Z437" i="2"/>
  <c r="Z434" i="2"/>
  <c r="AB429" i="2"/>
  <c r="AE429" i="2" s="1"/>
  <c r="AB426" i="2"/>
  <c r="AE426" i="2" s="1"/>
  <c r="AB423" i="2"/>
  <c r="AE423" i="2" s="1"/>
  <c r="AA420" i="2"/>
  <c r="AA417" i="2"/>
  <c r="AA414" i="2"/>
  <c r="AA411" i="2"/>
  <c r="Z408" i="2"/>
  <c r="Z405" i="2"/>
  <c r="Z402" i="2"/>
  <c r="AB397" i="2"/>
  <c r="AE397" i="2" s="1"/>
  <c r="AB394" i="2"/>
  <c r="AE394" i="2" s="1"/>
  <c r="AB391" i="2"/>
  <c r="AE391" i="2" s="1"/>
  <c r="AA388" i="2"/>
  <c r="AA385" i="2"/>
  <c r="AA382" i="2"/>
  <c r="AA379" i="2"/>
  <c r="Z376" i="2"/>
  <c r="Z373" i="2"/>
  <c r="Z370" i="2"/>
  <c r="AB365" i="2"/>
  <c r="AE365" i="2" s="1"/>
  <c r="AB362" i="2"/>
  <c r="AE362" i="2" s="1"/>
  <c r="AB359" i="2"/>
  <c r="AE359" i="2" s="1"/>
  <c r="AA356" i="2"/>
  <c r="AA353" i="2"/>
  <c r="AA350" i="2"/>
  <c r="Z700" i="2"/>
  <c r="Z628" i="2"/>
  <c r="Z595" i="2"/>
  <c r="AA560" i="2"/>
  <c r="AB552" i="2"/>
  <c r="AE552" i="2" s="1"/>
  <c r="Z527" i="2"/>
  <c r="AB508" i="2"/>
  <c r="AE508" i="2" s="1"/>
  <c r="Z482" i="2"/>
  <c r="AB472" i="2"/>
  <c r="AE472" i="2" s="1"/>
  <c r="AA463" i="2"/>
  <c r="AB461" i="2"/>
  <c r="AE461" i="2" s="1"/>
  <c r="Z458" i="2"/>
  <c r="AA456" i="2"/>
  <c r="Z453" i="2"/>
  <c r="AB451" i="2"/>
  <c r="AE451" i="2" s="1"/>
  <c r="AB446" i="2"/>
  <c r="AE446" i="2" s="1"/>
  <c r="AB441" i="2"/>
  <c r="AE441" i="2" s="1"/>
  <c r="AB438" i="2"/>
  <c r="AE438" i="2" s="1"/>
  <c r="AB435" i="2"/>
  <c r="AE435" i="2" s="1"/>
  <c r="AA432" i="2"/>
  <c r="AA429" i="2"/>
  <c r="AA426" i="2"/>
  <c r="AA423" i="2"/>
  <c r="Z420" i="2"/>
  <c r="Z417" i="2"/>
  <c r="Z414" i="2"/>
  <c r="AB409" i="2"/>
  <c r="AE409" i="2" s="1"/>
  <c r="AB406" i="2"/>
  <c r="AE406" i="2" s="1"/>
  <c r="AB403" i="2"/>
  <c r="AE403" i="2" s="1"/>
  <c r="AA400" i="2"/>
  <c r="AA397" i="2"/>
  <c r="AA394" i="2"/>
  <c r="AA391" i="2"/>
  <c r="Z388" i="2"/>
  <c r="Z385" i="2"/>
  <c r="Z382" i="2"/>
  <c r="AB377" i="2"/>
  <c r="AE377" i="2" s="1"/>
  <c r="AB374" i="2"/>
  <c r="AE374" i="2" s="1"/>
  <c r="AB371" i="2"/>
  <c r="AE371" i="2" s="1"/>
  <c r="AA368" i="2"/>
  <c r="AA365" i="2"/>
  <c r="AA362" i="2"/>
  <c r="AA359" i="2"/>
  <c r="Z356" i="2"/>
  <c r="Z353" i="2"/>
  <c r="Z742" i="2"/>
  <c r="AB705" i="2"/>
  <c r="AE705" i="2" s="1"/>
  <c r="AB666" i="2"/>
  <c r="AE666" i="2" s="1"/>
  <c r="Z620" i="2"/>
  <c r="AB607" i="2"/>
  <c r="AE607" i="2" s="1"/>
  <c r="AA576" i="2"/>
  <c r="Z560" i="2"/>
  <c r="AB547" i="2"/>
  <c r="AE547" i="2" s="1"/>
  <c r="AA530" i="2"/>
  <c r="AB515" i="2"/>
  <c r="AE515" i="2" s="1"/>
  <c r="AA511" i="2"/>
  <c r="AA508" i="2"/>
  <c r="Z504" i="2"/>
  <c r="AB489" i="2"/>
  <c r="AE489" i="2" s="1"/>
  <c r="Z485" i="2"/>
  <c r="Z472" i="2"/>
  <c r="AB470" i="2"/>
  <c r="AE470" i="2" s="1"/>
  <c r="AB468" i="2"/>
  <c r="AE468" i="2" s="1"/>
  <c r="AA461" i="2"/>
  <c r="Z456" i="2"/>
  <c r="AA451" i="2"/>
  <c r="AB449" i="2"/>
  <c r="AE449" i="2" s="1"/>
  <c r="Z446" i="2"/>
  <c r="AA444" i="2"/>
  <c r="AA441" i="2"/>
  <c r="AA438" i="2"/>
  <c r="AA435" i="2"/>
  <c r="Z432" i="2"/>
  <c r="Z429" i="2"/>
  <c r="Z426" i="2"/>
  <c r="AB421" i="2"/>
  <c r="AE421" i="2" s="1"/>
  <c r="AB418" i="2"/>
  <c r="AE418" i="2" s="1"/>
  <c r="AB415" i="2"/>
  <c r="AE415" i="2" s="1"/>
  <c r="AA412" i="2"/>
  <c r="AA409" i="2"/>
  <c r="AA406" i="2"/>
  <c r="AA403" i="2"/>
  <c r="Z400" i="2"/>
  <c r="Z397" i="2"/>
  <c r="Z394" i="2"/>
  <c r="AB389" i="2"/>
  <c r="AE389" i="2" s="1"/>
  <c r="AB386" i="2"/>
  <c r="AE386" i="2" s="1"/>
  <c r="AB383" i="2"/>
  <c r="AE383" i="2" s="1"/>
  <c r="AA380" i="2"/>
  <c r="AA377" i="2"/>
  <c r="AA374" i="2"/>
  <c r="AA371" i="2"/>
  <c r="Z368" i="2"/>
  <c r="Z365" i="2"/>
  <c r="Z362" i="2"/>
  <c r="AB357" i="2"/>
  <c r="AE357" i="2" s="1"/>
  <c r="AB354" i="2"/>
  <c r="AE354" i="2" s="1"/>
  <c r="AB351" i="2"/>
  <c r="AE351" i="2" s="1"/>
  <c r="AA348" i="2"/>
  <c r="AA345" i="2"/>
  <c r="AA342" i="2"/>
  <c r="AA339" i="2"/>
  <c r="Z336" i="2"/>
  <c r="AA333" i="2"/>
  <c r="AA329" i="2"/>
  <c r="Z468" i="2"/>
  <c r="Z464" i="2"/>
  <c r="AB439" i="2"/>
  <c r="AE439" i="2" s="1"/>
  <c r="AA424" i="2"/>
  <c r="Z412" i="2"/>
  <c r="AA404" i="2"/>
  <c r="AA389" i="2"/>
  <c r="AB381" i="2"/>
  <c r="AE381" i="2" s="1"/>
  <c r="Z377" i="2"/>
  <c r="AB369" i="2"/>
  <c r="AE369" i="2" s="1"/>
  <c r="AA366" i="2"/>
  <c r="AA354" i="2"/>
  <c r="Z338" i="2"/>
  <c r="AA336" i="2"/>
  <c r="Z331" i="2"/>
  <c r="AA326" i="2"/>
  <c r="Z323" i="2"/>
  <c r="Z320" i="2"/>
  <c r="Z317" i="2"/>
  <c r="AB312" i="2"/>
  <c r="AE312" i="2" s="1"/>
  <c r="AB309" i="2"/>
  <c r="AE309" i="2" s="1"/>
  <c r="AB306" i="2"/>
  <c r="AE306" i="2" s="1"/>
  <c r="AA303" i="2"/>
  <c r="AA300" i="2"/>
  <c r="AA297" i="2"/>
  <c r="AA294" i="2"/>
  <c r="Z291" i="2"/>
  <c r="Z288" i="2"/>
  <c r="Z285" i="2"/>
  <c r="AB280" i="2"/>
  <c r="AE280" i="2" s="1"/>
  <c r="AB277" i="2"/>
  <c r="AE277" i="2" s="1"/>
  <c r="AB274" i="2"/>
  <c r="AE274" i="2" s="1"/>
  <c r="AA271" i="2"/>
  <c r="AA268" i="2"/>
  <c r="AA265" i="2"/>
  <c r="AA262" i="2"/>
  <c r="Z259" i="2"/>
  <c r="Z256" i="2"/>
  <c r="Z253" i="2"/>
  <c r="AB248" i="2"/>
  <c r="AE248" i="2" s="1"/>
  <c r="AB245" i="2"/>
  <c r="AE245" i="2" s="1"/>
  <c r="AB242" i="2"/>
  <c r="AE242" i="2" s="1"/>
  <c r="AA239" i="2"/>
  <c r="AA236" i="2"/>
  <c r="AA233" i="2"/>
  <c r="AA230" i="2"/>
  <c r="Z227" i="2"/>
  <c r="Z224" i="2"/>
  <c r="Z221" i="2"/>
  <c r="AB216" i="2"/>
  <c r="AE216" i="2" s="1"/>
  <c r="AB213" i="2"/>
  <c r="AE213" i="2" s="1"/>
  <c r="AB210" i="2"/>
  <c r="AE210" i="2" s="1"/>
  <c r="AA207" i="2"/>
  <c r="AA204" i="2"/>
  <c r="AA201" i="2"/>
  <c r="AA198" i="2"/>
  <c r="Z195" i="2"/>
  <c r="Z192" i="2"/>
  <c r="Z189" i="2"/>
  <c r="AB184" i="2"/>
  <c r="AE184" i="2" s="1"/>
  <c r="AB181" i="2"/>
  <c r="AE181" i="2" s="1"/>
  <c r="AB178" i="2"/>
  <c r="AE178" i="2" s="1"/>
  <c r="AA175" i="2"/>
  <c r="AA172" i="2"/>
  <c r="AA169" i="2"/>
  <c r="AA166" i="2"/>
  <c r="Z163" i="2"/>
  <c r="Z160" i="2"/>
  <c r="Z157" i="2"/>
  <c r="AB152" i="2"/>
  <c r="AE152" i="2" s="1"/>
  <c r="AB149" i="2"/>
  <c r="AE149" i="2" s="1"/>
  <c r="AB146" i="2"/>
  <c r="AE146" i="2" s="1"/>
  <c r="AA143" i="2"/>
  <c r="AA140" i="2"/>
  <c r="AA137" i="2"/>
  <c r="AA134" i="2"/>
  <c r="Z131" i="2"/>
  <c r="Z128" i="2"/>
  <c r="Z125" i="2"/>
  <c r="AB122" i="2"/>
  <c r="AE122" i="2" s="1"/>
  <c r="Z121" i="2"/>
  <c r="AB118" i="2"/>
  <c r="AE118" i="2" s="1"/>
  <c r="Z117" i="2"/>
  <c r="AB114" i="2"/>
  <c r="AE114" i="2" s="1"/>
  <c r="Z113" i="2"/>
  <c r="AB110" i="2"/>
  <c r="AE110" i="2" s="1"/>
  <c r="Z109" i="2"/>
  <c r="AB106" i="2"/>
  <c r="AE106" i="2" s="1"/>
  <c r="Z105" i="2"/>
  <c r="AB102" i="2"/>
  <c r="AE102" i="2" s="1"/>
  <c r="Z101" i="2"/>
  <c r="AB98" i="2"/>
  <c r="AE98" i="2" s="1"/>
  <c r="Z97" i="2"/>
  <c r="AB94" i="2"/>
  <c r="AE94" i="2" s="1"/>
  <c r="Z93" i="2"/>
  <c r="AB90" i="2"/>
  <c r="AE90" i="2" s="1"/>
  <c r="Z89" i="2"/>
  <c r="AB86" i="2"/>
  <c r="AE86" i="2" s="1"/>
  <c r="Z85" i="2"/>
  <c r="AB82" i="2"/>
  <c r="AE82" i="2" s="1"/>
  <c r="Z81" i="2"/>
  <c r="AB78" i="2"/>
  <c r="AE78" i="2" s="1"/>
  <c r="Z77" i="2"/>
  <c r="AB74" i="2"/>
  <c r="AE74" i="2" s="1"/>
  <c r="Z73" i="2"/>
  <c r="AB70" i="2"/>
  <c r="AE70" i="2" s="1"/>
  <c r="Z69" i="2"/>
  <c r="AB66" i="2"/>
  <c r="AE66" i="2" s="1"/>
  <c r="Z65" i="2"/>
  <c r="AB62" i="2"/>
  <c r="AE62" i="2" s="1"/>
  <c r="Z61" i="2"/>
  <c r="AB58" i="2"/>
  <c r="AE58" i="2" s="1"/>
  <c r="Z57" i="2"/>
  <c r="AB54" i="2"/>
  <c r="AE54" i="2" s="1"/>
  <c r="Z53" i="2"/>
  <c r="AB50" i="2"/>
  <c r="AE50" i="2" s="1"/>
  <c r="Z49" i="2"/>
  <c r="AB46" i="2"/>
  <c r="AE46" i="2" s="1"/>
  <c r="Z45" i="2"/>
  <c r="Z533" i="2"/>
  <c r="AB459" i="2"/>
  <c r="AE459" i="2" s="1"/>
  <c r="AB447" i="2"/>
  <c r="AE447" i="2" s="1"/>
  <c r="Z424" i="2"/>
  <c r="Z389" i="2"/>
  <c r="AA369" i="2"/>
  <c r="Z354" i="2"/>
  <c r="Z350" i="2"/>
  <c r="AB347" i="2"/>
  <c r="AE347" i="2" s="1"/>
  <c r="AB345" i="2"/>
  <c r="AE345" i="2" s="1"/>
  <c r="AB343" i="2"/>
  <c r="AE343" i="2" s="1"/>
  <c r="AB341" i="2"/>
  <c r="AE341" i="2" s="1"/>
  <c r="AB334" i="2"/>
  <c r="AE334" i="2" s="1"/>
  <c r="AB329" i="2"/>
  <c r="AE329" i="2" s="1"/>
  <c r="AB324" i="2"/>
  <c r="AE324" i="2" s="1"/>
  <c r="AB321" i="2"/>
  <c r="AE321" i="2" s="1"/>
  <c r="AB318" i="2"/>
  <c r="AE318" i="2" s="1"/>
  <c r="AA315" i="2"/>
  <c r="AA312" i="2"/>
  <c r="AA309" i="2"/>
  <c r="AA306" i="2"/>
  <c r="Z303" i="2"/>
  <c r="Z300" i="2"/>
  <c r="Z297" i="2"/>
  <c r="AB292" i="2"/>
  <c r="AE292" i="2" s="1"/>
  <c r="AB289" i="2"/>
  <c r="AE289" i="2" s="1"/>
  <c r="AB286" i="2"/>
  <c r="AE286" i="2" s="1"/>
  <c r="AA283" i="2"/>
  <c r="AA280" i="2"/>
  <c r="AA277" i="2"/>
  <c r="AA274" i="2"/>
  <c r="Z271" i="2"/>
  <c r="Z268" i="2"/>
  <c r="Z265" i="2"/>
  <c r="AB260" i="2"/>
  <c r="AE260" i="2" s="1"/>
  <c r="AB257" i="2"/>
  <c r="AE257" i="2" s="1"/>
  <c r="AB254" i="2"/>
  <c r="AE254" i="2" s="1"/>
  <c r="AA251" i="2"/>
  <c r="AA248" i="2"/>
  <c r="AA245" i="2"/>
  <c r="AA242" i="2"/>
  <c r="Z239" i="2"/>
  <c r="Z236" i="2"/>
  <c r="Z233" i="2"/>
  <c r="AB228" i="2"/>
  <c r="AE228" i="2" s="1"/>
  <c r="AB225" i="2"/>
  <c r="AE225" i="2" s="1"/>
  <c r="AB222" i="2"/>
  <c r="AE222" i="2" s="1"/>
  <c r="AA219" i="2"/>
  <c r="AA216" i="2"/>
  <c r="AA213" i="2"/>
  <c r="AA210" i="2"/>
  <c r="Z207" i="2"/>
  <c r="Z705" i="2"/>
  <c r="Z538" i="2"/>
  <c r="AA514" i="2"/>
  <c r="AA495" i="2"/>
  <c r="AA459" i="2"/>
  <c r="AB442" i="2"/>
  <c r="AE442" i="2" s="1"/>
  <c r="Z438" i="2"/>
  <c r="AB427" i="2"/>
  <c r="AE427" i="2" s="1"/>
  <c r="AA415" i="2"/>
  <c r="AB407" i="2"/>
  <c r="AE407" i="2" s="1"/>
  <c r="AA392" i="2"/>
  <c r="Z380" i="2"/>
  <c r="AA372" i="2"/>
  <c r="AA357" i="2"/>
  <c r="AA347" i="2"/>
  <c r="Z345" i="2"/>
  <c r="AA341" i="2"/>
  <c r="AB339" i="2"/>
  <c r="AE339" i="2" s="1"/>
  <c r="AA334" i="2"/>
  <c r="AB332" i="2"/>
  <c r="AE332" i="2" s="1"/>
  <c r="Z329" i="2"/>
  <c r="AA327" i="2"/>
  <c r="AA324" i="2"/>
  <c r="AA321" i="2"/>
  <c r="AA318" i="2"/>
  <c r="Z315" i="2"/>
  <c r="Z312" i="2"/>
  <c r="Z309" i="2"/>
  <c r="AB304" i="2"/>
  <c r="AE304" i="2" s="1"/>
  <c r="AB301" i="2"/>
  <c r="AE301" i="2" s="1"/>
  <c r="AB298" i="2"/>
  <c r="AE298" i="2" s="1"/>
  <c r="AA295" i="2"/>
  <c r="AA292" i="2"/>
  <c r="AA289" i="2"/>
  <c r="AA286" i="2"/>
  <c r="Z283" i="2"/>
  <c r="Z280" i="2"/>
  <c r="Z277" i="2"/>
  <c r="AB272" i="2"/>
  <c r="AE272" i="2" s="1"/>
  <c r="AB269" i="2"/>
  <c r="AE269" i="2" s="1"/>
  <c r="AB266" i="2"/>
  <c r="AE266" i="2" s="1"/>
  <c r="AA263" i="2"/>
  <c r="AA260" i="2"/>
  <c r="AA257" i="2"/>
  <c r="AA254" i="2"/>
  <c r="Z251" i="2"/>
  <c r="Z248" i="2"/>
  <c r="Z245" i="2"/>
  <c r="AB240" i="2"/>
  <c r="AE240" i="2" s="1"/>
  <c r="AB237" i="2"/>
  <c r="AE237" i="2" s="1"/>
  <c r="AB234" i="2"/>
  <c r="AE234" i="2" s="1"/>
  <c r="AA231" i="2"/>
  <c r="AA228" i="2"/>
  <c r="AA225" i="2"/>
  <c r="AA222" i="2"/>
  <c r="Z219" i="2"/>
  <c r="Z216" i="2"/>
  <c r="Z213" i="2"/>
  <c r="AB208" i="2"/>
  <c r="AE208" i="2" s="1"/>
  <c r="Z470" i="2"/>
  <c r="AA466" i="2"/>
  <c r="AB454" i="2"/>
  <c r="AE454" i="2" s="1"/>
  <c r="AB430" i="2"/>
  <c r="AE430" i="2" s="1"/>
  <c r="AA427" i="2"/>
  <c r="Z392" i="2"/>
  <c r="Z357" i="2"/>
  <c r="AB349" i="2"/>
  <c r="AE349" i="2" s="1"/>
  <c r="Z341" i="2"/>
  <c r="AB337" i="2"/>
  <c r="AE337" i="2" s="1"/>
  <c r="AA332" i="2"/>
  <c r="Z327" i="2"/>
  <c r="Z324" i="2"/>
  <c r="Z321" i="2"/>
  <c r="AB316" i="2"/>
  <c r="AE316" i="2" s="1"/>
  <c r="AB313" i="2"/>
  <c r="AE313" i="2" s="1"/>
  <c r="AB310" i="2"/>
  <c r="AE310" i="2" s="1"/>
  <c r="AA307" i="2"/>
  <c r="AA304" i="2"/>
  <c r="AA301" i="2"/>
  <c r="AA298" i="2"/>
  <c r="Z295" i="2"/>
  <c r="Z292" i="2"/>
  <c r="Z289" i="2"/>
  <c r="AB284" i="2"/>
  <c r="AE284" i="2" s="1"/>
  <c r="AB281" i="2"/>
  <c r="AE281" i="2" s="1"/>
  <c r="AB278" i="2"/>
  <c r="AE278" i="2" s="1"/>
  <c r="AA275" i="2"/>
  <c r="AA272" i="2"/>
  <c r="AA269" i="2"/>
  <c r="AA266" i="2"/>
  <c r="Z263" i="2"/>
  <c r="Z260" i="2"/>
  <c r="Z257" i="2"/>
  <c r="AB252" i="2"/>
  <c r="AE252" i="2" s="1"/>
  <c r="AB249" i="2"/>
  <c r="AE249" i="2" s="1"/>
  <c r="AB246" i="2"/>
  <c r="AE246" i="2" s="1"/>
  <c r="AA243" i="2"/>
  <c r="AA240" i="2"/>
  <c r="AA237" i="2"/>
  <c r="AA234" i="2"/>
  <c r="Z231" i="2"/>
  <c r="Z228" i="2"/>
  <c r="Z225" i="2"/>
  <c r="AB220" i="2"/>
  <c r="AE220" i="2" s="1"/>
  <c r="AB217" i="2"/>
  <c r="AE217" i="2" s="1"/>
  <c r="AB214" i="2"/>
  <c r="AE214" i="2" s="1"/>
  <c r="AA211" i="2"/>
  <c r="AA208" i="2"/>
  <c r="AA205" i="2"/>
  <c r="AA202" i="2"/>
  <c r="Z199" i="2"/>
  <c r="Z196" i="2"/>
  <c r="Z193" i="2"/>
  <c r="AB188" i="2"/>
  <c r="AE188" i="2" s="1"/>
  <c r="AB185" i="2"/>
  <c r="AE185" i="2" s="1"/>
  <c r="AB182" i="2"/>
  <c r="AE182" i="2" s="1"/>
  <c r="AA179" i="2"/>
  <c r="AA176" i="2"/>
  <c r="AA173" i="2"/>
  <c r="AA170" i="2"/>
  <c r="Z167" i="2"/>
  <c r="Z164" i="2"/>
  <c r="Z161" i="2"/>
  <c r="AB156" i="2"/>
  <c r="AE156" i="2" s="1"/>
  <c r="AB153" i="2"/>
  <c r="AE153" i="2" s="1"/>
  <c r="AB150" i="2"/>
  <c r="AE150" i="2" s="1"/>
  <c r="AA147" i="2"/>
  <c r="AA144" i="2"/>
  <c r="AA141" i="2"/>
  <c r="AA138" i="2"/>
  <c r="Z135" i="2"/>
  <c r="Z132" i="2"/>
  <c r="Z129" i="2"/>
  <c r="AA123" i="2"/>
  <c r="AA119" i="2"/>
  <c r="AA115" i="2"/>
  <c r="AA111" i="2"/>
  <c r="AA107" i="2"/>
  <c r="AA103" i="2"/>
  <c r="AA99" i="2"/>
  <c r="AA95" i="2"/>
  <c r="Z710" i="2"/>
  <c r="Z488" i="2"/>
  <c r="Z466" i="2"/>
  <c r="Z454" i="2"/>
  <c r="Z441" i="2"/>
  <c r="AB433" i="2"/>
  <c r="AE433" i="2" s="1"/>
  <c r="AA430" i="2"/>
  <c r="AA418" i="2"/>
  <c r="AB410" i="2"/>
  <c r="AE410" i="2" s="1"/>
  <c r="Z406" i="2"/>
  <c r="AB395" i="2"/>
  <c r="AE395" i="2" s="1"/>
  <c r="AA383" i="2"/>
  <c r="AB375" i="2"/>
  <c r="AE375" i="2" s="1"/>
  <c r="AA360" i="2"/>
  <c r="Z349" i="2"/>
  <c r="AA337" i="2"/>
  <c r="AB335" i="2"/>
  <c r="AE335" i="2" s="1"/>
  <c r="Z332" i="2"/>
  <c r="AB330" i="2"/>
  <c r="AE330" i="2" s="1"/>
  <c r="AB325" i="2"/>
  <c r="AE325" i="2" s="1"/>
  <c r="AB322" i="2"/>
  <c r="AE322" i="2" s="1"/>
  <c r="AA319" i="2"/>
  <c r="AA316" i="2"/>
  <c r="AA313" i="2"/>
  <c r="AA310" i="2"/>
  <c r="Z307" i="2"/>
  <c r="Z304" i="2"/>
  <c r="Z301" i="2"/>
  <c r="AB296" i="2"/>
  <c r="AE296" i="2" s="1"/>
  <c r="AB293" i="2"/>
  <c r="AE293" i="2" s="1"/>
  <c r="AB290" i="2"/>
  <c r="AE290" i="2" s="1"/>
  <c r="AA287" i="2"/>
  <c r="AA284" i="2"/>
  <c r="AA281" i="2"/>
  <c r="AA278" i="2"/>
  <c r="Z275" i="2"/>
  <c r="Z272" i="2"/>
  <c r="Z269" i="2"/>
  <c r="AB264" i="2"/>
  <c r="AE264" i="2" s="1"/>
  <c r="AB261" i="2"/>
  <c r="AE261" i="2" s="1"/>
  <c r="AB258" i="2"/>
  <c r="AE258" i="2" s="1"/>
  <c r="AA255" i="2"/>
  <c r="AA252" i="2"/>
  <c r="AA249" i="2"/>
  <c r="AA246" i="2"/>
  <c r="Z243" i="2"/>
  <c r="Z240" i="2"/>
  <c r="Z237" i="2"/>
  <c r="AB232" i="2"/>
  <c r="AE232" i="2" s="1"/>
  <c r="AB229" i="2"/>
  <c r="AE229" i="2" s="1"/>
  <c r="AB226" i="2"/>
  <c r="AE226" i="2" s="1"/>
  <c r="AA223" i="2"/>
  <c r="AA220" i="2"/>
  <c r="AB570" i="2"/>
  <c r="AE570" i="2" s="1"/>
  <c r="Z530" i="2"/>
  <c r="AB518" i="2"/>
  <c r="AE518" i="2" s="1"/>
  <c r="AB499" i="2"/>
  <c r="AE499" i="2" s="1"/>
  <c r="Z461" i="2"/>
  <c r="AB457" i="2"/>
  <c r="AE457" i="2" s="1"/>
  <c r="AA449" i="2"/>
  <c r="AA433" i="2"/>
  <c r="Z418" i="2"/>
  <c r="AB398" i="2"/>
  <c r="AE398" i="2" s="1"/>
  <c r="AA395" i="2"/>
  <c r="Z360" i="2"/>
  <c r="AB346" i="2"/>
  <c r="AE346" i="2" s="1"/>
  <c r="AA344" i="2"/>
  <c r="AB342" i="2"/>
  <c r="AE342" i="2" s="1"/>
  <c r="AA335" i="2"/>
  <c r="AA330" i="2"/>
  <c r="AB328" i="2"/>
  <c r="AE328" i="2" s="1"/>
  <c r="AA325" i="2"/>
  <c r="AA322" i="2"/>
  <c r="Z319" i="2"/>
  <c r="Z316" i="2"/>
  <c r="Z313" i="2"/>
  <c r="AB308" i="2"/>
  <c r="AE308" i="2" s="1"/>
  <c r="AB305" i="2"/>
  <c r="AE305" i="2" s="1"/>
  <c r="AB302" i="2"/>
  <c r="AE302" i="2" s="1"/>
  <c r="AA299" i="2"/>
  <c r="AA296" i="2"/>
  <c r="AA293" i="2"/>
  <c r="AA290" i="2"/>
  <c r="Z287" i="2"/>
  <c r="Z284" i="2"/>
  <c r="Z281" i="2"/>
  <c r="AB276" i="2"/>
  <c r="AE276" i="2" s="1"/>
  <c r="AB273" i="2"/>
  <c r="AE273" i="2" s="1"/>
  <c r="AB270" i="2"/>
  <c r="AE270" i="2" s="1"/>
  <c r="AA267" i="2"/>
  <c r="AA264" i="2"/>
  <c r="AA261" i="2"/>
  <c r="AA258" i="2"/>
  <c r="Z255" i="2"/>
  <c r="Z252" i="2"/>
  <c r="Z249" i="2"/>
  <c r="AB244" i="2"/>
  <c r="AE244" i="2" s="1"/>
  <c r="AB241" i="2"/>
  <c r="AE241" i="2" s="1"/>
  <c r="AB238" i="2"/>
  <c r="AE238" i="2" s="1"/>
  <c r="AA235" i="2"/>
  <c r="AA232" i="2"/>
  <c r="AA229" i="2"/>
  <c r="AA226" i="2"/>
  <c r="Z223" i="2"/>
  <c r="Z220" i="2"/>
  <c r="AB671" i="2"/>
  <c r="AE671" i="2" s="1"/>
  <c r="Z511" i="2"/>
  <c r="AB492" i="2"/>
  <c r="AE492" i="2" s="1"/>
  <c r="Z449" i="2"/>
  <c r="Z444" i="2"/>
  <c r="AA436" i="2"/>
  <c r="AA421" i="2"/>
  <c r="AB413" i="2"/>
  <c r="AE413" i="2" s="1"/>
  <c r="Z409" i="2"/>
  <c r="AB401" i="2"/>
  <c r="AE401" i="2" s="1"/>
  <c r="AA398" i="2"/>
  <c r="AA386" i="2"/>
  <c r="AB378" i="2"/>
  <c r="AE378" i="2" s="1"/>
  <c r="Z374" i="2"/>
  <c r="AB363" i="2"/>
  <c r="AE363" i="2" s="1"/>
  <c r="AA351" i="2"/>
  <c r="Z348" i="2"/>
  <c r="Z346" i="2"/>
  <c r="Z344" i="2"/>
  <c r="Z342" i="2"/>
  <c r="AA340" i="2"/>
  <c r="AB338" i="2"/>
  <c r="AE338" i="2" s="1"/>
  <c r="AB333" i="2"/>
  <c r="AE333" i="2" s="1"/>
  <c r="AA328" i="2"/>
  <c r="Z325" i="2"/>
  <c r="AB320" i="2"/>
  <c r="AE320" i="2" s="1"/>
  <c r="AB317" i="2"/>
  <c r="AE317" i="2" s="1"/>
  <c r="AB314" i="2"/>
  <c r="AE314" i="2" s="1"/>
  <c r="AA311" i="2"/>
  <c r="AA308" i="2"/>
  <c r="AA305" i="2"/>
  <c r="AA302" i="2"/>
  <c r="Z299" i="2"/>
  <c r="Z296" i="2"/>
  <c r="Z293" i="2"/>
  <c r="AB288" i="2"/>
  <c r="AE288" i="2" s="1"/>
  <c r="AB285" i="2"/>
  <c r="AE285" i="2" s="1"/>
  <c r="AB282" i="2"/>
  <c r="AE282" i="2" s="1"/>
  <c r="AA279" i="2"/>
  <c r="AA276" i="2"/>
  <c r="AA273" i="2"/>
  <c r="AA270" i="2"/>
  <c r="Z267" i="2"/>
  <c r="Z264" i="2"/>
  <c r="Z261" i="2"/>
  <c r="AB256" i="2"/>
  <c r="AE256" i="2" s="1"/>
  <c r="AB253" i="2"/>
  <c r="AE253" i="2" s="1"/>
  <c r="AB250" i="2"/>
  <c r="AE250" i="2" s="1"/>
  <c r="AA247" i="2"/>
  <c r="AA244" i="2"/>
  <c r="AA241" i="2"/>
  <c r="AA238" i="2"/>
  <c r="Z235" i="2"/>
  <c r="Z232" i="2"/>
  <c r="Z229" i="2"/>
  <c r="AB224" i="2"/>
  <c r="AE224" i="2" s="1"/>
  <c r="AB221" i="2"/>
  <c r="AE221" i="2" s="1"/>
  <c r="AB218" i="2"/>
  <c r="AE218" i="2" s="1"/>
  <c r="AA215" i="2"/>
  <c r="AA212" i="2"/>
  <c r="AA209" i="2"/>
  <c r="AA206" i="2"/>
  <c r="Z203" i="2"/>
  <c r="Z200" i="2"/>
  <c r="Z197" i="2"/>
  <c r="AB192" i="2"/>
  <c r="AE192" i="2" s="1"/>
  <c r="AB189" i="2"/>
  <c r="AE189" i="2" s="1"/>
  <c r="AB186" i="2"/>
  <c r="AE186" i="2" s="1"/>
  <c r="AA183" i="2"/>
  <c r="AA180" i="2"/>
  <c r="AA177" i="2"/>
  <c r="AA174" i="2"/>
  <c r="Z171" i="2"/>
  <c r="Z168" i="2"/>
  <c r="Z165" i="2"/>
  <c r="AB160" i="2"/>
  <c r="AE160" i="2" s="1"/>
  <c r="AB157" i="2"/>
  <c r="AE157" i="2" s="1"/>
  <c r="AB154" i="2"/>
  <c r="AE154" i="2" s="1"/>
  <c r="AA151" i="2"/>
  <c r="AA148" i="2"/>
  <c r="AA145" i="2"/>
  <c r="AA142" i="2"/>
  <c r="Z139" i="2"/>
  <c r="Z136" i="2"/>
  <c r="Z133" i="2"/>
  <c r="AB128" i="2"/>
  <c r="AE128" i="2" s="1"/>
  <c r="AB125" i="2"/>
  <c r="AE125" i="2" s="1"/>
  <c r="Z124" i="2"/>
  <c r="AB121" i="2"/>
  <c r="AE121" i="2" s="1"/>
  <c r="Z120" i="2"/>
  <c r="AB117" i="2"/>
  <c r="AE117" i="2" s="1"/>
  <c r="Z116" i="2"/>
  <c r="AB113" i="2"/>
  <c r="AE113" i="2" s="1"/>
  <c r="Z112" i="2"/>
  <c r="AB109" i="2"/>
  <c r="AE109" i="2" s="1"/>
  <c r="Z108" i="2"/>
  <c r="AB105" i="2"/>
  <c r="AE105" i="2" s="1"/>
  <c r="Z104" i="2"/>
  <c r="AB101" i="2"/>
  <c r="AE101" i="2" s="1"/>
  <c r="Z100" i="2"/>
  <c r="AB97" i="2"/>
  <c r="AE97" i="2" s="1"/>
  <c r="Z96" i="2"/>
  <c r="AB93" i="2"/>
  <c r="AE93" i="2" s="1"/>
  <c r="Z92" i="2"/>
  <c r="AB89" i="2"/>
  <c r="AE89" i="2" s="1"/>
  <c r="Z88" i="2"/>
  <c r="AB85" i="2"/>
  <c r="AE85" i="2" s="1"/>
  <c r="Z84" i="2"/>
  <c r="AB81" i="2"/>
  <c r="AE81" i="2" s="1"/>
  <c r="Z80" i="2"/>
  <c r="Z11" i="2"/>
  <c r="AB12" i="2"/>
  <c r="AE12" i="2" s="1"/>
  <c r="Z15" i="2"/>
  <c r="AB16" i="2"/>
  <c r="AE16" i="2" s="1"/>
  <c r="Z19" i="2"/>
  <c r="AB20" i="2"/>
  <c r="AE20" i="2" s="1"/>
  <c r="Z23" i="2"/>
  <c r="AB24" i="2"/>
  <c r="AE24" i="2" s="1"/>
  <c r="Z27" i="2"/>
  <c r="AB28" i="2"/>
  <c r="AE28" i="2" s="1"/>
  <c r="Z31" i="2"/>
  <c r="AB32" i="2"/>
  <c r="AE32" i="2" s="1"/>
  <c r="Z35" i="2"/>
  <c r="AB36" i="2"/>
  <c r="AE36" i="2" s="1"/>
  <c r="Z39" i="2"/>
  <c r="AB40" i="2"/>
  <c r="AE40" i="2" s="1"/>
  <c r="Z43" i="2"/>
  <c r="AB44" i="2"/>
  <c r="AE44" i="2" s="1"/>
  <c r="AB47" i="2"/>
  <c r="AE47" i="2" s="1"/>
  <c r="Z52" i="2"/>
  <c r="Z55" i="2"/>
  <c r="Z58" i="2"/>
  <c r="AA61" i="2"/>
  <c r="AA64" i="2"/>
  <c r="AA67" i="2"/>
  <c r="AA70" i="2"/>
  <c r="AB73" i="2"/>
  <c r="AE73" i="2" s="1"/>
  <c r="AB76" i="2"/>
  <c r="AE76" i="2" s="1"/>
  <c r="AB79" i="2"/>
  <c r="AE79" i="2" s="1"/>
  <c r="AA81" i="2"/>
  <c r="Z83" i="2"/>
  <c r="AB88" i="2"/>
  <c r="AE88" i="2" s="1"/>
  <c r="Z90" i="2"/>
  <c r="AB144" i="2"/>
  <c r="AE144" i="2" s="1"/>
  <c r="AA149" i="2"/>
  <c r="AA154" i="2"/>
  <c r="AA156" i="2"/>
  <c r="AB164" i="2"/>
  <c r="AE164" i="2" s="1"/>
  <c r="AB166" i="2"/>
  <c r="AE166" i="2" s="1"/>
  <c r="AB168" i="2"/>
  <c r="AE168" i="2" s="1"/>
  <c r="AB170" i="2"/>
  <c r="AE170" i="2" s="1"/>
  <c r="AB177" i="2"/>
  <c r="AE177" i="2" s="1"/>
  <c r="AA182" i="2"/>
  <c r="Z187" i="2"/>
  <c r="AA189" i="2"/>
  <c r="AA191" i="2"/>
  <c r="AB193" i="2"/>
  <c r="AE193" i="2" s="1"/>
  <c r="AA195" i="2"/>
  <c r="AA197" i="2"/>
  <c r="Z201" i="2"/>
  <c r="AA203" i="2"/>
  <c r="AB205" i="2"/>
  <c r="AE205" i="2" s="1"/>
  <c r="Z208" i="2"/>
  <c r="Z215" i="2"/>
  <c r="AA259" i="2"/>
  <c r="AB300" i="2"/>
  <c r="AE300" i="2" s="1"/>
  <c r="AA317" i="2"/>
  <c r="G82" i="1"/>
  <c r="O82" i="1"/>
  <c r="G84" i="1"/>
  <c r="O84" i="1"/>
  <c r="G86" i="1"/>
  <c r="O86" i="1"/>
  <c r="G90" i="1"/>
  <c r="O90" i="1"/>
  <c r="AA11" i="2"/>
  <c r="AA15" i="2"/>
  <c r="AA19" i="2"/>
  <c r="AA23" i="2"/>
  <c r="AA27" i="2"/>
  <c r="AA31" i="2"/>
  <c r="AA35" i="2"/>
  <c r="AA39" i="2"/>
  <c r="AA43" i="2"/>
  <c r="Z46" i="2"/>
  <c r="AA49" i="2"/>
  <c r="AA52" i="2"/>
  <c r="AA55" i="2"/>
  <c r="AA58" i="2"/>
  <c r="AB61" i="2"/>
  <c r="AE61" i="2" s="1"/>
  <c r="AB64" i="2"/>
  <c r="AE64" i="2" s="1"/>
  <c r="AB67" i="2"/>
  <c r="AE67" i="2" s="1"/>
  <c r="Z72" i="2"/>
  <c r="Z75" i="2"/>
  <c r="Z78" i="2"/>
  <c r="AA83" i="2"/>
  <c r="AA90" i="2"/>
  <c r="AA92" i="2"/>
  <c r="Z94" i="2"/>
  <c r="AA96" i="2"/>
  <c r="Z98" i="2"/>
  <c r="AA100" i="2"/>
  <c r="Z102" i="2"/>
  <c r="AA104" i="2"/>
  <c r="Z106" i="2"/>
  <c r="AA108" i="2"/>
  <c r="Z110" i="2"/>
  <c r="AA112" i="2"/>
  <c r="Z114" i="2"/>
  <c r="AA116" i="2"/>
  <c r="Z118" i="2"/>
  <c r="AA120" i="2"/>
  <c r="Z122" i="2"/>
  <c r="AA124" i="2"/>
  <c r="AA126" i="2"/>
  <c r="AA130" i="2"/>
  <c r="Z140" i="2"/>
  <c r="AB142" i="2"/>
  <c r="AE142" i="2" s="1"/>
  <c r="Z147" i="2"/>
  <c r="Z152" i="2"/>
  <c r="Z175" i="2"/>
  <c r="Z180" i="2"/>
  <c r="Z185" i="2"/>
  <c r="AA187" i="2"/>
  <c r="AB197" i="2"/>
  <c r="AE197" i="2" s="1"/>
  <c r="AA199" i="2"/>
  <c r="AB201" i="2"/>
  <c r="AE201" i="2" s="1"/>
  <c r="Z212" i="2"/>
  <c r="AB233" i="2"/>
  <c r="AE233" i="2" s="1"/>
  <c r="Z244" i="2"/>
  <c r="AA250" i="2"/>
  <c r="AA291" i="2"/>
  <c r="AA338" i="2"/>
  <c r="Z10" i="2"/>
  <c r="AB11" i="2"/>
  <c r="AE11" i="2" s="1"/>
  <c r="Z14" i="2"/>
  <c r="AB15" i="2"/>
  <c r="AE15" i="2" s="1"/>
  <c r="Z18" i="2"/>
  <c r="AB19" i="2"/>
  <c r="AE19" i="2" s="1"/>
  <c r="Z22" i="2"/>
  <c r="AB23" i="2"/>
  <c r="AE23" i="2" s="1"/>
  <c r="Z26" i="2"/>
  <c r="AB27" i="2"/>
  <c r="AE27" i="2" s="1"/>
  <c r="Z30" i="2"/>
  <c r="AB31" i="2"/>
  <c r="AE31" i="2" s="1"/>
  <c r="Z34" i="2"/>
  <c r="AB35" i="2"/>
  <c r="AE35" i="2" s="1"/>
  <c r="Z38" i="2"/>
  <c r="AB39" i="2"/>
  <c r="AE39" i="2" s="1"/>
  <c r="Z42" i="2"/>
  <c r="AB43" i="2"/>
  <c r="AE43" i="2" s="1"/>
  <c r="AA46" i="2"/>
  <c r="AB49" i="2"/>
  <c r="AE49" i="2" s="1"/>
  <c r="AB52" i="2"/>
  <c r="AE52" i="2" s="1"/>
  <c r="AB55" i="2"/>
  <c r="AE55" i="2" s="1"/>
  <c r="Z60" i="2"/>
  <c r="Z63" i="2"/>
  <c r="Z66" i="2"/>
  <c r="AA69" i="2"/>
  <c r="AA72" i="2"/>
  <c r="AA75" i="2"/>
  <c r="AA78" i="2"/>
  <c r="AB83" i="2"/>
  <c r="AE83" i="2" s="1"/>
  <c r="AA85" i="2"/>
  <c r="Z87" i="2"/>
  <c r="AB92" i="2"/>
  <c r="AE92" i="2" s="1"/>
  <c r="AA94" i="2"/>
  <c r="AB96" i="2"/>
  <c r="AE96" i="2" s="1"/>
  <c r="AA98" i="2"/>
  <c r="AB100" i="2"/>
  <c r="AE100" i="2" s="1"/>
  <c r="AA102" i="2"/>
  <c r="AB104" i="2"/>
  <c r="AE104" i="2" s="1"/>
  <c r="AA106" i="2"/>
  <c r="AB108" i="2"/>
  <c r="AE108" i="2" s="1"/>
  <c r="AA110" i="2"/>
  <c r="AB112" i="2"/>
  <c r="AE112" i="2" s="1"/>
  <c r="AA114" i="2"/>
  <c r="AB116" i="2"/>
  <c r="AE116" i="2" s="1"/>
  <c r="AA118" i="2"/>
  <c r="AB120" i="2"/>
  <c r="AE120" i="2" s="1"/>
  <c r="AA122" i="2"/>
  <c r="AB124" i="2"/>
  <c r="AE124" i="2" s="1"/>
  <c r="AB126" i="2"/>
  <c r="AE126" i="2" s="1"/>
  <c r="AA128" i="2"/>
  <c r="AB130" i="2"/>
  <c r="AE130" i="2" s="1"/>
  <c r="AA132" i="2"/>
  <c r="AA136" i="2"/>
  <c r="AB140" i="2"/>
  <c r="AE140" i="2" s="1"/>
  <c r="Z145" i="2"/>
  <c r="AA152" i="2"/>
  <c r="Z159" i="2"/>
  <c r="AA161" i="2"/>
  <c r="Z173" i="2"/>
  <c r="AB180" i="2"/>
  <c r="AE180" i="2" s="1"/>
  <c r="AA185" i="2"/>
  <c r="Z209" i="2"/>
  <c r="AB212" i="2"/>
  <c r="AE212" i="2" s="1"/>
  <c r="AA224" i="2"/>
  <c r="AB265" i="2"/>
  <c r="AE265" i="2" s="1"/>
  <c r="Z276" i="2"/>
  <c r="AA282" i="2"/>
  <c r="AA323" i="2"/>
  <c r="Z328" i="2"/>
  <c r="Z333" i="2"/>
  <c r="AA363" i="2"/>
  <c r="AA468" i="2"/>
  <c r="AA10" i="2"/>
  <c r="AA14" i="2"/>
  <c r="AA18" i="2"/>
  <c r="AA22" i="2"/>
  <c r="AA26" i="2"/>
  <c r="AA30" i="2"/>
  <c r="AA34" i="2"/>
  <c r="AA38" i="2"/>
  <c r="AA42" i="2"/>
  <c r="Z48" i="2"/>
  <c r="Z51" i="2"/>
  <c r="Z54" i="2"/>
  <c r="AA57" i="2"/>
  <c r="AA60" i="2"/>
  <c r="AA63" i="2"/>
  <c r="AA66" i="2"/>
  <c r="AB69" i="2"/>
  <c r="AE69" i="2" s="1"/>
  <c r="AB72" i="2"/>
  <c r="AE72" i="2" s="1"/>
  <c r="AB75" i="2"/>
  <c r="AE75" i="2" s="1"/>
  <c r="AA80" i="2"/>
  <c r="AA87" i="2"/>
  <c r="AB132" i="2"/>
  <c r="AE132" i="2" s="1"/>
  <c r="AB134" i="2"/>
  <c r="AE134" i="2" s="1"/>
  <c r="AB136" i="2"/>
  <c r="AE136" i="2" s="1"/>
  <c r="AB138" i="2"/>
  <c r="AE138" i="2" s="1"/>
  <c r="AB145" i="2"/>
  <c r="AE145" i="2" s="1"/>
  <c r="AA150" i="2"/>
  <c r="Z155" i="2"/>
  <c r="AA157" i="2"/>
  <c r="AA159" i="2"/>
  <c r="AB161" i="2"/>
  <c r="AE161" i="2" s="1"/>
  <c r="AA163" i="2"/>
  <c r="AA165" i="2"/>
  <c r="Z169" i="2"/>
  <c r="AA171" i="2"/>
  <c r="AB173" i="2"/>
  <c r="AE173" i="2" s="1"/>
  <c r="AA178" i="2"/>
  <c r="Z183" i="2"/>
  <c r="AA190" i="2"/>
  <c r="AA194" i="2"/>
  <c r="Z204" i="2"/>
  <c r="AB206" i="2"/>
  <c r="AE206" i="2" s="1"/>
  <c r="AB209" i="2"/>
  <c r="AE209" i="2" s="1"/>
  <c r="AA256" i="2"/>
  <c r="AB297" i="2"/>
  <c r="AE297" i="2" s="1"/>
  <c r="Z308" i="2"/>
  <c r="AA314" i="2"/>
  <c r="AA492" i="2"/>
  <c r="AR105" i="1" l="1"/>
  <c r="CB105" i="1"/>
  <c r="BZ109" i="1"/>
  <c r="AH104" i="1"/>
  <c r="CB104" i="1"/>
  <c r="BJ109" i="1"/>
  <c r="BX103" i="1"/>
  <c r="BF101" i="1"/>
  <c r="BL105" i="1"/>
  <c r="BD101" i="1"/>
  <c r="AH109" i="1"/>
  <c r="BB98" i="1"/>
  <c r="H103" i="1"/>
  <c r="AL106" i="1"/>
  <c r="AV109" i="1"/>
  <c r="CD109" i="1"/>
  <c r="BT104" i="1"/>
  <c r="BB102" i="1"/>
  <c r="X103" i="1"/>
  <c r="BR101" i="1"/>
  <c r="BZ98" i="1"/>
  <c r="AL109" i="1"/>
  <c r="BP105" i="1"/>
  <c r="BJ101" i="1"/>
  <c r="AT101" i="1"/>
  <c r="AF102" i="1"/>
  <c r="AF109" i="1"/>
  <c r="BZ101" i="1"/>
  <c r="BB103" i="1"/>
  <c r="BJ105" i="1"/>
  <c r="BD102" i="1"/>
  <c r="AP101" i="1"/>
  <c r="CD104" i="1"/>
  <c r="BJ102" i="1"/>
  <c r="BF104" i="1"/>
  <c r="AJ105" i="1"/>
  <c r="AB101" i="1"/>
  <c r="AT109" i="1"/>
  <c r="Z105" i="1"/>
  <c r="CD101" i="1"/>
  <c r="CH113" i="1"/>
  <c r="CH84" i="1"/>
  <c r="CH83" i="1"/>
  <c r="CH88" i="1"/>
  <c r="CH85" i="1"/>
  <c r="CH90" i="1"/>
  <c r="CH82" i="1"/>
  <c r="CH89" i="1"/>
  <c r="CH81" i="1"/>
  <c r="CH80" i="1"/>
  <c r="CH87" i="1"/>
  <c r="CH79" i="1"/>
  <c r="CH86" i="1"/>
  <c r="CF113" i="1"/>
  <c r="CF114" i="1" s="1"/>
  <c r="CF88" i="1"/>
  <c r="CF80" i="1"/>
  <c r="CF90" i="1"/>
  <c r="CF87" i="1"/>
  <c r="CF79" i="1"/>
  <c r="CF89" i="1"/>
  <c r="CF86" i="1"/>
  <c r="CF85" i="1"/>
  <c r="CF84" i="1"/>
  <c r="CF83" i="1"/>
  <c r="CF82" i="1"/>
  <c r="CF81" i="1"/>
  <c r="BX109" i="1"/>
  <c r="AX98" i="1"/>
  <c r="AB109" i="1"/>
  <c r="AF103" i="1"/>
  <c r="AP106" i="1"/>
  <c r="AP104" i="1"/>
  <c r="AH102" i="1"/>
  <c r="AH98" i="1"/>
  <c r="BH104" i="1"/>
  <c r="AR109" i="1"/>
  <c r="AZ98" i="1"/>
  <c r="BP98" i="1"/>
  <c r="AL104" i="1"/>
  <c r="BB106" i="1"/>
  <c r="Z103" i="1"/>
  <c r="AN103" i="1"/>
  <c r="AN101" i="1"/>
  <c r="AT104" i="1"/>
  <c r="AV102" i="1"/>
  <c r="AJ98" i="1"/>
  <c r="BR103" i="1"/>
  <c r="AV101" i="1"/>
  <c r="AD105" i="1"/>
  <c r="AJ104" i="1"/>
  <c r="BB109" i="1"/>
  <c r="AL98" i="1"/>
  <c r="AL103" i="1"/>
  <c r="AJ101" i="1"/>
  <c r="AB105" i="1"/>
  <c r="BH109" i="1"/>
  <c r="AB102" i="1"/>
  <c r="X98" i="1"/>
  <c r="BJ98" i="1"/>
  <c r="AD109" i="1"/>
  <c r="AD106" i="1"/>
  <c r="AD103" i="1"/>
  <c r="BB105" i="1"/>
  <c r="AN106" i="1"/>
  <c r="BT98" i="1"/>
  <c r="AZ101" i="1"/>
  <c r="BR98" i="1"/>
  <c r="BP104" i="1"/>
  <c r="AN98" i="1"/>
  <c r="AN99" i="1"/>
  <c r="AL105" i="1"/>
  <c r="AV105" i="1"/>
  <c r="Z104" i="1"/>
  <c r="BX105" i="1"/>
  <c r="AP98" i="1"/>
  <c r="AP99" i="1"/>
  <c r="AR106" i="1"/>
  <c r="BB101" i="1"/>
  <c r="AJ103" i="1"/>
  <c r="AD98" i="1"/>
  <c r="AT106" i="1"/>
  <c r="AT107" i="1"/>
  <c r="AF99" i="1"/>
  <c r="AB104" i="1"/>
  <c r="Z98" i="1"/>
  <c r="Z99" i="1"/>
  <c r="AB98" i="1"/>
  <c r="AB99" i="1"/>
  <c r="AR98" i="1"/>
  <c r="AR99" i="1"/>
  <c r="AD101" i="1"/>
  <c r="AN104" i="1"/>
  <c r="AX104" i="1"/>
  <c r="AV103" i="1"/>
  <c r="AJ99" i="1"/>
  <c r="AV98" i="1"/>
  <c r="BB107" i="1"/>
  <c r="BR106" i="1"/>
  <c r="AN102" i="1"/>
  <c r="AV104" i="1"/>
  <c r="BZ102" i="1"/>
  <c r="AV106" i="1"/>
  <c r="AV107" i="1"/>
  <c r="AT105" i="1"/>
  <c r="BN104" i="1"/>
  <c r="Z102" i="1"/>
  <c r="BX98" i="1"/>
  <c r="BT109" i="1"/>
  <c r="AJ102" i="1"/>
  <c r="AP103" i="1"/>
  <c r="AZ103" i="1"/>
  <c r="AH105" i="1"/>
  <c r="BP102" i="1"/>
  <c r="BT101" i="1"/>
  <c r="AD104" i="1"/>
  <c r="AF105" i="1"/>
  <c r="AH99" i="1"/>
  <c r="Z109" i="1"/>
  <c r="AH106" i="1"/>
  <c r="AH107" i="1"/>
  <c r="AL101" i="1"/>
  <c r="AP107" i="1"/>
  <c r="BP109" i="1"/>
  <c r="V105" i="1"/>
  <c r="AX105" i="1"/>
  <c r="AJ109" i="1"/>
  <c r="AF106" i="1"/>
  <c r="AF107" i="1"/>
  <c r="AP102" i="1"/>
  <c r="AR103" i="1"/>
  <c r="Z106" i="1"/>
  <c r="AP109" i="1"/>
  <c r="BL102" i="1"/>
  <c r="AR101" i="1"/>
  <c r="AT102" i="1"/>
  <c r="T102" i="1"/>
  <c r="AT103" i="1"/>
  <c r="BN102" i="1"/>
  <c r="AF104" i="1"/>
  <c r="BD98" i="1"/>
  <c r="CD105" i="1"/>
  <c r="AJ106" i="1"/>
  <c r="BH101" i="1"/>
  <c r="AR104" i="1"/>
  <c r="BV109" i="1"/>
  <c r="AL102" i="1"/>
  <c r="Z107" i="1"/>
  <c r="AN105" i="1"/>
  <c r="AD102" i="1"/>
  <c r="AF101" i="1"/>
  <c r="AH103" i="1"/>
  <c r="AB106" i="1"/>
  <c r="CD107" i="1"/>
  <c r="CD106" i="1"/>
  <c r="CD103" i="1"/>
  <c r="CD102" i="1"/>
  <c r="CD99" i="1"/>
  <c r="CD98" i="1"/>
  <c r="CB98" i="1"/>
  <c r="CB99" i="1"/>
  <c r="CB107" i="1"/>
  <c r="CB106" i="1"/>
  <c r="CB102" i="1"/>
  <c r="CB103" i="1"/>
  <c r="BZ106" i="1"/>
  <c r="BZ105" i="1"/>
  <c r="BZ104" i="1"/>
  <c r="BZ103" i="1"/>
  <c r="BX104" i="1"/>
  <c r="BX99" i="1"/>
  <c r="BX106" i="1"/>
  <c r="BX107" i="1"/>
  <c r="BX101" i="1"/>
  <c r="BV100" i="1"/>
  <c r="BV101" i="1"/>
  <c r="BV98" i="1"/>
  <c r="BV99" i="1"/>
  <c r="BV106" i="1"/>
  <c r="BV107" i="1"/>
  <c r="BV104" i="1"/>
  <c r="BV105" i="1"/>
  <c r="BV102" i="1"/>
  <c r="BV103" i="1"/>
  <c r="BT106" i="1"/>
  <c r="BT107" i="1"/>
  <c r="BT105" i="1"/>
  <c r="BT103" i="1"/>
  <c r="BR109" i="1"/>
  <c r="BR104" i="1"/>
  <c r="BR102" i="1"/>
  <c r="BP101" i="1"/>
  <c r="BP99" i="1"/>
  <c r="BP106" i="1"/>
  <c r="BP103" i="1"/>
  <c r="BN103" i="1"/>
  <c r="BN106" i="1"/>
  <c r="BN107" i="1"/>
  <c r="BN101" i="1"/>
  <c r="BN98" i="1"/>
  <c r="BN99" i="1"/>
  <c r="BN109" i="1"/>
  <c r="BN105" i="1"/>
  <c r="BL98" i="1"/>
  <c r="BL99" i="1"/>
  <c r="BL109" i="1"/>
  <c r="BL103" i="1"/>
  <c r="BL104" i="1"/>
  <c r="BL107" i="1"/>
  <c r="BL106" i="1"/>
  <c r="BL101" i="1"/>
  <c r="BJ103" i="1"/>
  <c r="BJ104" i="1"/>
  <c r="BJ107" i="1"/>
  <c r="BJ106" i="1"/>
  <c r="BH98" i="1"/>
  <c r="BH99" i="1"/>
  <c r="BH106" i="1"/>
  <c r="BH107" i="1"/>
  <c r="BH102" i="1"/>
  <c r="BH105" i="1"/>
  <c r="BF102" i="1"/>
  <c r="BF103" i="1"/>
  <c r="BF105" i="1"/>
  <c r="BF109" i="1"/>
  <c r="BF106" i="1"/>
  <c r="BF107" i="1"/>
  <c r="BF98" i="1"/>
  <c r="BF99" i="1"/>
  <c r="BD103" i="1"/>
  <c r="BD104" i="1"/>
  <c r="BD109" i="1"/>
  <c r="BD105" i="1"/>
  <c r="BD106" i="1"/>
  <c r="BD107" i="1"/>
  <c r="BD99" i="1"/>
  <c r="BB104" i="1"/>
  <c r="AZ109" i="1"/>
  <c r="AZ105" i="1"/>
  <c r="AZ102" i="1"/>
  <c r="AZ107" i="1"/>
  <c r="AZ106" i="1"/>
  <c r="AZ104" i="1"/>
  <c r="AZ99" i="1"/>
  <c r="AX102" i="1"/>
  <c r="AX103" i="1"/>
  <c r="AX101" i="1"/>
  <c r="AX100" i="1"/>
  <c r="AX107" i="1"/>
  <c r="AX106" i="1"/>
  <c r="AX109" i="1"/>
  <c r="AX99" i="1"/>
  <c r="V98" i="1"/>
  <c r="R109" i="1"/>
  <c r="T104" i="1"/>
  <c r="P109" i="1"/>
  <c r="X101" i="1"/>
  <c r="N101" i="1"/>
  <c r="N98" i="1"/>
  <c r="X105" i="1"/>
  <c r="N105" i="1"/>
  <c r="V99" i="1"/>
  <c r="P105" i="1"/>
  <c r="N109" i="1"/>
  <c r="V103" i="1"/>
  <c r="N103" i="1"/>
  <c r="R105" i="1"/>
  <c r="P98" i="1"/>
  <c r="P99" i="1"/>
  <c r="P103" i="1"/>
  <c r="X109" i="1"/>
  <c r="H98" i="1"/>
  <c r="H99" i="1"/>
  <c r="J103" i="1"/>
  <c r="J106" i="1"/>
  <c r="R103" i="1"/>
  <c r="T106" i="1"/>
  <c r="P101" i="1"/>
  <c r="H101" i="1"/>
  <c r="H105" i="1"/>
  <c r="V109" i="1"/>
  <c r="T109" i="1"/>
  <c r="T98" i="1"/>
  <c r="R101" i="1"/>
  <c r="R98" i="1"/>
  <c r="L102" i="1"/>
  <c r="L104" i="1"/>
  <c r="J109" i="1"/>
  <c r="J107" i="1"/>
  <c r="J102" i="1"/>
  <c r="H109" i="1"/>
  <c r="F98" i="1"/>
  <c r="F105" i="1"/>
  <c r="F99" i="1"/>
  <c r="F101" i="1"/>
  <c r="F103" i="1"/>
  <c r="F109" i="1"/>
  <c r="V104" i="1"/>
  <c r="V102" i="1"/>
  <c r="X104" i="1"/>
  <c r="F104" i="1"/>
  <c r="F102" i="1"/>
  <c r="R102" i="1"/>
  <c r="H104" i="1"/>
  <c r="AF11" i="2"/>
  <c r="AF12" i="2" s="1"/>
  <c r="AF13" i="2" s="1"/>
  <c r="AF14" i="2" s="1"/>
  <c r="AF15" i="2" s="1"/>
  <c r="AF16" i="2" s="1"/>
  <c r="AF17" i="2" s="1"/>
  <c r="AF18" i="2" s="1"/>
  <c r="AF19" i="2" s="1"/>
  <c r="AF20" i="2" s="1"/>
  <c r="AF21" i="2" s="1"/>
  <c r="AF22" i="2" s="1"/>
  <c r="AF23" i="2" s="1"/>
  <c r="AF24" i="2" s="1"/>
  <c r="AF25" i="2" s="1"/>
  <c r="AF26" i="2" s="1"/>
  <c r="AF27" i="2" s="1"/>
  <c r="AF28" i="2" s="1"/>
  <c r="AF29" i="2" s="1"/>
  <c r="AF30" i="2" s="1"/>
  <c r="AF31" i="2" s="1"/>
  <c r="AF32" i="2" s="1"/>
  <c r="AF33" i="2" s="1"/>
  <c r="AF34" i="2" s="1"/>
  <c r="AF35" i="2" s="1"/>
  <c r="AF36" i="2" s="1"/>
  <c r="AF37" i="2" s="1"/>
  <c r="AF38" i="2" s="1"/>
  <c r="AF39" i="2" s="1"/>
  <c r="AF40" i="2" s="1"/>
  <c r="AF41" i="2" s="1"/>
  <c r="AF42" i="2" s="1"/>
  <c r="AF43" i="2" s="1"/>
  <c r="AF44" i="2" s="1"/>
  <c r="AF45" i="2" s="1"/>
  <c r="AF46" i="2" s="1"/>
  <c r="AF47" i="2" s="1"/>
  <c r="AF48" i="2" s="1"/>
  <c r="AF49" i="2" s="1"/>
  <c r="AF50" i="2" s="1"/>
  <c r="AF51" i="2" s="1"/>
  <c r="AF52" i="2" s="1"/>
  <c r="AF53" i="2" s="1"/>
  <c r="AF54" i="2" s="1"/>
  <c r="AF55" i="2" s="1"/>
  <c r="AF56" i="2" s="1"/>
  <c r="AF57" i="2" s="1"/>
  <c r="AF58" i="2" s="1"/>
  <c r="AF59" i="2" s="1"/>
  <c r="AF60" i="2" s="1"/>
  <c r="AF61" i="2" s="1"/>
  <c r="AF62" i="2" s="1"/>
  <c r="AF63" i="2" s="1"/>
  <c r="AF64" i="2" s="1"/>
  <c r="AF65" i="2" s="1"/>
  <c r="AF66" i="2" s="1"/>
  <c r="AF67" i="2" s="1"/>
  <c r="AF68" i="2" s="1"/>
  <c r="AF69" i="2" s="1"/>
  <c r="AF70" i="2" s="1"/>
  <c r="AF71" i="2" s="1"/>
  <c r="AF72" i="2" s="1"/>
  <c r="AF73" i="2" s="1"/>
  <c r="AF74" i="2" s="1"/>
  <c r="AF75" i="2" s="1"/>
  <c r="AF76" i="2" s="1"/>
  <c r="AF77" i="2" s="1"/>
  <c r="AF78" i="2" s="1"/>
  <c r="AF79" i="2" s="1"/>
  <c r="AF80" i="2" s="1"/>
  <c r="AF81" i="2" s="1"/>
  <c r="AF82" i="2" s="1"/>
  <c r="AF83" i="2" s="1"/>
  <c r="AF84" i="2" s="1"/>
  <c r="AF85" i="2" s="1"/>
  <c r="AF86" i="2" s="1"/>
  <c r="AF87" i="2" s="1"/>
  <c r="AF88" i="2" s="1"/>
  <c r="AF89" i="2" s="1"/>
  <c r="AF90" i="2" s="1"/>
  <c r="AF91" i="2" s="1"/>
  <c r="AF92" i="2" s="1"/>
  <c r="AF93" i="2" s="1"/>
  <c r="AF94" i="2" s="1"/>
  <c r="AF95" i="2" s="1"/>
  <c r="AF96" i="2" s="1"/>
  <c r="AF97" i="2" s="1"/>
  <c r="AF98" i="2" s="1"/>
  <c r="AF99" i="2" s="1"/>
  <c r="AF100" i="2" s="1"/>
  <c r="AF101" i="2" s="1"/>
  <c r="AF102" i="2" s="1"/>
  <c r="AF103" i="2" s="1"/>
  <c r="AF104" i="2" s="1"/>
  <c r="AF105" i="2" s="1"/>
  <c r="AF106" i="2" s="1"/>
  <c r="AF107" i="2" s="1"/>
  <c r="AF108" i="2" s="1"/>
  <c r="AF109" i="2" s="1"/>
  <c r="AF110" i="2" s="1"/>
  <c r="AF111" i="2" s="1"/>
  <c r="AF112" i="2" s="1"/>
  <c r="AF113" i="2" s="1"/>
  <c r="AF114" i="2" s="1"/>
  <c r="AF115" i="2" s="1"/>
  <c r="AF116" i="2" s="1"/>
  <c r="AF117" i="2" s="1"/>
  <c r="AF118" i="2" s="1"/>
  <c r="AF119" i="2" s="1"/>
  <c r="AF120" i="2" s="1"/>
  <c r="AF121" i="2" s="1"/>
  <c r="AF122" i="2" s="1"/>
  <c r="AF123" i="2" s="1"/>
  <c r="AF124" i="2" s="1"/>
  <c r="AF125" i="2" s="1"/>
  <c r="AF126" i="2" s="1"/>
  <c r="AF127" i="2" s="1"/>
  <c r="AF128" i="2" s="1"/>
  <c r="AF129" i="2" s="1"/>
  <c r="AF130" i="2" s="1"/>
  <c r="AF131" i="2" s="1"/>
  <c r="AF132" i="2" s="1"/>
  <c r="AF133" i="2" s="1"/>
  <c r="AF134" i="2" s="1"/>
  <c r="AF135" i="2" s="1"/>
  <c r="AF136" i="2" s="1"/>
  <c r="AF137" i="2" s="1"/>
  <c r="AF138" i="2" s="1"/>
  <c r="AF139" i="2" s="1"/>
  <c r="AF140" i="2" s="1"/>
  <c r="AF141" i="2" s="1"/>
  <c r="AF142" i="2" s="1"/>
  <c r="AF143" i="2" s="1"/>
  <c r="AF144" i="2" s="1"/>
  <c r="AF145" i="2" s="1"/>
  <c r="AF146" i="2" s="1"/>
  <c r="AF147" i="2" s="1"/>
  <c r="AF148" i="2" s="1"/>
  <c r="AF149" i="2" s="1"/>
  <c r="AF150" i="2" s="1"/>
  <c r="AF151" i="2" s="1"/>
  <c r="AF152" i="2" s="1"/>
  <c r="AF153" i="2" s="1"/>
  <c r="AF154" i="2" s="1"/>
  <c r="AF155" i="2" s="1"/>
  <c r="AF156" i="2" s="1"/>
  <c r="AF157" i="2" s="1"/>
  <c r="AF158" i="2" s="1"/>
  <c r="AF159" i="2" s="1"/>
  <c r="AF160" i="2" s="1"/>
  <c r="AF161" i="2" s="1"/>
  <c r="AF162" i="2" s="1"/>
  <c r="AF163" i="2" s="1"/>
  <c r="AF164" i="2" s="1"/>
  <c r="AF165" i="2" s="1"/>
  <c r="AF166" i="2" s="1"/>
  <c r="AF167" i="2" s="1"/>
  <c r="AF168" i="2" s="1"/>
  <c r="AF169" i="2" s="1"/>
  <c r="AF170" i="2" s="1"/>
  <c r="AF171" i="2" s="1"/>
  <c r="AF172" i="2" s="1"/>
  <c r="AF173" i="2" s="1"/>
  <c r="AF174" i="2" s="1"/>
  <c r="AF175" i="2" s="1"/>
  <c r="AF176" i="2" s="1"/>
  <c r="AF177" i="2" s="1"/>
  <c r="AF178" i="2" s="1"/>
  <c r="AF179" i="2" s="1"/>
  <c r="AF180" i="2" s="1"/>
  <c r="AF181" i="2" s="1"/>
  <c r="AF182" i="2" s="1"/>
  <c r="AF183" i="2" s="1"/>
  <c r="AF184" i="2" s="1"/>
  <c r="AF185" i="2" s="1"/>
  <c r="AF186" i="2" s="1"/>
  <c r="AF187" i="2" s="1"/>
  <c r="AF188" i="2" s="1"/>
  <c r="AF189" i="2" s="1"/>
  <c r="AF190" i="2" s="1"/>
  <c r="AF191" i="2" s="1"/>
  <c r="AF192" i="2" s="1"/>
  <c r="AF193" i="2" s="1"/>
  <c r="AF194" i="2" s="1"/>
  <c r="AF195" i="2" s="1"/>
  <c r="AF196" i="2" s="1"/>
  <c r="AF197" i="2" s="1"/>
  <c r="AF198" i="2" s="1"/>
  <c r="AF199" i="2" s="1"/>
  <c r="AF200" i="2" s="1"/>
  <c r="AF201" i="2" s="1"/>
  <c r="AF202" i="2" s="1"/>
  <c r="AF203" i="2" s="1"/>
  <c r="AF204" i="2" s="1"/>
  <c r="AF205" i="2" s="1"/>
  <c r="AF206" i="2" s="1"/>
  <c r="AF207" i="2" s="1"/>
  <c r="AF208" i="2" s="1"/>
  <c r="AF209" i="2" s="1"/>
  <c r="AF210" i="2" s="1"/>
  <c r="AF211" i="2" s="1"/>
  <c r="AF212" i="2" s="1"/>
  <c r="AF213" i="2" s="1"/>
  <c r="AF214" i="2" s="1"/>
  <c r="AF215" i="2" s="1"/>
  <c r="AF216" i="2" s="1"/>
  <c r="AF217" i="2" s="1"/>
  <c r="AF218" i="2" s="1"/>
  <c r="AF219" i="2" s="1"/>
  <c r="AF220" i="2" s="1"/>
  <c r="AF221" i="2" s="1"/>
  <c r="AF222" i="2" s="1"/>
  <c r="AF223" i="2" s="1"/>
  <c r="AF224" i="2" s="1"/>
  <c r="AF225" i="2" s="1"/>
  <c r="AF226" i="2" s="1"/>
  <c r="AF227" i="2" s="1"/>
  <c r="AF228" i="2" s="1"/>
  <c r="AF229" i="2" s="1"/>
  <c r="AF230" i="2" s="1"/>
  <c r="AF231" i="2" s="1"/>
  <c r="AF232" i="2" s="1"/>
  <c r="AF233" i="2" s="1"/>
  <c r="AF234" i="2" s="1"/>
  <c r="AF235" i="2" s="1"/>
  <c r="AF236" i="2" s="1"/>
  <c r="AF237" i="2" s="1"/>
  <c r="AF238" i="2" s="1"/>
  <c r="AF239" i="2" s="1"/>
  <c r="AF240" i="2" s="1"/>
  <c r="AF241" i="2" s="1"/>
  <c r="AF242" i="2" s="1"/>
  <c r="AF243" i="2" s="1"/>
  <c r="AF244" i="2" s="1"/>
  <c r="AF245" i="2" s="1"/>
  <c r="AF246" i="2" s="1"/>
  <c r="AF247" i="2" s="1"/>
  <c r="AF248" i="2" s="1"/>
  <c r="AF249" i="2" s="1"/>
  <c r="AF250" i="2" s="1"/>
  <c r="AF251" i="2" s="1"/>
  <c r="AF252" i="2" s="1"/>
  <c r="AF253" i="2" s="1"/>
  <c r="AF254" i="2" s="1"/>
  <c r="AF255" i="2" s="1"/>
  <c r="AF256" i="2" s="1"/>
  <c r="AF257" i="2" s="1"/>
  <c r="AF258" i="2" s="1"/>
  <c r="AF259" i="2" s="1"/>
  <c r="AF260" i="2" s="1"/>
  <c r="AF261" i="2" s="1"/>
  <c r="AF262" i="2" s="1"/>
  <c r="AF263" i="2" s="1"/>
  <c r="AF264" i="2" s="1"/>
  <c r="AF265" i="2" s="1"/>
  <c r="AF266" i="2" s="1"/>
  <c r="AF267" i="2" s="1"/>
  <c r="AF268" i="2" s="1"/>
  <c r="AF269" i="2" s="1"/>
  <c r="AF270" i="2" s="1"/>
  <c r="AF271" i="2" s="1"/>
  <c r="AF272" i="2" s="1"/>
  <c r="AF273" i="2" s="1"/>
  <c r="AF274" i="2" s="1"/>
  <c r="AF275" i="2" s="1"/>
  <c r="AF276" i="2" s="1"/>
  <c r="AF277" i="2" s="1"/>
  <c r="AF278" i="2" s="1"/>
  <c r="AF279" i="2" s="1"/>
  <c r="AF280" i="2" s="1"/>
  <c r="AF281" i="2" s="1"/>
  <c r="AF282" i="2" s="1"/>
  <c r="AF283" i="2" s="1"/>
  <c r="AF284" i="2" s="1"/>
  <c r="AF285" i="2" s="1"/>
  <c r="AF286" i="2" s="1"/>
  <c r="AF287" i="2" s="1"/>
  <c r="AF288" i="2" s="1"/>
  <c r="AF289" i="2" s="1"/>
  <c r="AF290" i="2" s="1"/>
  <c r="AF291" i="2" s="1"/>
  <c r="AF292" i="2" s="1"/>
  <c r="AF293" i="2" s="1"/>
  <c r="AF294" i="2" s="1"/>
  <c r="AF295" i="2" s="1"/>
  <c r="AF296" i="2" s="1"/>
  <c r="AF297" i="2" s="1"/>
  <c r="AF298" i="2" s="1"/>
  <c r="AF299" i="2" s="1"/>
  <c r="AF300" i="2" s="1"/>
  <c r="AF301" i="2" s="1"/>
  <c r="AF302" i="2" s="1"/>
  <c r="AF303" i="2" s="1"/>
  <c r="AF304" i="2" s="1"/>
  <c r="AF305" i="2" s="1"/>
  <c r="AF306" i="2" s="1"/>
  <c r="AF307" i="2" s="1"/>
  <c r="AF308" i="2" s="1"/>
  <c r="AF309" i="2" s="1"/>
  <c r="AF310" i="2" s="1"/>
  <c r="AF311" i="2" s="1"/>
  <c r="AF312" i="2" s="1"/>
  <c r="AF313" i="2" s="1"/>
  <c r="AF314" i="2" s="1"/>
  <c r="AF315" i="2" s="1"/>
  <c r="AF316" i="2" s="1"/>
  <c r="AF317" i="2" s="1"/>
  <c r="AF318" i="2" s="1"/>
  <c r="AF319" i="2" s="1"/>
  <c r="AF320" i="2" s="1"/>
  <c r="AF321" i="2" s="1"/>
  <c r="AF322" i="2" s="1"/>
  <c r="AF323" i="2" s="1"/>
  <c r="AF324" i="2" s="1"/>
  <c r="AF325" i="2" s="1"/>
  <c r="AF326" i="2" s="1"/>
  <c r="AF327" i="2" s="1"/>
  <c r="AF328" i="2" s="1"/>
  <c r="AF329" i="2" s="1"/>
  <c r="AF330" i="2" s="1"/>
  <c r="AF331" i="2" s="1"/>
  <c r="AF332" i="2" s="1"/>
  <c r="AF333" i="2" s="1"/>
  <c r="AF334" i="2" s="1"/>
  <c r="AF335" i="2" s="1"/>
  <c r="AF336" i="2" s="1"/>
  <c r="AF337" i="2" s="1"/>
  <c r="AF338" i="2" s="1"/>
  <c r="AF339" i="2" s="1"/>
  <c r="AF340" i="2" s="1"/>
  <c r="AF341" i="2" s="1"/>
  <c r="AF342" i="2" s="1"/>
  <c r="AF343" i="2" s="1"/>
  <c r="AF344" i="2" s="1"/>
  <c r="AF345" i="2" s="1"/>
  <c r="AF346" i="2" s="1"/>
  <c r="AF347" i="2" s="1"/>
  <c r="AF348" i="2" s="1"/>
  <c r="AF349" i="2" s="1"/>
  <c r="AF350" i="2" s="1"/>
  <c r="AF351" i="2" s="1"/>
  <c r="AF352" i="2" s="1"/>
  <c r="AF353" i="2" s="1"/>
  <c r="AF354" i="2" s="1"/>
  <c r="AF355" i="2" s="1"/>
  <c r="AF356" i="2" s="1"/>
  <c r="AF357" i="2" s="1"/>
  <c r="AF358" i="2" s="1"/>
  <c r="AF359" i="2" s="1"/>
  <c r="AF360" i="2" s="1"/>
  <c r="AF361" i="2" s="1"/>
  <c r="AF362" i="2" s="1"/>
  <c r="AF363" i="2" s="1"/>
  <c r="AF364" i="2" s="1"/>
  <c r="AF365" i="2" s="1"/>
  <c r="AF366" i="2" s="1"/>
  <c r="AF367" i="2" s="1"/>
  <c r="AF368" i="2" s="1"/>
  <c r="AF369" i="2" s="1"/>
  <c r="AF370" i="2" s="1"/>
  <c r="AF371" i="2" s="1"/>
  <c r="AF372" i="2" s="1"/>
  <c r="AF373" i="2" s="1"/>
  <c r="AF374" i="2" s="1"/>
  <c r="AF375" i="2" s="1"/>
  <c r="AF376" i="2" s="1"/>
  <c r="AF377" i="2" s="1"/>
  <c r="AF378" i="2" s="1"/>
  <c r="AF379" i="2" s="1"/>
  <c r="AF380" i="2" s="1"/>
  <c r="AF381" i="2" s="1"/>
  <c r="AF382" i="2" s="1"/>
  <c r="AF383" i="2" s="1"/>
  <c r="AF384" i="2" s="1"/>
  <c r="AF385" i="2" s="1"/>
  <c r="AF386" i="2" s="1"/>
  <c r="AF387" i="2" s="1"/>
  <c r="AF388" i="2" s="1"/>
  <c r="AF389" i="2" s="1"/>
  <c r="AF390" i="2" s="1"/>
  <c r="AF391" i="2" s="1"/>
  <c r="AF392" i="2" s="1"/>
  <c r="AF393" i="2" s="1"/>
  <c r="AF394" i="2" s="1"/>
  <c r="AF395" i="2" s="1"/>
  <c r="AF396" i="2" s="1"/>
  <c r="AF397" i="2" s="1"/>
  <c r="AF398" i="2" s="1"/>
  <c r="AF399" i="2" s="1"/>
  <c r="AF400" i="2" s="1"/>
  <c r="AF401" i="2" s="1"/>
  <c r="AF402" i="2" s="1"/>
  <c r="AF403" i="2" s="1"/>
  <c r="AF404" i="2" s="1"/>
  <c r="AF405" i="2" s="1"/>
  <c r="AF406" i="2" s="1"/>
  <c r="AF407" i="2" s="1"/>
  <c r="AF408" i="2" s="1"/>
  <c r="AF409" i="2" s="1"/>
  <c r="AF410" i="2" s="1"/>
  <c r="AF411" i="2" s="1"/>
  <c r="AF412" i="2" s="1"/>
  <c r="AF413" i="2" s="1"/>
  <c r="AF414" i="2" s="1"/>
  <c r="AF415" i="2" s="1"/>
  <c r="AF416" i="2" s="1"/>
  <c r="AF417" i="2" s="1"/>
  <c r="AF418" i="2" s="1"/>
  <c r="AF419" i="2" s="1"/>
  <c r="AF420" i="2" s="1"/>
  <c r="AF421" i="2" s="1"/>
  <c r="AF422" i="2" s="1"/>
  <c r="AF423" i="2" s="1"/>
  <c r="AF424" i="2" s="1"/>
  <c r="AF425" i="2" s="1"/>
  <c r="AF426" i="2" s="1"/>
  <c r="AF427" i="2" s="1"/>
  <c r="AF428" i="2" s="1"/>
  <c r="AF429" i="2" s="1"/>
  <c r="AF430" i="2" s="1"/>
  <c r="AF431" i="2" s="1"/>
  <c r="AF432" i="2" s="1"/>
  <c r="AF433" i="2" s="1"/>
  <c r="AF434" i="2" s="1"/>
  <c r="AF435" i="2" s="1"/>
  <c r="AF436" i="2" s="1"/>
  <c r="AF437" i="2" s="1"/>
  <c r="AF438" i="2" s="1"/>
  <c r="AF439" i="2" s="1"/>
  <c r="AF440" i="2" s="1"/>
  <c r="AF441" i="2" s="1"/>
  <c r="AF442" i="2" s="1"/>
  <c r="AF443" i="2" s="1"/>
  <c r="AF444" i="2" s="1"/>
  <c r="AF445" i="2" s="1"/>
  <c r="AF446" i="2" s="1"/>
  <c r="AF447" i="2" s="1"/>
  <c r="AF448" i="2" s="1"/>
  <c r="AF449" i="2" s="1"/>
  <c r="AF450" i="2" s="1"/>
  <c r="AF451" i="2" s="1"/>
  <c r="AF452" i="2" s="1"/>
  <c r="AF453" i="2" s="1"/>
  <c r="AF454" i="2" s="1"/>
  <c r="AF455" i="2" s="1"/>
  <c r="AF456" i="2" s="1"/>
  <c r="AF457" i="2" s="1"/>
  <c r="AF458" i="2" s="1"/>
  <c r="AF459" i="2" s="1"/>
  <c r="AF460" i="2" s="1"/>
  <c r="AF461" i="2" s="1"/>
  <c r="AF462" i="2" s="1"/>
  <c r="AF463" i="2" s="1"/>
  <c r="AF464" i="2" s="1"/>
  <c r="AF465" i="2" s="1"/>
  <c r="AF466" i="2" s="1"/>
  <c r="AF467" i="2" s="1"/>
  <c r="AF468" i="2" s="1"/>
  <c r="AF469" i="2" s="1"/>
  <c r="AF470" i="2" s="1"/>
  <c r="AF471" i="2" s="1"/>
  <c r="AF472" i="2" s="1"/>
  <c r="AF473" i="2" s="1"/>
  <c r="AF474" i="2" s="1"/>
  <c r="AF475" i="2" s="1"/>
  <c r="AF476" i="2" s="1"/>
  <c r="AF477" i="2" s="1"/>
  <c r="AF478" i="2" s="1"/>
  <c r="AF479" i="2" s="1"/>
  <c r="AF480" i="2" s="1"/>
  <c r="AF481" i="2" s="1"/>
  <c r="AF482" i="2" s="1"/>
  <c r="AF483" i="2" s="1"/>
  <c r="AF484" i="2" s="1"/>
  <c r="AF485" i="2" s="1"/>
  <c r="AF486" i="2" s="1"/>
  <c r="AF487" i="2" s="1"/>
  <c r="AF488" i="2" s="1"/>
  <c r="AF489" i="2" s="1"/>
  <c r="AF490" i="2" s="1"/>
  <c r="AF491" i="2" s="1"/>
  <c r="AF492" i="2" s="1"/>
  <c r="AF493" i="2" s="1"/>
  <c r="AF494" i="2" s="1"/>
  <c r="AF495" i="2" s="1"/>
  <c r="AF496" i="2" s="1"/>
  <c r="AF497" i="2" s="1"/>
  <c r="AF498" i="2" s="1"/>
  <c r="AF499" i="2" s="1"/>
  <c r="AF500" i="2" s="1"/>
  <c r="AF501" i="2" s="1"/>
  <c r="AF502" i="2" s="1"/>
  <c r="AF503" i="2" s="1"/>
  <c r="AF504" i="2" s="1"/>
  <c r="AF505" i="2" s="1"/>
  <c r="AF506" i="2" s="1"/>
  <c r="AF507" i="2" s="1"/>
  <c r="AF508" i="2" s="1"/>
  <c r="AF509" i="2" s="1"/>
  <c r="AF510" i="2" s="1"/>
  <c r="AF511" i="2" s="1"/>
  <c r="AF512" i="2" s="1"/>
  <c r="AF513" i="2" s="1"/>
  <c r="AF514" i="2" s="1"/>
  <c r="AF515" i="2" s="1"/>
  <c r="AF516" i="2" s="1"/>
  <c r="AF517" i="2" s="1"/>
  <c r="AF518" i="2" s="1"/>
  <c r="AF519" i="2" s="1"/>
  <c r="AF520" i="2" s="1"/>
  <c r="AF521" i="2" s="1"/>
  <c r="AF522" i="2" s="1"/>
  <c r="AF523" i="2" s="1"/>
  <c r="AF524" i="2" s="1"/>
  <c r="AF525" i="2" s="1"/>
  <c r="AF526" i="2" s="1"/>
  <c r="AF527" i="2" s="1"/>
  <c r="AF528" i="2" s="1"/>
  <c r="AF529" i="2" s="1"/>
  <c r="AF530" i="2" s="1"/>
  <c r="AF531" i="2" s="1"/>
  <c r="AF532" i="2" s="1"/>
  <c r="AF533" i="2" s="1"/>
  <c r="AF534" i="2" s="1"/>
  <c r="AF535" i="2" s="1"/>
  <c r="AF536" i="2" s="1"/>
  <c r="AF537" i="2" s="1"/>
  <c r="AF538" i="2" s="1"/>
  <c r="AF539" i="2" s="1"/>
  <c r="AF540" i="2" s="1"/>
  <c r="AF541" i="2" s="1"/>
  <c r="AF542" i="2" s="1"/>
  <c r="AF543" i="2" s="1"/>
  <c r="AF544" i="2" s="1"/>
  <c r="AF545" i="2" s="1"/>
  <c r="AF546" i="2" s="1"/>
  <c r="AF547" i="2" s="1"/>
  <c r="AF548" i="2" s="1"/>
  <c r="AF549" i="2" s="1"/>
  <c r="AF550" i="2" s="1"/>
  <c r="AF551" i="2" s="1"/>
  <c r="AF552" i="2" s="1"/>
  <c r="AF553" i="2" s="1"/>
  <c r="AF554" i="2" s="1"/>
  <c r="AF555" i="2" s="1"/>
  <c r="AF556" i="2" s="1"/>
  <c r="AF557" i="2" s="1"/>
  <c r="AF558" i="2" s="1"/>
  <c r="AF559" i="2" s="1"/>
  <c r="AF560" i="2" s="1"/>
  <c r="AF561" i="2" s="1"/>
  <c r="AF562" i="2" s="1"/>
  <c r="AF563" i="2" s="1"/>
  <c r="AF564" i="2" s="1"/>
  <c r="AF565" i="2" s="1"/>
  <c r="AF566" i="2" s="1"/>
  <c r="AF567" i="2" s="1"/>
  <c r="AF568" i="2" s="1"/>
  <c r="AF569" i="2" s="1"/>
  <c r="AF570" i="2" s="1"/>
  <c r="AF571" i="2" s="1"/>
  <c r="AF572" i="2" s="1"/>
  <c r="AF573" i="2" s="1"/>
  <c r="AF574" i="2" s="1"/>
  <c r="AF575" i="2" s="1"/>
  <c r="AF576" i="2" s="1"/>
  <c r="AF577" i="2" s="1"/>
  <c r="AF578" i="2" s="1"/>
  <c r="AF579" i="2" s="1"/>
  <c r="AF580" i="2" s="1"/>
  <c r="AF581" i="2" s="1"/>
  <c r="AF582" i="2" s="1"/>
  <c r="AF583" i="2" s="1"/>
  <c r="AF584" i="2" s="1"/>
  <c r="AF585" i="2" s="1"/>
  <c r="AF586" i="2" s="1"/>
  <c r="AF587" i="2" s="1"/>
  <c r="AF588" i="2" s="1"/>
  <c r="AF589" i="2" s="1"/>
  <c r="AF590" i="2" s="1"/>
  <c r="AF591" i="2" s="1"/>
  <c r="AF592" i="2" s="1"/>
  <c r="AF593" i="2" s="1"/>
  <c r="AF594" i="2" s="1"/>
  <c r="AF595" i="2" s="1"/>
  <c r="AF596" i="2" s="1"/>
  <c r="AF597" i="2" s="1"/>
  <c r="AF598" i="2" s="1"/>
  <c r="AF599" i="2" s="1"/>
  <c r="AF600" i="2" s="1"/>
  <c r="AF601" i="2" s="1"/>
  <c r="AF602" i="2" s="1"/>
  <c r="AF603" i="2" s="1"/>
  <c r="AF604" i="2" s="1"/>
  <c r="AF605" i="2" s="1"/>
  <c r="AF606" i="2" s="1"/>
  <c r="AF607" i="2" s="1"/>
  <c r="AF608" i="2" s="1"/>
  <c r="AF609" i="2" s="1"/>
  <c r="AF610" i="2" s="1"/>
  <c r="AF611" i="2" s="1"/>
  <c r="AF612" i="2" s="1"/>
  <c r="AF613" i="2" s="1"/>
  <c r="AF614" i="2" s="1"/>
  <c r="AF615" i="2" s="1"/>
  <c r="AF616" i="2" s="1"/>
  <c r="AF617" i="2" s="1"/>
  <c r="AF618" i="2" s="1"/>
  <c r="AF619" i="2" s="1"/>
  <c r="AF620" i="2" s="1"/>
  <c r="AF621" i="2" s="1"/>
  <c r="AF622" i="2" s="1"/>
  <c r="AF623" i="2" s="1"/>
  <c r="AF624" i="2" s="1"/>
  <c r="AF625" i="2" s="1"/>
  <c r="AF626" i="2" s="1"/>
  <c r="AF627" i="2" s="1"/>
  <c r="AF628" i="2" s="1"/>
  <c r="AF629" i="2" s="1"/>
  <c r="AF630" i="2" s="1"/>
  <c r="AF631" i="2" s="1"/>
  <c r="AF632" i="2" s="1"/>
  <c r="AF633" i="2" s="1"/>
  <c r="AF634" i="2" s="1"/>
  <c r="AF635" i="2" s="1"/>
  <c r="AF636" i="2" s="1"/>
  <c r="AF637" i="2" s="1"/>
  <c r="AF638" i="2" s="1"/>
  <c r="AF639" i="2" s="1"/>
  <c r="AF640" i="2" s="1"/>
  <c r="AF641" i="2" s="1"/>
  <c r="AF642" i="2" s="1"/>
  <c r="AF643" i="2" s="1"/>
  <c r="AF644" i="2" s="1"/>
  <c r="AF645" i="2" s="1"/>
  <c r="AF646" i="2" s="1"/>
  <c r="AF647" i="2" s="1"/>
  <c r="AF648" i="2" s="1"/>
  <c r="AF649" i="2" s="1"/>
  <c r="AF650" i="2" s="1"/>
  <c r="AF651" i="2" s="1"/>
  <c r="AF652" i="2" s="1"/>
  <c r="AF653" i="2" s="1"/>
  <c r="AF654" i="2" s="1"/>
  <c r="AF655" i="2" s="1"/>
  <c r="AF656" i="2" s="1"/>
  <c r="AF657" i="2" s="1"/>
  <c r="AF658" i="2" s="1"/>
  <c r="AF659" i="2" s="1"/>
  <c r="AF660" i="2" s="1"/>
  <c r="AF661" i="2" s="1"/>
  <c r="AF662" i="2" s="1"/>
  <c r="AF663" i="2" s="1"/>
  <c r="AF664" i="2" s="1"/>
  <c r="AF665" i="2" s="1"/>
  <c r="AF666" i="2" s="1"/>
  <c r="AF667" i="2" s="1"/>
  <c r="AF668" i="2" s="1"/>
  <c r="AF669" i="2" s="1"/>
  <c r="AF670" i="2" s="1"/>
  <c r="AF671" i="2" s="1"/>
  <c r="AF672" i="2" s="1"/>
  <c r="AF673" i="2" s="1"/>
  <c r="AF674" i="2" s="1"/>
  <c r="AF675" i="2" s="1"/>
  <c r="AF676" i="2" s="1"/>
  <c r="AF677" i="2" s="1"/>
  <c r="AF678" i="2" s="1"/>
  <c r="AF679" i="2" s="1"/>
  <c r="AF680" i="2" s="1"/>
  <c r="AF681" i="2" s="1"/>
  <c r="AF682" i="2" s="1"/>
  <c r="AF683" i="2" s="1"/>
  <c r="AF684" i="2" s="1"/>
  <c r="AF685" i="2" s="1"/>
  <c r="AF686" i="2" s="1"/>
  <c r="AF687" i="2" s="1"/>
  <c r="AF688" i="2" s="1"/>
  <c r="AF689" i="2" s="1"/>
  <c r="AF690" i="2" s="1"/>
  <c r="AF691" i="2" s="1"/>
  <c r="AF692" i="2" s="1"/>
  <c r="AF693" i="2" s="1"/>
  <c r="AF694" i="2" s="1"/>
  <c r="AF695" i="2" s="1"/>
  <c r="AF696" i="2" s="1"/>
  <c r="AF697" i="2" s="1"/>
  <c r="AF698" i="2" s="1"/>
  <c r="AF699" i="2" s="1"/>
  <c r="AF700" i="2" s="1"/>
  <c r="AF701" i="2" s="1"/>
  <c r="AF702" i="2" s="1"/>
  <c r="AF703" i="2" s="1"/>
  <c r="AF704" i="2" s="1"/>
  <c r="AF705" i="2" s="1"/>
  <c r="AF706" i="2" s="1"/>
  <c r="AF707" i="2" s="1"/>
  <c r="AF708" i="2" s="1"/>
  <c r="AF709" i="2" s="1"/>
  <c r="AF710" i="2" s="1"/>
  <c r="AF711" i="2" s="1"/>
  <c r="AF712" i="2" s="1"/>
  <c r="AF713" i="2" s="1"/>
  <c r="AF714" i="2" s="1"/>
  <c r="AF715" i="2" s="1"/>
  <c r="AF716" i="2" s="1"/>
  <c r="AF717" i="2" s="1"/>
  <c r="AF718" i="2" s="1"/>
  <c r="AF719" i="2" s="1"/>
  <c r="AF720" i="2" s="1"/>
  <c r="AF721" i="2" s="1"/>
  <c r="AF722" i="2" s="1"/>
  <c r="AF723" i="2" s="1"/>
  <c r="AF724" i="2" s="1"/>
  <c r="AF725" i="2" s="1"/>
  <c r="AF726" i="2" s="1"/>
  <c r="AF727" i="2" s="1"/>
  <c r="AF728" i="2" s="1"/>
  <c r="AF729" i="2" s="1"/>
  <c r="AF730" i="2" s="1"/>
  <c r="AF731" i="2" s="1"/>
  <c r="AF732" i="2" s="1"/>
  <c r="AF733" i="2" s="1"/>
  <c r="AF734" i="2" s="1"/>
  <c r="AF735" i="2" s="1"/>
  <c r="AF736" i="2" s="1"/>
  <c r="AF737" i="2" s="1"/>
  <c r="AF738" i="2" s="1"/>
  <c r="AF739" i="2" s="1"/>
  <c r="AF740" i="2" s="1"/>
  <c r="AF741" i="2" s="1"/>
  <c r="AF742" i="2" s="1"/>
  <c r="AF743" i="2" s="1"/>
  <c r="AF744" i="2" s="1"/>
  <c r="AF745" i="2" s="1"/>
  <c r="AF746" i="2" s="1"/>
  <c r="AF747" i="2" s="1"/>
  <c r="AF748" i="2" s="1"/>
  <c r="AF749" i="2" s="1"/>
  <c r="AF750" i="2" s="1"/>
  <c r="AF751" i="2" s="1"/>
  <c r="AF752" i="2" s="1"/>
  <c r="AF753" i="2" s="1"/>
  <c r="AF754" i="2" s="1"/>
  <c r="AF755" i="2" s="1"/>
  <c r="AF756" i="2" s="1"/>
  <c r="AF757" i="2" s="1"/>
  <c r="AF758" i="2" s="1"/>
  <c r="AF759" i="2" s="1"/>
  <c r="AF760" i="2" s="1"/>
  <c r="AF761" i="2" s="1"/>
  <c r="AF762" i="2" s="1"/>
  <c r="AF763" i="2" s="1"/>
  <c r="AF764" i="2" s="1"/>
  <c r="AF765" i="2" s="1"/>
  <c r="AF766" i="2" s="1"/>
  <c r="AF767" i="2" s="1"/>
  <c r="AF768" i="2" s="1"/>
  <c r="AF769" i="2" s="1"/>
  <c r="AF770" i="2" s="1"/>
  <c r="AF771" i="2" s="1"/>
  <c r="AF772" i="2" s="1"/>
  <c r="AF773" i="2" s="1"/>
  <c r="AF774" i="2" s="1"/>
  <c r="AF775" i="2" s="1"/>
  <c r="AF776" i="2" s="1"/>
  <c r="AF777" i="2" s="1"/>
  <c r="AF778" i="2" s="1"/>
  <c r="AF779" i="2" s="1"/>
  <c r="AF780" i="2" s="1"/>
  <c r="AF781" i="2" s="1"/>
  <c r="AF782" i="2" s="1"/>
  <c r="AF783" i="2" s="1"/>
  <c r="AF784" i="2" s="1"/>
  <c r="AF785" i="2" s="1"/>
  <c r="AF786" i="2" s="1"/>
  <c r="AF787" i="2" s="1"/>
  <c r="AF788" i="2" s="1"/>
  <c r="AF789" i="2" s="1"/>
  <c r="AF790" i="2" s="1"/>
  <c r="AF791" i="2" s="1"/>
  <c r="AF792" i="2" s="1"/>
  <c r="AF793" i="2" s="1"/>
  <c r="AF794" i="2" s="1"/>
  <c r="AF795" i="2" s="1"/>
  <c r="AF796" i="2" s="1"/>
  <c r="AF797" i="2" s="1"/>
  <c r="AF798" i="2" s="1"/>
  <c r="AF799" i="2" s="1"/>
  <c r="AF800" i="2" s="1"/>
  <c r="AF801" i="2" s="1"/>
  <c r="AF802" i="2" s="1"/>
  <c r="AF803" i="2" s="1"/>
  <c r="AF804" i="2" s="1"/>
  <c r="AF805" i="2" s="1"/>
  <c r="AF806" i="2" s="1"/>
  <c r="AF807" i="2" s="1"/>
  <c r="AF808" i="2" s="1"/>
  <c r="AF809" i="2" s="1"/>
  <c r="AF810" i="2" s="1"/>
  <c r="AF811" i="2" s="1"/>
  <c r="AF812" i="2" s="1"/>
  <c r="AF813" i="2" s="1"/>
  <c r="AF814" i="2" s="1"/>
  <c r="AF815" i="2" s="1"/>
  <c r="AF816" i="2" s="1"/>
  <c r="AF817" i="2" s="1"/>
  <c r="AF818" i="2" s="1"/>
  <c r="AF819" i="2" s="1"/>
  <c r="AF820" i="2" s="1"/>
  <c r="AF821" i="2" s="1"/>
  <c r="AF822" i="2" s="1"/>
  <c r="AF823" i="2" s="1"/>
  <c r="AF824" i="2" s="1"/>
  <c r="AF825" i="2" s="1"/>
  <c r="AF826" i="2" s="1"/>
  <c r="AF827" i="2" s="1"/>
  <c r="AF828" i="2" s="1"/>
  <c r="AF829" i="2" s="1"/>
  <c r="AF830" i="2" s="1"/>
  <c r="AF831" i="2" s="1"/>
  <c r="AF832" i="2" s="1"/>
  <c r="AF833" i="2" s="1"/>
  <c r="AF834" i="2" s="1"/>
  <c r="AF835" i="2" s="1"/>
  <c r="AF836" i="2" s="1"/>
  <c r="AF837" i="2" s="1"/>
  <c r="AF838" i="2" s="1"/>
  <c r="AF839" i="2" s="1"/>
  <c r="AF840" i="2" s="1"/>
  <c r="AF841" i="2" s="1"/>
  <c r="AF842" i="2" s="1"/>
  <c r="AF843" i="2" s="1"/>
  <c r="AF844" i="2" s="1"/>
  <c r="AF845" i="2" s="1"/>
  <c r="AF846" i="2" s="1"/>
  <c r="AF847" i="2" s="1"/>
  <c r="AF848" i="2" s="1"/>
  <c r="AF849" i="2" s="1"/>
  <c r="AF850" i="2" s="1"/>
  <c r="AF851" i="2" s="1"/>
  <c r="AF852" i="2" s="1"/>
  <c r="AF853" i="2" s="1"/>
  <c r="AF854" i="2" s="1"/>
  <c r="AF855" i="2" s="1"/>
  <c r="AF856" i="2" s="1"/>
  <c r="AF857" i="2" s="1"/>
  <c r="AF858" i="2" s="1"/>
  <c r="AF859" i="2" s="1"/>
  <c r="AF860" i="2" s="1"/>
  <c r="AF861" i="2" s="1"/>
  <c r="AF862" i="2" s="1"/>
  <c r="AF863" i="2" s="1"/>
  <c r="AF864" i="2" s="1"/>
  <c r="AF865" i="2" s="1"/>
  <c r="AF866" i="2" s="1"/>
  <c r="AF867" i="2" s="1"/>
  <c r="AF868" i="2" s="1"/>
  <c r="AF869" i="2" s="1"/>
  <c r="AF870" i="2" s="1"/>
  <c r="AF871" i="2" s="1"/>
  <c r="AF872" i="2" s="1"/>
  <c r="AF873" i="2" s="1"/>
  <c r="AF874" i="2" s="1"/>
  <c r="AF875" i="2" s="1"/>
  <c r="AF876" i="2" s="1"/>
  <c r="AF877" i="2" s="1"/>
  <c r="AF878" i="2" s="1"/>
  <c r="AF879" i="2" s="1"/>
  <c r="AF880" i="2" s="1"/>
  <c r="AF881" i="2" s="1"/>
  <c r="AF882" i="2" s="1"/>
  <c r="AF883" i="2" s="1"/>
  <c r="AF884" i="2" s="1"/>
  <c r="AF885" i="2" s="1"/>
  <c r="AF886" i="2" s="1"/>
  <c r="AF887" i="2" s="1"/>
  <c r="AF888" i="2" s="1"/>
  <c r="AF889" i="2" s="1"/>
  <c r="AF890" i="2" s="1"/>
  <c r="AF891" i="2" s="1"/>
  <c r="AF892" i="2" s="1"/>
  <c r="AF893" i="2" s="1"/>
  <c r="AF894" i="2" s="1"/>
  <c r="AF895" i="2" s="1"/>
  <c r="AF896" i="2" s="1"/>
  <c r="AF897" i="2" s="1"/>
  <c r="AF898" i="2" s="1"/>
  <c r="AF899" i="2" s="1"/>
  <c r="AF900" i="2" s="1"/>
  <c r="AF901" i="2" s="1"/>
  <c r="AF902" i="2" s="1"/>
  <c r="AF903" i="2" s="1"/>
  <c r="AF904" i="2" s="1"/>
  <c r="AF905" i="2" s="1"/>
  <c r="AF906" i="2" s="1"/>
  <c r="AF907" i="2" s="1"/>
  <c r="AF908" i="2" s="1"/>
  <c r="AF909" i="2" s="1"/>
  <c r="AF910" i="2" s="1"/>
  <c r="AF911" i="2" s="1"/>
  <c r="AF912" i="2" s="1"/>
  <c r="AF913" i="2" s="1"/>
  <c r="AF914" i="2" s="1"/>
  <c r="AF915" i="2" s="1"/>
  <c r="AF916" i="2" s="1"/>
  <c r="AF917" i="2" s="1"/>
  <c r="AF918" i="2" s="1"/>
  <c r="AF919" i="2" s="1"/>
  <c r="AF920" i="2" s="1"/>
  <c r="AF921" i="2" s="1"/>
  <c r="AF922" i="2" s="1"/>
  <c r="AF923" i="2" s="1"/>
  <c r="AF924" i="2" s="1"/>
  <c r="AF925" i="2" s="1"/>
  <c r="AF926" i="2" s="1"/>
  <c r="AF927" i="2" s="1"/>
  <c r="AF928" i="2" s="1"/>
  <c r="AF929" i="2" s="1"/>
  <c r="AF930" i="2" s="1"/>
  <c r="AF931" i="2" s="1"/>
  <c r="AF932" i="2" s="1"/>
  <c r="AF933" i="2" s="1"/>
  <c r="AF934" i="2" s="1"/>
  <c r="AF935" i="2" s="1"/>
  <c r="AF936" i="2" s="1"/>
  <c r="AF937" i="2" s="1"/>
  <c r="AF938" i="2" s="1"/>
  <c r="AF939" i="2" s="1"/>
  <c r="AF940" i="2" s="1"/>
  <c r="AF941" i="2" s="1"/>
  <c r="AF942" i="2" s="1"/>
  <c r="AF943" i="2" s="1"/>
  <c r="AF944" i="2" s="1"/>
  <c r="AF945" i="2" s="1"/>
  <c r="AF946" i="2" s="1"/>
  <c r="AF947" i="2" s="1"/>
  <c r="AF948" i="2" s="1"/>
  <c r="AF949" i="2" s="1"/>
  <c r="AF950" i="2" s="1"/>
  <c r="AF951" i="2" s="1"/>
  <c r="AF952" i="2" s="1"/>
  <c r="AF953" i="2" s="1"/>
  <c r="AF954" i="2" s="1"/>
  <c r="AF955" i="2" s="1"/>
  <c r="AF956" i="2" s="1"/>
  <c r="AF957" i="2" s="1"/>
  <c r="AF958" i="2" s="1"/>
  <c r="AF959" i="2" s="1"/>
  <c r="AF960" i="2" s="1"/>
  <c r="AF961" i="2" s="1"/>
  <c r="AF962" i="2" s="1"/>
  <c r="AF963" i="2" s="1"/>
  <c r="AF964" i="2" s="1"/>
  <c r="AF965" i="2" s="1"/>
  <c r="AF966" i="2" s="1"/>
  <c r="AF967" i="2" s="1"/>
  <c r="AF968" i="2" s="1"/>
  <c r="AF969" i="2" s="1"/>
  <c r="AF970" i="2" s="1"/>
  <c r="AF971" i="2" s="1"/>
  <c r="AF972" i="2" s="1"/>
  <c r="AF973" i="2" s="1"/>
  <c r="AF974" i="2" s="1"/>
  <c r="AF975" i="2" s="1"/>
  <c r="AF976" i="2" s="1"/>
  <c r="AF977" i="2" s="1"/>
  <c r="AF978" i="2" s="1"/>
  <c r="AF979" i="2" s="1"/>
  <c r="AF980" i="2" s="1"/>
  <c r="AF981" i="2" s="1"/>
  <c r="AF982" i="2" s="1"/>
  <c r="AF983" i="2" s="1"/>
  <c r="AF984" i="2" s="1"/>
  <c r="AF985" i="2" s="1"/>
  <c r="AF986" i="2" s="1"/>
  <c r="AF987" i="2" s="1"/>
  <c r="AF988" i="2" s="1"/>
  <c r="AF989" i="2" s="1"/>
  <c r="AF990" i="2" s="1"/>
  <c r="AF991" i="2" s="1"/>
  <c r="AF992" i="2" s="1"/>
  <c r="AF993" i="2" s="1"/>
  <c r="AF994" i="2" s="1"/>
  <c r="AF995" i="2" s="1"/>
  <c r="AF996" i="2" s="1"/>
  <c r="AF997" i="2" s="1"/>
  <c r="AF998" i="2" s="1"/>
  <c r="AF999" i="2" s="1"/>
  <c r="AF1000" i="2" s="1"/>
  <c r="AF1001" i="2" s="1"/>
  <c r="AF1002" i="2" s="1"/>
  <c r="AF1003" i="2" s="1"/>
  <c r="AF1004" i="2" s="1"/>
  <c r="AF1005" i="2" s="1"/>
  <c r="AF1006" i="2" s="1"/>
  <c r="AF1007" i="2" s="1"/>
  <c r="AF1008" i="2" s="1"/>
  <c r="AF1009" i="2" s="1"/>
  <c r="H106" i="1"/>
  <c r="J101" i="1"/>
  <c r="R104" i="1"/>
  <c r="L103" i="1"/>
  <c r="N102" i="1"/>
  <c r="J104" i="1"/>
  <c r="X106" i="1"/>
  <c r="R106" i="1"/>
  <c r="P102" i="1"/>
  <c r="L105" i="1"/>
  <c r="L106" i="1"/>
  <c r="V106" i="1"/>
  <c r="T101" i="1"/>
  <c r="P104" i="1"/>
  <c r="T103" i="1"/>
  <c r="F106" i="1"/>
  <c r="J105" i="1"/>
  <c r="P106" i="1"/>
  <c r="L101" i="1"/>
  <c r="J99" i="1"/>
  <c r="X102" i="1"/>
  <c r="L98" i="1"/>
  <c r="N104" i="1"/>
  <c r="L107" i="1"/>
  <c r="N106" i="1"/>
  <c r="H102" i="1"/>
  <c r="T105" i="1"/>
  <c r="L109" i="1"/>
  <c r="CH114" i="1" l="1"/>
  <c r="CH115" i="1" s="1"/>
  <c r="CH116" i="1" s="1"/>
  <c r="CF115" i="1"/>
  <c r="CF116" i="1" s="1"/>
  <c r="BJ110" i="1"/>
  <c r="BJ111" i="1" s="1"/>
  <c r="AV110" i="1"/>
  <c r="AV111" i="1" s="1"/>
  <c r="AJ110" i="1"/>
  <c r="AJ111" i="1" s="1"/>
  <c r="AH110" i="1"/>
  <c r="AH89" i="1" s="1"/>
  <c r="AD110" i="1"/>
  <c r="AD79" i="1" s="1"/>
  <c r="CD110" i="1"/>
  <c r="CD111" i="1" s="1"/>
  <c r="BB110" i="1"/>
  <c r="BB111" i="1" s="1"/>
  <c r="AN110" i="1"/>
  <c r="AN111" i="1" s="1"/>
  <c r="AL110" i="1"/>
  <c r="Z110" i="1"/>
  <c r="AP110" i="1"/>
  <c r="AP111" i="1" s="1"/>
  <c r="AX110" i="1"/>
  <c r="AX83" i="1" s="1"/>
  <c r="AR110" i="1"/>
  <c r="AR111" i="1" s="1"/>
  <c r="BP110" i="1"/>
  <c r="BP89" i="1" s="1"/>
  <c r="AF110" i="1"/>
  <c r="AF111" i="1" s="1"/>
  <c r="AF112" i="1" s="1"/>
  <c r="AT110" i="1"/>
  <c r="AT90" i="1" s="1"/>
  <c r="AB110" i="1"/>
  <c r="AB111" i="1" s="1"/>
  <c r="CB110" i="1"/>
  <c r="BZ110" i="1"/>
  <c r="BZ111" i="1" s="1"/>
  <c r="BX110" i="1"/>
  <c r="BX111" i="1" s="1"/>
  <c r="BV110" i="1"/>
  <c r="BV111" i="1" s="1"/>
  <c r="BT110" i="1"/>
  <c r="BT79" i="1" s="1"/>
  <c r="BR110" i="1"/>
  <c r="BR111" i="1" s="1"/>
  <c r="BR112" i="1" s="1"/>
  <c r="BN110" i="1"/>
  <c r="BN111" i="1" s="1"/>
  <c r="BL110" i="1"/>
  <c r="BH110" i="1"/>
  <c r="BH111" i="1" s="1"/>
  <c r="BF110" i="1"/>
  <c r="BF85" i="1" s="1"/>
  <c r="BD110" i="1"/>
  <c r="AZ110" i="1"/>
  <c r="AZ111" i="1" s="1"/>
  <c r="X110" i="1"/>
  <c r="X111" i="1" s="1"/>
  <c r="J110" i="1"/>
  <c r="J84" i="1" s="1"/>
  <c r="T110" i="1"/>
  <c r="T85" i="1" s="1"/>
  <c r="V110" i="1"/>
  <c r="R110" i="1"/>
  <c r="R80" i="1" s="1"/>
  <c r="P110" i="1"/>
  <c r="P85" i="1" s="1"/>
  <c r="N110" i="1"/>
  <c r="H110" i="1"/>
  <c r="H86" i="1" s="1"/>
  <c r="F110" i="1"/>
  <c r="F89" i="1" s="1"/>
  <c r="L110" i="1"/>
  <c r="AJ85" i="1" l="1"/>
  <c r="BT111" i="1"/>
  <c r="BT112" i="1" s="1"/>
  <c r="BJ81" i="1"/>
  <c r="BJ82" i="1"/>
  <c r="AT82" i="1"/>
  <c r="AH80" i="1"/>
  <c r="AD90" i="1"/>
  <c r="AH87" i="1"/>
  <c r="AD82" i="1"/>
  <c r="AH85" i="1"/>
  <c r="AH81" i="1"/>
  <c r="AH88" i="1"/>
  <c r="CH117" i="1"/>
  <c r="CH118" i="1" s="1"/>
  <c r="CH119" i="1" s="1"/>
  <c r="BH89" i="1"/>
  <c r="BH82" i="1"/>
  <c r="BH87" i="1"/>
  <c r="BH83" i="1"/>
  <c r="AX111" i="1"/>
  <c r="AX112" i="1" s="1"/>
  <c r="AX113" i="1" s="1"/>
  <c r="AH111" i="1"/>
  <c r="AH112" i="1" s="1"/>
  <c r="AH84" i="1"/>
  <c r="AH83" i="1"/>
  <c r="BH79" i="1"/>
  <c r="AH90" i="1"/>
  <c r="AH79" i="1"/>
  <c r="AT79" i="1"/>
  <c r="AH86" i="1"/>
  <c r="AT87" i="1"/>
  <c r="AH82" i="1"/>
  <c r="AX82" i="1"/>
  <c r="AD81" i="1"/>
  <c r="AT84" i="1"/>
  <c r="BH86" i="1"/>
  <c r="AX90" i="1"/>
  <c r="AD87" i="1"/>
  <c r="CF117" i="1"/>
  <c r="CF118" i="1" s="1"/>
  <c r="BZ85" i="1"/>
  <c r="BT80" i="1"/>
  <c r="BR85" i="1"/>
  <c r="BJ112" i="1"/>
  <c r="BJ113" i="1" s="1"/>
  <c r="BJ114" i="1" s="1"/>
  <c r="BJ87" i="1"/>
  <c r="BJ80" i="1"/>
  <c r="BJ79" i="1"/>
  <c r="BJ83" i="1"/>
  <c r="BJ88" i="1"/>
  <c r="BJ85" i="1"/>
  <c r="BJ86" i="1"/>
  <c r="BJ90" i="1"/>
  <c r="BJ89" i="1"/>
  <c r="BJ84" i="1"/>
  <c r="BF111" i="1"/>
  <c r="BF112" i="1" s="1"/>
  <c r="BF113" i="1" s="1"/>
  <c r="AV81" i="1"/>
  <c r="AV83" i="1"/>
  <c r="AV82" i="1"/>
  <c r="AV89" i="1"/>
  <c r="AV84" i="1"/>
  <c r="AV88" i="1"/>
  <c r="AV80" i="1"/>
  <c r="AV86" i="1"/>
  <c r="AV90" i="1"/>
  <c r="AV79" i="1"/>
  <c r="AV85" i="1"/>
  <c r="AV87" i="1"/>
  <c r="AT80" i="1"/>
  <c r="AT83" i="1"/>
  <c r="AT81" i="1"/>
  <c r="AJ83" i="1"/>
  <c r="AJ90" i="1"/>
  <c r="AJ84" i="1"/>
  <c r="AJ88" i="1"/>
  <c r="AJ82" i="1"/>
  <c r="AJ81" i="1"/>
  <c r="AJ89" i="1"/>
  <c r="AJ86" i="1"/>
  <c r="AJ80" i="1"/>
  <c r="AJ79" i="1"/>
  <c r="AJ87" i="1"/>
  <c r="AD86" i="1"/>
  <c r="AD80" i="1"/>
  <c r="AD89" i="1"/>
  <c r="T88" i="1"/>
  <c r="T84" i="1"/>
  <c r="N81" i="1"/>
  <c r="N111" i="1"/>
  <c r="N112" i="1" s="1"/>
  <c r="N113" i="1" s="1"/>
  <c r="CD112" i="1"/>
  <c r="CD113" i="1" s="1"/>
  <c r="CD114" i="1" s="1"/>
  <c r="BT86" i="1"/>
  <c r="BT82" i="1"/>
  <c r="BP81" i="1"/>
  <c r="BH90" i="1"/>
  <c r="BH85" i="1"/>
  <c r="BH84" i="1"/>
  <c r="BH80" i="1"/>
  <c r="BH81" i="1"/>
  <c r="BH88" i="1"/>
  <c r="BF86" i="1"/>
  <c r="BF89" i="1"/>
  <c r="BF87" i="1"/>
  <c r="BF80" i="1"/>
  <c r="AX85" i="1"/>
  <c r="AX79" i="1"/>
  <c r="AX80" i="1"/>
  <c r="AV112" i="1"/>
  <c r="AV113" i="1" s="1"/>
  <c r="AT86" i="1"/>
  <c r="AD85" i="1"/>
  <c r="AD88" i="1"/>
  <c r="AD111" i="1"/>
  <c r="AD112" i="1" s="1"/>
  <c r="AD113" i="1" s="1"/>
  <c r="AD114" i="1" s="1"/>
  <c r="AD84" i="1"/>
  <c r="AD83" i="1"/>
  <c r="BZ81" i="1"/>
  <c r="BZ89" i="1"/>
  <c r="BZ86" i="1"/>
  <c r="BZ84" i="1"/>
  <c r="BP87" i="1"/>
  <c r="AX89" i="1"/>
  <c r="AX86" i="1"/>
  <c r="H111" i="1"/>
  <c r="H112" i="1" s="1"/>
  <c r="J111" i="1"/>
  <c r="J112" i="1" s="1"/>
  <c r="X112" i="1"/>
  <c r="X113" i="1" s="1"/>
  <c r="BZ82" i="1"/>
  <c r="AX88" i="1"/>
  <c r="AX87" i="1"/>
  <c r="AX84" i="1"/>
  <c r="AX81" i="1"/>
  <c r="AP112" i="1"/>
  <c r="AP113" i="1" s="1"/>
  <c r="BZ80" i="1"/>
  <c r="BF84" i="1"/>
  <c r="BZ87" i="1"/>
  <c r="T111" i="1"/>
  <c r="T112" i="1" s="1"/>
  <c r="BH112" i="1"/>
  <c r="BR87" i="1"/>
  <c r="BP90" i="1"/>
  <c r="P111" i="1"/>
  <c r="BP79" i="1"/>
  <c r="AB112" i="1"/>
  <c r="BR90" i="1"/>
  <c r="AN112" i="1"/>
  <c r="BR88" i="1"/>
  <c r="AJ112" i="1"/>
  <c r="BR86" i="1"/>
  <c r="AT89" i="1"/>
  <c r="BP82" i="1"/>
  <c r="BP111" i="1"/>
  <c r="BP112" i="1" s="1"/>
  <c r="BP113" i="1" s="1"/>
  <c r="BP114" i="1" s="1"/>
  <c r="F111" i="1"/>
  <c r="F112" i="1" s="1"/>
  <c r="F113" i="1" s="1"/>
  <c r="AR112" i="1"/>
  <c r="AR113" i="1" s="1"/>
  <c r="AT111" i="1"/>
  <c r="L111" i="1"/>
  <c r="L112" i="1" s="1"/>
  <c r="BP85" i="1"/>
  <c r="AL111" i="1"/>
  <c r="V81" i="1"/>
  <c r="BR83" i="1"/>
  <c r="BP88" i="1"/>
  <c r="AF113" i="1"/>
  <c r="AF114" i="1" s="1"/>
  <c r="AF115" i="1" s="1"/>
  <c r="AT85" i="1"/>
  <c r="BR89" i="1"/>
  <c r="BR84" i="1"/>
  <c r="BT89" i="1"/>
  <c r="BP80" i="1"/>
  <c r="R111" i="1"/>
  <c r="V111" i="1"/>
  <c r="T90" i="1"/>
  <c r="BP84" i="1"/>
  <c r="BP86" i="1"/>
  <c r="BR81" i="1"/>
  <c r="BR82" i="1"/>
  <c r="AT88" i="1"/>
  <c r="BT88" i="1"/>
  <c r="BP83" i="1"/>
  <c r="Z111" i="1"/>
  <c r="CB111" i="1"/>
  <c r="BZ83" i="1"/>
  <c r="BZ79" i="1"/>
  <c r="BZ112" i="1"/>
  <c r="BZ90" i="1"/>
  <c r="BZ88" i="1"/>
  <c r="BX112" i="1"/>
  <c r="BV112" i="1"/>
  <c r="BV113" i="1" s="1"/>
  <c r="BT85" i="1"/>
  <c r="BT83" i="1"/>
  <c r="BT87" i="1"/>
  <c r="BT90" i="1"/>
  <c r="BT81" i="1"/>
  <c r="BT84" i="1"/>
  <c r="BR79" i="1"/>
  <c r="BR80" i="1"/>
  <c r="BR113" i="1"/>
  <c r="BN112" i="1"/>
  <c r="BL111" i="1"/>
  <c r="BF88" i="1"/>
  <c r="BF83" i="1"/>
  <c r="BF90" i="1"/>
  <c r="BF81" i="1"/>
  <c r="BF82" i="1"/>
  <c r="BF79" i="1"/>
  <c r="BD111" i="1"/>
  <c r="BB112" i="1"/>
  <c r="AZ112" i="1"/>
  <c r="AR81" i="1"/>
  <c r="AR82" i="1"/>
  <c r="AR85" i="1"/>
  <c r="AR86" i="1"/>
  <c r="AR90" i="1"/>
  <c r="AR80" i="1"/>
  <c r="AR87" i="1"/>
  <c r="AR88" i="1"/>
  <c r="AR79" i="1"/>
  <c r="AR89" i="1"/>
  <c r="AR84" i="1"/>
  <c r="AR83" i="1"/>
  <c r="AB80" i="1"/>
  <c r="AB83" i="1"/>
  <c r="AB87" i="1"/>
  <c r="AB79" i="1"/>
  <c r="AB90" i="1"/>
  <c r="AB82" i="1"/>
  <c r="AB89" i="1"/>
  <c r="AB86" i="1"/>
  <c r="AB81" i="1"/>
  <c r="AB84" i="1"/>
  <c r="AB88" i="1"/>
  <c r="AB85" i="1"/>
  <c r="AP79" i="1"/>
  <c r="AP81" i="1"/>
  <c r="AP83" i="1"/>
  <c r="AP85" i="1"/>
  <c r="AP87" i="1"/>
  <c r="AP89" i="1"/>
  <c r="AP88" i="1"/>
  <c r="AP90" i="1"/>
  <c r="AP82" i="1"/>
  <c r="AP84" i="1"/>
  <c r="AP86" i="1"/>
  <c r="AP80" i="1"/>
  <c r="BD79" i="1"/>
  <c r="BD82" i="1"/>
  <c r="BD86" i="1"/>
  <c r="BD88" i="1"/>
  <c r="BD80" i="1"/>
  <c r="BD85" i="1"/>
  <c r="BD87" i="1"/>
  <c r="BD90" i="1"/>
  <c r="BD84" i="1"/>
  <c r="BD81" i="1"/>
  <c r="BD83" i="1"/>
  <c r="BD89" i="1"/>
  <c r="Z79" i="1"/>
  <c r="Z81" i="1"/>
  <c r="Z83" i="1"/>
  <c r="Z85" i="1"/>
  <c r="Z87" i="1"/>
  <c r="Z89" i="1"/>
  <c r="Z90" i="1"/>
  <c r="Z82" i="1"/>
  <c r="Z86" i="1"/>
  <c r="Z84" i="1"/>
  <c r="Z88" i="1"/>
  <c r="Z80" i="1"/>
  <c r="AN84" i="1"/>
  <c r="AN79" i="1"/>
  <c r="AN88" i="1"/>
  <c r="AN89" i="1"/>
  <c r="AN80" i="1"/>
  <c r="AN83" i="1"/>
  <c r="AN81" i="1"/>
  <c r="AN90" i="1"/>
  <c r="AN82" i="1"/>
  <c r="AN86" i="1"/>
  <c r="AN85" i="1"/>
  <c r="AN87" i="1"/>
  <c r="BV79" i="1"/>
  <c r="BV81" i="1"/>
  <c r="BV83" i="1"/>
  <c r="BV85" i="1"/>
  <c r="BV87" i="1"/>
  <c r="BV89" i="1"/>
  <c r="BV88" i="1"/>
  <c r="BV80" i="1"/>
  <c r="BV90" i="1"/>
  <c r="BV82" i="1"/>
  <c r="BV84" i="1"/>
  <c r="BV86" i="1"/>
  <c r="BB80" i="1"/>
  <c r="BB82" i="1"/>
  <c r="BB84" i="1"/>
  <c r="BB86" i="1"/>
  <c r="BB88" i="1"/>
  <c r="BB90" i="1"/>
  <c r="BB89" i="1"/>
  <c r="BB81" i="1"/>
  <c r="BB85" i="1"/>
  <c r="BB87" i="1"/>
  <c r="BB79" i="1"/>
  <c r="BB83" i="1"/>
  <c r="AL80" i="1"/>
  <c r="AL82" i="1"/>
  <c r="AL84" i="1"/>
  <c r="AL86" i="1"/>
  <c r="AL88" i="1"/>
  <c r="AL90" i="1"/>
  <c r="AL83" i="1"/>
  <c r="AL87" i="1"/>
  <c r="AL79" i="1"/>
  <c r="AL81" i="1"/>
  <c r="AL89" i="1"/>
  <c r="AL85" i="1"/>
  <c r="AZ90" i="1"/>
  <c r="AZ84" i="1"/>
  <c r="AZ89" i="1"/>
  <c r="AZ80" i="1"/>
  <c r="AZ81" i="1"/>
  <c r="AZ82" i="1"/>
  <c r="AZ88" i="1"/>
  <c r="AZ86" i="1"/>
  <c r="AZ83" i="1"/>
  <c r="AZ85" i="1"/>
  <c r="AZ79" i="1"/>
  <c r="AZ87" i="1"/>
  <c r="BN79" i="1"/>
  <c r="BN81" i="1"/>
  <c r="BN83" i="1"/>
  <c r="BN85" i="1"/>
  <c r="BN87" i="1"/>
  <c r="BN89" i="1"/>
  <c r="BN82" i="1"/>
  <c r="BN86" i="1"/>
  <c r="BN80" i="1"/>
  <c r="BN88" i="1"/>
  <c r="BN90" i="1"/>
  <c r="BN84" i="1"/>
  <c r="AF81" i="1"/>
  <c r="AF85" i="1"/>
  <c r="AF87" i="1"/>
  <c r="AF79" i="1"/>
  <c r="AF90" i="1"/>
  <c r="AF80" i="1"/>
  <c r="AF82" i="1"/>
  <c r="AF84" i="1"/>
  <c r="AF83" i="1"/>
  <c r="AF88" i="1"/>
  <c r="AF86" i="1"/>
  <c r="AF89" i="1"/>
  <c r="X89" i="1"/>
  <c r="X79" i="1"/>
  <c r="X84" i="1"/>
  <c r="X86" i="1"/>
  <c r="X81" i="1"/>
  <c r="X83" i="1"/>
  <c r="X85" i="1"/>
  <c r="X87" i="1"/>
  <c r="X82" i="1"/>
  <c r="X88" i="1"/>
  <c r="X90" i="1"/>
  <c r="X80" i="1"/>
  <c r="CB90" i="1"/>
  <c r="CB83" i="1"/>
  <c r="CB87" i="1"/>
  <c r="CB79" i="1"/>
  <c r="CB82" i="1"/>
  <c r="CB85" i="1"/>
  <c r="CB84" i="1"/>
  <c r="CB89" i="1"/>
  <c r="CB86" i="1"/>
  <c r="CB80" i="1"/>
  <c r="CB88" i="1"/>
  <c r="CB81" i="1"/>
  <c r="BX82" i="1"/>
  <c r="BX86" i="1"/>
  <c r="BX89" i="1"/>
  <c r="BX81" i="1"/>
  <c r="BX85" i="1"/>
  <c r="BX90" i="1"/>
  <c r="BX79" i="1"/>
  <c r="BX88" i="1"/>
  <c r="BX84" i="1"/>
  <c r="BX83" i="1"/>
  <c r="BX87" i="1"/>
  <c r="BX80" i="1"/>
  <c r="CD79" i="1"/>
  <c r="CD81" i="1"/>
  <c r="CD83" i="1"/>
  <c r="CD85" i="1"/>
  <c r="CD87" i="1"/>
  <c r="CD89" i="1"/>
  <c r="CD80" i="1"/>
  <c r="CD84" i="1"/>
  <c r="CD88" i="1"/>
  <c r="CD82" i="1"/>
  <c r="CD86" i="1"/>
  <c r="CD90" i="1"/>
  <c r="BL80" i="1"/>
  <c r="BL89" i="1"/>
  <c r="BL81" i="1"/>
  <c r="BL85" i="1"/>
  <c r="BL82" i="1"/>
  <c r="BL88" i="1"/>
  <c r="BL83" i="1"/>
  <c r="BL79" i="1"/>
  <c r="BL84" i="1"/>
  <c r="BL86" i="1"/>
  <c r="BL90" i="1"/>
  <c r="BL87" i="1"/>
  <c r="V80" i="1"/>
  <c r="V83" i="1"/>
  <c r="T80" i="1"/>
  <c r="R79" i="1"/>
  <c r="R81" i="1"/>
  <c r="J87" i="1"/>
  <c r="J83" i="1"/>
  <c r="J80" i="1"/>
  <c r="J82" i="1"/>
  <c r="J86" i="1"/>
  <c r="J88" i="1"/>
  <c r="J81" i="1"/>
  <c r="J90" i="1"/>
  <c r="J85" i="1"/>
  <c r="V90" i="1"/>
  <c r="T81" i="1"/>
  <c r="T89" i="1"/>
  <c r="R82" i="1"/>
  <c r="R84" i="1"/>
  <c r="P87" i="1"/>
  <c r="J89" i="1"/>
  <c r="V84" i="1"/>
  <c r="T79" i="1"/>
  <c r="V88" i="1"/>
  <c r="P89" i="1"/>
  <c r="P80" i="1"/>
  <c r="R86" i="1"/>
  <c r="N82" i="1"/>
  <c r="P82" i="1"/>
  <c r="V89" i="1"/>
  <c r="R88" i="1"/>
  <c r="N86" i="1"/>
  <c r="T83" i="1"/>
  <c r="P84" i="1"/>
  <c r="R87" i="1"/>
  <c r="R90" i="1"/>
  <c r="N80" i="1"/>
  <c r="T82" i="1"/>
  <c r="T87" i="1"/>
  <c r="V86" i="1"/>
  <c r="R83" i="1"/>
  <c r="J79" i="1"/>
  <c r="N79" i="1"/>
  <c r="H83" i="1"/>
  <c r="P83" i="1"/>
  <c r="P86" i="1"/>
  <c r="N83" i="1"/>
  <c r="H88" i="1"/>
  <c r="P79" i="1"/>
  <c r="P88" i="1"/>
  <c r="R85" i="1"/>
  <c r="N84" i="1"/>
  <c r="N85" i="1"/>
  <c r="P81" i="1"/>
  <c r="P90" i="1"/>
  <c r="V85" i="1"/>
  <c r="R89" i="1"/>
  <c r="N88" i="1"/>
  <c r="N87" i="1"/>
  <c r="T86" i="1"/>
  <c r="V82" i="1"/>
  <c r="V87" i="1"/>
  <c r="N90" i="1"/>
  <c r="N89" i="1"/>
  <c r="V79" i="1"/>
  <c r="H79" i="1"/>
  <c r="H90" i="1"/>
  <c r="H87" i="1"/>
  <c r="H89" i="1"/>
  <c r="H80" i="1"/>
  <c r="H82" i="1"/>
  <c r="H81" i="1"/>
  <c r="H84" i="1"/>
  <c r="H85" i="1"/>
  <c r="F84" i="1"/>
  <c r="F79" i="1"/>
  <c r="F81" i="1"/>
  <c r="F80" i="1"/>
  <c r="F83" i="1"/>
  <c r="F82" i="1"/>
  <c r="F85" i="1"/>
  <c r="F86" i="1"/>
  <c r="F87" i="1"/>
  <c r="F90" i="1"/>
  <c r="F88" i="1"/>
  <c r="L89" i="1"/>
  <c r="L87" i="1"/>
  <c r="L85" i="1"/>
  <c r="L83" i="1"/>
  <c r="L81" i="1"/>
  <c r="L79" i="1"/>
  <c r="L88" i="1"/>
  <c r="L90" i="1"/>
  <c r="L86" i="1"/>
  <c r="L82" i="1"/>
  <c r="L80" i="1"/>
  <c r="L84" i="1"/>
  <c r="BJ115" i="1" l="1"/>
  <c r="BJ116" i="1" s="1"/>
  <c r="AH113" i="1"/>
  <c r="AH114" i="1" s="1"/>
  <c r="CH120" i="1"/>
  <c r="CF119" i="1"/>
  <c r="AV114" i="1"/>
  <c r="AR114" i="1"/>
  <c r="AR115" i="1" s="1"/>
  <c r="AD115" i="1"/>
  <c r="AD116" i="1" s="1"/>
  <c r="AD117" i="1" s="1"/>
  <c r="Z112" i="1"/>
  <c r="Z113" i="1" s="1"/>
  <c r="T113" i="1"/>
  <c r="L113" i="1"/>
  <c r="L114" i="1" s="1"/>
  <c r="L115" i="1" s="1"/>
  <c r="J113" i="1"/>
  <c r="J114" i="1" s="1"/>
  <c r="J115" i="1" s="1"/>
  <c r="J116" i="1" s="1"/>
  <c r="X114" i="1"/>
  <c r="X115" i="1" s="1"/>
  <c r="AJ113" i="1"/>
  <c r="BP115" i="1"/>
  <c r="BP116" i="1" s="1"/>
  <c r="N114" i="1"/>
  <c r="N115" i="1" s="1"/>
  <c r="BF114" i="1"/>
  <c r="BF115" i="1" s="1"/>
  <c r="BH113" i="1"/>
  <c r="BH114" i="1" s="1"/>
  <c r="BH115" i="1" s="1"/>
  <c r="BH116" i="1" s="1"/>
  <c r="R112" i="1"/>
  <c r="R113" i="1" s="1"/>
  <c r="P112" i="1"/>
  <c r="BV114" i="1"/>
  <c r="F114" i="1"/>
  <c r="AN113" i="1"/>
  <c r="AP114" i="1"/>
  <c r="AP115" i="1" s="1"/>
  <c r="V112" i="1"/>
  <c r="AT112" i="1"/>
  <c r="AT113" i="1" s="1"/>
  <c r="AX114" i="1"/>
  <c r="AX115" i="1" s="1"/>
  <c r="AX116" i="1" s="1"/>
  <c r="AX117" i="1" s="1"/>
  <c r="AX118" i="1" s="1"/>
  <c r="H113" i="1"/>
  <c r="H114" i="1" s="1"/>
  <c r="AL112" i="1"/>
  <c r="AB113" i="1"/>
  <c r="CD115" i="1"/>
  <c r="CB112" i="1"/>
  <c r="CB113" i="1" s="1"/>
  <c r="BZ113" i="1"/>
  <c r="BZ114" i="1" s="1"/>
  <c r="BX113" i="1"/>
  <c r="BX114" i="1" s="1"/>
  <c r="BT113" i="1"/>
  <c r="BT114" i="1" s="1"/>
  <c r="BR114" i="1"/>
  <c r="BR115" i="1" s="1"/>
  <c r="BR116" i="1" s="1"/>
  <c r="BR117" i="1" s="1"/>
  <c r="BN113" i="1"/>
  <c r="BL112" i="1"/>
  <c r="BD112" i="1"/>
  <c r="BD113" i="1" s="1"/>
  <c r="BB113" i="1"/>
  <c r="AZ113" i="1"/>
  <c r="AF116" i="1"/>
  <c r="AF117" i="1" s="1"/>
  <c r="AH115" i="1" l="1"/>
  <c r="AH116" i="1" s="1"/>
  <c r="AD118" i="1"/>
  <c r="AD119" i="1" s="1"/>
  <c r="AD120" i="1" s="1"/>
  <c r="BX115" i="1"/>
  <c r="BX116" i="1" s="1"/>
  <c r="BX117" i="1" s="1"/>
  <c r="CH121" i="1"/>
  <c r="CF120" i="1"/>
  <c r="AV115" i="1"/>
  <c r="AV116" i="1" s="1"/>
  <c r="AV117" i="1" s="1"/>
  <c r="AR116" i="1"/>
  <c r="AR117" i="1" s="1"/>
  <c r="AR118" i="1" s="1"/>
  <c r="Z114" i="1"/>
  <c r="Z115" i="1" s="1"/>
  <c r="T114" i="1"/>
  <c r="T115" i="1" s="1"/>
  <c r="T116" i="1" s="1"/>
  <c r="T117" i="1" s="1"/>
  <c r="X116" i="1"/>
  <c r="X117" i="1" s="1"/>
  <c r="V113" i="1"/>
  <c r="V114" i="1" s="1"/>
  <c r="V115" i="1" s="1"/>
  <c r="BP117" i="1"/>
  <c r="BP118" i="1" s="1"/>
  <c r="AJ114" i="1"/>
  <c r="AJ115" i="1" s="1"/>
  <c r="P113" i="1"/>
  <c r="N116" i="1"/>
  <c r="AT114" i="1"/>
  <c r="AT115" i="1" s="1"/>
  <c r="F115" i="1"/>
  <c r="AB114" i="1"/>
  <c r="L116" i="1"/>
  <c r="L117" i="1" s="1"/>
  <c r="BV115" i="1"/>
  <c r="BV116" i="1" s="1"/>
  <c r="BV117" i="1" s="1"/>
  <c r="J117" i="1"/>
  <c r="J118" i="1" s="1"/>
  <c r="J119" i="1" s="1"/>
  <c r="BF116" i="1"/>
  <c r="BF117" i="1" s="1"/>
  <c r="BF118" i="1" s="1"/>
  <c r="BF119" i="1" s="1"/>
  <c r="H115" i="1"/>
  <c r="H116" i="1" s="1"/>
  <c r="AN114" i="1"/>
  <c r="AN115" i="1" s="1"/>
  <c r="BZ115" i="1"/>
  <c r="BZ116" i="1" s="1"/>
  <c r="BZ117" i="1" s="1"/>
  <c r="AL113" i="1"/>
  <c r="R114" i="1"/>
  <c r="AP116" i="1"/>
  <c r="AP117" i="1" s="1"/>
  <c r="CD116" i="1"/>
  <c r="CB114" i="1"/>
  <c r="BT115" i="1"/>
  <c r="BT116" i="1" s="1"/>
  <c r="BN114" i="1"/>
  <c r="BN115" i="1" s="1"/>
  <c r="BN116" i="1" s="1"/>
  <c r="BL113" i="1"/>
  <c r="BL114" i="1" s="1"/>
  <c r="BJ117" i="1"/>
  <c r="BH117" i="1"/>
  <c r="BD114" i="1"/>
  <c r="BD115" i="1" s="1"/>
  <c r="BB114" i="1"/>
  <c r="AZ114" i="1"/>
  <c r="AF118" i="1"/>
  <c r="AF119" i="1" s="1"/>
  <c r="AX119" i="1"/>
  <c r="BR118" i="1"/>
  <c r="AH117" i="1" l="1"/>
  <c r="AH118" i="1" s="1"/>
  <c r="CF121" i="1"/>
  <c r="CF122" i="1" s="1"/>
  <c r="CH122" i="1"/>
  <c r="BP119" i="1"/>
  <c r="BP120" i="1" s="1"/>
  <c r="Z116" i="1"/>
  <c r="Z117" i="1" s="1"/>
  <c r="Z118" i="1" s="1"/>
  <c r="AR119" i="1"/>
  <c r="AR120" i="1" s="1"/>
  <c r="T118" i="1"/>
  <c r="T119" i="1" s="1"/>
  <c r="P114" i="1"/>
  <c r="P115" i="1" s="1"/>
  <c r="X118" i="1"/>
  <c r="X119" i="1" s="1"/>
  <c r="X120" i="1" s="1"/>
  <c r="X121" i="1" s="1"/>
  <c r="N117" i="1"/>
  <c r="N118" i="1" s="1"/>
  <c r="N119" i="1" s="1"/>
  <c r="L118" i="1"/>
  <c r="L119" i="1" s="1"/>
  <c r="AJ116" i="1"/>
  <c r="H117" i="1"/>
  <c r="H118" i="1" s="1"/>
  <c r="BV118" i="1"/>
  <c r="BV119" i="1" s="1"/>
  <c r="BV120" i="1" s="1"/>
  <c r="AT116" i="1"/>
  <c r="AP118" i="1"/>
  <c r="V116" i="1"/>
  <c r="V117" i="1" s="1"/>
  <c r="V118" i="1" s="1"/>
  <c r="AB115" i="1"/>
  <c r="R115" i="1"/>
  <c r="R116" i="1" s="1"/>
  <c r="F116" i="1"/>
  <c r="F117" i="1" s="1"/>
  <c r="AN116" i="1"/>
  <c r="AN117" i="1" s="1"/>
  <c r="J120" i="1"/>
  <c r="J121" i="1" s="1"/>
  <c r="AL114" i="1"/>
  <c r="CD117" i="1"/>
  <c r="CD118" i="1" s="1"/>
  <c r="CB115" i="1"/>
  <c r="BZ118" i="1"/>
  <c r="BZ119" i="1" s="1"/>
  <c r="BZ120" i="1" s="1"/>
  <c r="BX118" i="1"/>
  <c r="BT117" i="1"/>
  <c r="BT118" i="1" s="1"/>
  <c r="BT119" i="1" s="1"/>
  <c r="BN117" i="1"/>
  <c r="BN118" i="1" s="1"/>
  <c r="BL115" i="1"/>
  <c r="BJ118" i="1"/>
  <c r="BJ119" i="1" s="1"/>
  <c r="BJ120" i="1" s="1"/>
  <c r="BH118" i="1"/>
  <c r="BD116" i="1"/>
  <c r="BD117" i="1" s="1"/>
  <c r="BB115" i="1"/>
  <c r="AZ115" i="1"/>
  <c r="AF120" i="1"/>
  <c r="AV118" i="1"/>
  <c r="AV119" i="1" s="1"/>
  <c r="AD121" i="1"/>
  <c r="AD122" i="1" s="1"/>
  <c r="BF120" i="1"/>
  <c r="BR119" i="1"/>
  <c r="BR120" i="1" s="1"/>
  <c r="AX120" i="1"/>
  <c r="AH119" i="1" l="1"/>
  <c r="AH120" i="1" s="1"/>
  <c r="AH121" i="1" s="1"/>
  <c r="AH122" i="1"/>
  <c r="AH123" i="1" s="1"/>
  <c r="H119" i="1"/>
  <c r="H120" i="1" s="1"/>
  <c r="H121" i="1" s="1"/>
  <c r="H122" i="1" s="1"/>
  <c r="H123" i="1" s="1"/>
  <c r="CF123" i="1"/>
  <c r="CF124" i="1"/>
  <c r="CH123" i="1"/>
  <c r="Z119" i="1"/>
  <c r="Z120" i="1" s="1"/>
  <c r="Z121" i="1" s="1"/>
  <c r="AJ117" i="1"/>
  <c r="T120" i="1"/>
  <c r="T121" i="1" s="1"/>
  <c r="AR121" i="1"/>
  <c r="AR122" i="1" s="1"/>
  <c r="AN118" i="1"/>
  <c r="AN119" i="1" s="1"/>
  <c r="P116" i="1"/>
  <c r="P117" i="1" s="1"/>
  <c r="L120" i="1"/>
  <c r="L121" i="1" s="1"/>
  <c r="F118" i="1"/>
  <c r="F119" i="1" s="1"/>
  <c r="F120" i="1" s="1"/>
  <c r="N120" i="1"/>
  <c r="N121" i="1" s="1"/>
  <c r="N122" i="1" s="1"/>
  <c r="N123" i="1" s="1"/>
  <c r="N124" i="1" s="1"/>
  <c r="V119" i="1"/>
  <c r="R117" i="1"/>
  <c r="AT117" i="1"/>
  <c r="AT118" i="1" s="1"/>
  <c r="BJ121" i="1"/>
  <c r="AP119" i="1"/>
  <c r="AB116" i="1"/>
  <c r="AL115" i="1"/>
  <c r="AL116" i="1" s="1"/>
  <c r="X122" i="1"/>
  <c r="CD119" i="1"/>
  <c r="CB116" i="1"/>
  <c r="BX119" i="1"/>
  <c r="BN119" i="1"/>
  <c r="BL116" i="1"/>
  <c r="BL117" i="1" s="1"/>
  <c r="BL118" i="1" s="1"/>
  <c r="BL119" i="1" s="1"/>
  <c r="BH119" i="1"/>
  <c r="BH120" i="1" s="1"/>
  <c r="BD118" i="1"/>
  <c r="BD119" i="1" s="1"/>
  <c r="BB116" i="1"/>
  <c r="AZ116" i="1"/>
  <c r="AZ117" i="1" s="1"/>
  <c r="BZ121" i="1"/>
  <c r="BV121" i="1"/>
  <c r="BF121" i="1"/>
  <c r="AX121" i="1"/>
  <c r="BT120" i="1"/>
  <c r="BT121" i="1" s="1"/>
  <c r="J122" i="1"/>
  <c r="AV120" i="1"/>
  <c r="AF121" i="1"/>
  <c r="AH124" i="1"/>
  <c r="AD123" i="1"/>
  <c r="BR121" i="1"/>
  <c r="BP121" i="1"/>
  <c r="CF125" i="1" l="1"/>
  <c r="CF126" i="1" s="1"/>
  <c r="BD120" i="1"/>
  <c r="BD121" i="1" s="1"/>
  <c r="BD122" i="1" s="1"/>
  <c r="T122" i="1"/>
  <c r="T123" i="1" s="1"/>
  <c r="CH124" i="1"/>
  <c r="CH125" i="1" s="1"/>
  <c r="CF127" i="1"/>
  <c r="P118" i="1"/>
  <c r="P119" i="1" s="1"/>
  <c r="P120" i="1" s="1"/>
  <c r="P121" i="1" s="1"/>
  <c r="P122" i="1" s="1"/>
  <c r="L122" i="1"/>
  <c r="L123" i="1" s="1"/>
  <c r="AJ118" i="1"/>
  <c r="Z122" i="1"/>
  <c r="BJ122" i="1"/>
  <c r="BJ123" i="1" s="1"/>
  <c r="F121" i="1"/>
  <c r="F122" i="1" s="1"/>
  <c r="AN120" i="1"/>
  <c r="AN121" i="1" s="1"/>
  <c r="R118" i="1"/>
  <c r="R119" i="1" s="1"/>
  <c r="X123" i="1"/>
  <c r="AB117" i="1"/>
  <c r="AB118" i="1" s="1"/>
  <c r="V120" i="1"/>
  <c r="AL117" i="1"/>
  <c r="AP120" i="1"/>
  <c r="AT119" i="1"/>
  <c r="CD120" i="1"/>
  <c r="CB117" i="1"/>
  <c r="BX120" i="1"/>
  <c r="BN120" i="1"/>
  <c r="BL120" i="1"/>
  <c r="BL121" i="1" s="1"/>
  <c r="BL122" i="1" s="1"/>
  <c r="BH121" i="1"/>
  <c r="BH122" i="1" s="1"/>
  <c r="BB117" i="1"/>
  <c r="AZ118" i="1"/>
  <c r="BF122" i="1"/>
  <c r="BP122" i="1"/>
  <c r="AV121" i="1"/>
  <c r="AD124" i="1"/>
  <c r="BT122" i="1"/>
  <c r="BZ122" i="1"/>
  <c r="J123" i="1"/>
  <c r="AF122" i="1"/>
  <c r="N125" i="1"/>
  <c r="BV122" i="1"/>
  <c r="H124" i="1"/>
  <c r="AR123" i="1"/>
  <c r="BR122" i="1"/>
  <c r="AH125" i="1"/>
  <c r="AX122" i="1"/>
  <c r="CH126" i="1" l="1"/>
  <c r="CH127" i="1" s="1"/>
  <c r="CF128" i="1"/>
  <c r="CF129" i="1" s="1"/>
  <c r="CF130" i="1" s="1"/>
  <c r="AJ119" i="1"/>
  <c r="Z123" i="1"/>
  <c r="Z124" i="1" s="1"/>
  <c r="Z125" i="1" s="1"/>
  <c r="BJ124" i="1"/>
  <c r="BJ125" i="1" s="1"/>
  <c r="AN122" i="1"/>
  <c r="AN123" i="1" s="1"/>
  <c r="V121" i="1"/>
  <c r="V122" i="1" s="1"/>
  <c r="V123" i="1" s="1"/>
  <c r="X124" i="1"/>
  <c r="X125" i="1" s="1"/>
  <c r="AB119" i="1"/>
  <c r="AP121" i="1"/>
  <c r="AP122" i="1" s="1"/>
  <c r="R120" i="1"/>
  <c r="R121" i="1" s="1"/>
  <c r="AT120" i="1"/>
  <c r="AL118" i="1"/>
  <c r="F123" i="1"/>
  <c r="CD121" i="1"/>
  <c r="CD122" i="1" s="1"/>
  <c r="CB118" i="1"/>
  <c r="CB119" i="1" s="1"/>
  <c r="BX121" i="1"/>
  <c r="BN121" i="1"/>
  <c r="BH123" i="1"/>
  <c r="BD123" i="1"/>
  <c r="BB118" i="1"/>
  <c r="BB119" i="1" s="1"/>
  <c r="BB120" i="1" s="1"/>
  <c r="AZ119" i="1"/>
  <c r="N126" i="1"/>
  <c r="BP123" i="1"/>
  <c r="BP124" i="1" s="1"/>
  <c r="AX123" i="1"/>
  <c r="BV123" i="1"/>
  <c r="BZ123" i="1"/>
  <c r="AF123" i="1"/>
  <c r="AV122" i="1"/>
  <c r="BR123" i="1"/>
  <c r="AH126" i="1"/>
  <c r="L124" i="1"/>
  <c r="T124" i="1"/>
  <c r="T125" i="1" s="1"/>
  <c r="BL123" i="1"/>
  <c r="J124" i="1"/>
  <c r="AD125" i="1"/>
  <c r="AR124" i="1"/>
  <c r="H125" i="1"/>
  <c r="BT123" i="1"/>
  <c r="BF123" i="1"/>
  <c r="P123" i="1"/>
  <c r="P124" i="1" s="1"/>
  <c r="BJ126" i="1" l="1"/>
  <c r="BJ127" i="1" s="1"/>
  <c r="CH128" i="1"/>
  <c r="CF131" i="1"/>
  <c r="AJ120" i="1"/>
  <c r="AP123" i="1"/>
  <c r="AP124" i="1" s="1"/>
  <c r="AN124" i="1"/>
  <c r="AN125" i="1" s="1"/>
  <c r="Z126" i="1"/>
  <c r="Z127" i="1" s="1"/>
  <c r="Z128" i="1" s="1"/>
  <c r="X126" i="1"/>
  <c r="X127" i="1" s="1"/>
  <c r="V124" i="1"/>
  <c r="V125" i="1" s="1"/>
  <c r="F124" i="1"/>
  <c r="F125" i="1" s="1"/>
  <c r="AT121" i="1"/>
  <c r="AT122" i="1" s="1"/>
  <c r="R122" i="1"/>
  <c r="R123" i="1" s="1"/>
  <c r="R124" i="1" s="1"/>
  <c r="AL119" i="1"/>
  <c r="AL120" i="1" s="1"/>
  <c r="AB120" i="1"/>
  <c r="CD123" i="1"/>
  <c r="CB120" i="1"/>
  <c r="BX122" i="1"/>
  <c r="BN122" i="1"/>
  <c r="BH124" i="1"/>
  <c r="BH125" i="1" s="1"/>
  <c r="BD124" i="1"/>
  <c r="BD125" i="1" s="1"/>
  <c r="BB121" i="1"/>
  <c r="AZ120" i="1"/>
  <c r="H126" i="1"/>
  <c r="AV123" i="1"/>
  <c r="P125" i="1"/>
  <c r="P126" i="1" s="1"/>
  <c r="AD126" i="1"/>
  <c r="BT124" i="1"/>
  <c r="AF124" i="1"/>
  <c r="BV124" i="1"/>
  <c r="AX124" i="1"/>
  <c r="AH127" i="1"/>
  <c r="T126" i="1"/>
  <c r="BF124" i="1"/>
  <c r="AR125" i="1"/>
  <c r="BR124" i="1"/>
  <c r="BZ124" i="1"/>
  <c r="BL124" i="1"/>
  <c r="L125" i="1"/>
  <c r="BP125" i="1"/>
  <c r="J125" i="1"/>
  <c r="N127" i="1"/>
  <c r="CH129" i="1" l="1"/>
  <c r="CH130" i="1" s="1"/>
  <c r="CF132" i="1"/>
  <c r="AJ121" i="1"/>
  <c r="R125" i="1"/>
  <c r="R126" i="1" s="1"/>
  <c r="X128" i="1"/>
  <c r="X129" i="1" s="1"/>
  <c r="V126" i="1"/>
  <c r="AN126" i="1"/>
  <c r="AN127" i="1" s="1"/>
  <c r="AN128" i="1" s="1"/>
  <c r="AP125" i="1"/>
  <c r="AP126" i="1" s="1"/>
  <c r="AT123" i="1"/>
  <c r="AB121" i="1"/>
  <c r="F126" i="1"/>
  <c r="F127" i="1" s="1"/>
  <c r="F128" i="1" s="1"/>
  <c r="Z129" i="1"/>
  <c r="Z130" i="1" s="1"/>
  <c r="AL121" i="1"/>
  <c r="AL122" i="1" s="1"/>
  <c r="AL123" i="1" s="1"/>
  <c r="CD124" i="1"/>
  <c r="CB121" i="1"/>
  <c r="CB122" i="1" s="1"/>
  <c r="CB123" i="1" s="1"/>
  <c r="BX123" i="1"/>
  <c r="BX124" i="1" s="1"/>
  <c r="BN123" i="1"/>
  <c r="BN124" i="1" s="1"/>
  <c r="BH126" i="1"/>
  <c r="BD126" i="1"/>
  <c r="BB122" i="1"/>
  <c r="BB123" i="1" s="1"/>
  <c r="AZ121" i="1"/>
  <c r="BP126" i="1"/>
  <c r="BZ125" i="1"/>
  <c r="AV124" i="1"/>
  <c r="AF125" i="1"/>
  <c r="H127" i="1"/>
  <c r="L126" i="1"/>
  <c r="BR125" i="1"/>
  <c r="BF125" i="1"/>
  <c r="AH128" i="1"/>
  <c r="BT125" i="1"/>
  <c r="AD127" i="1"/>
  <c r="BL125" i="1"/>
  <c r="N128" i="1"/>
  <c r="AR126" i="1"/>
  <c r="BV125" i="1"/>
  <c r="J126" i="1"/>
  <c r="BJ128" i="1"/>
  <c r="T127" i="1"/>
  <c r="P127" i="1"/>
  <c r="AX125" i="1"/>
  <c r="CH131" i="1" l="1"/>
  <c r="CH132" i="1" s="1"/>
  <c r="CF133" i="1"/>
  <c r="AJ122" i="1"/>
  <c r="AT124" i="1"/>
  <c r="AT125" i="1" s="1"/>
  <c r="AT126" i="1" s="1"/>
  <c r="R127" i="1"/>
  <c r="R128" i="1" s="1"/>
  <c r="R129" i="1" s="1"/>
  <c r="X130" i="1"/>
  <c r="X131" i="1" s="1"/>
  <c r="V127" i="1"/>
  <c r="V128" i="1" s="1"/>
  <c r="V129" i="1" s="1"/>
  <c r="AL124" i="1"/>
  <c r="BX125" i="1"/>
  <c r="BX126" i="1" s="1"/>
  <c r="BX127" i="1" s="1"/>
  <c r="AB122" i="1"/>
  <c r="AP127" i="1"/>
  <c r="Z131" i="1"/>
  <c r="Z132" i="1" s="1"/>
  <c r="Z133" i="1" s="1"/>
  <c r="CD125" i="1"/>
  <c r="CB124" i="1"/>
  <c r="BN125" i="1"/>
  <c r="BH127" i="1"/>
  <c r="BH128" i="1" s="1"/>
  <c r="BD127" i="1"/>
  <c r="BB124" i="1"/>
  <c r="AZ122" i="1"/>
  <c r="AZ123" i="1" s="1"/>
  <c r="N129" i="1"/>
  <c r="T128" i="1"/>
  <c r="AH129" i="1"/>
  <c r="BZ126" i="1"/>
  <c r="AX126" i="1"/>
  <c r="BL126" i="1"/>
  <c r="P128" i="1"/>
  <c r="J127" i="1"/>
  <c r="BV126" i="1"/>
  <c r="F129" i="1"/>
  <c r="BT126" i="1"/>
  <c r="AV125" i="1"/>
  <c r="AR127" i="1"/>
  <c r="BR126" i="1"/>
  <c r="AN129" i="1"/>
  <c r="AF126" i="1"/>
  <c r="AD128" i="1"/>
  <c r="BF126" i="1"/>
  <c r="BP127" i="1"/>
  <c r="BJ129" i="1"/>
  <c r="L127" i="1"/>
  <c r="H128" i="1"/>
  <c r="CH133" i="1" l="1"/>
  <c r="CH134" i="1" s="1"/>
  <c r="CF134" i="1"/>
  <c r="AJ123" i="1"/>
  <c r="AL125" i="1"/>
  <c r="AL126" i="1" s="1"/>
  <c r="AL127" i="1" s="1"/>
  <c r="AL128" i="1" s="1"/>
  <c r="AL129" i="1" s="1"/>
  <c r="V130" i="1"/>
  <c r="AP128" i="1"/>
  <c r="AP129" i="1" s="1"/>
  <c r="AT127" i="1"/>
  <c r="AT128" i="1" s="1"/>
  <c r="AT129" i="1" s="1"/>
  <c r="AT130" i="1" s="1"/>
  <c r="AB123" i="1"/>
  <c r="CD126" i="1"/>
  <c r="CB125" i="1"/>
  <c r="BX128" i="1"/>
  <c r="BX129" i="1"/>
  <c r="BX130" i="1" s="1"/>
  <c r="BN126" i="1"/>
  <c r="BH129" i="1"/>
  <c r="BH130" i="1" s="1"/>
  <c r="BD128" i="1"/>
  <c r="BD129" i="1" s="1"/>
  <c r="BD130" i="1" s="1"/>
  <c r="BB125" i="1"/>
  <c r="AZ124" i="1"/>
  <c r="J128" i="1"/>
  <c r="BJ130" i="1"/>
  <c r="BF127" i="1"/>
  <c r="BR127" i="1"/>
  <c r="L128" i="1"/>
  <c r="BV127" i="1"/>
  <c r="BP128" i="1"/>
  <c r="AV126" i="1"/>
  <c r="BL127" i="1"/>
  <c r="BZ127" i="1"/>
  <c r="X132" i="1"/>
  <c r="AR128" i="1"/>
  <c r="Z134" i="1"/>
  <c r="AH130" i="1"/>
  <c r="AF127" i="1"/>
  <c r="T129" i="1"/>
  <c r="BT127" i="1"/>
  <c r="AX127" i="1"/>
  <c r="R130" i="1"/>
  <c r="P129" i="1"/>
  <c r="H129" i="1"/>
  <c r="AN130" i="1"/>
  <c r="AD129" i="1"/>
  <c r="F130" i="1"/>
  <c r="N130" i="1"/>
  <c r="CH135" i="1" l="1"/>
  <c r="CF135" i="1"/>
  <c r="AJ124" i="1"/>
  <c r="AP130" i="1"/>
  <c r="AB124" i="1"/>
  <c r="AB125" i="1" s="1"/>
  <c r="AP131" i="1"/>
  <c r="V131" i="1"/>
  <c r="CD127" i="1"/>
  <c r="CB126" i="1"/>
  <c r="CB127" i="1" s="1"/>
  <c r="CB128" i="1" s="1"/>
  <c r="BX131" i="1"/>
  <c r="BN127" i="1"/>
  <c r="BN128" i="1" s="1"/>
  <c r="BN129" i="1" s="1"/>
  <c r="BH131" i="1"/>
  <c r="BH132" i="1" s="1"/>
  <c r="BD131" i="1"/>
  <c r="BD132" i="1" s="1"/>
  <c r="BD133" i="1" s="1"/>
  <c r="BB126" i="1"/>
  <c r="AZ125" i="1"/>
  <c r="AZ126" i="1" s="1"/>
  <c r="AL130" i="1"/>
  <c r="AX128" i="1"/>
  <c r="AR129" i="1"/>
  <c r="BF128" i="1"/>
  <c r="X133" i="1"/>
  <c r="BL128" i="1"/>
  <c r="T130" i="1"/>
  <c r="BZ128" i="1"/>
  <c r="L129" i="1"/>
  <c r="BR128" i="1"/>
  <c r="P130" i="1"/>
  <c r="Z135" i="1"/>
  <c r="BP129" i="1"/>
  <c r="AD130" i="1"/>
  <c r="R131" i="1"/>
  <c r="AV127" i="1"/>
  <c r="BJ131" i="1"/>
  <c r="F131" i="1"/>
  <c r="AT131" i="1"/>
  <c r="BT128" i="1"/>
  <c r="BT129" i="1" s="1"/>
  <c r="AF128" i="1"/>
  <c r="N131" i="1"/>
  <c r="AN131" i="1"/>
  <c r="H130" i="1"/>
  <c r="AH131" i="1"/>
  <c r="BV128" i="1"/>
  <c r="J129" i="1"/>
  <c r="CH136" i="1" l="1"/>
  <c r="CF136" i="1"/>
  <c r="AJ125" i="1"/>
  <c r="AP132" i="1"/>
  <c r="AP133" i="1" s="1"/>
  <c r="AB126" i="1"/>
  <c r="BX132" i="1"/>
  <c r="BX133" i="1" s="1"/>
  <c r="V132" i="1"/>
  <c r="V133" i="1" s="1"/>
  <c r="V134" i="1" s="1"/>
  <c r="CD128" i="1"/>
  <c r="CD129" i="1" s="1"/>
  <c r="CB129" i="1"/>
  <c r="CB130" i="1" s="1"/>
  <c r="CB131" i="1" s="1"/>
  <c r="BN130" i="1"/>
  <c r="BB127" i="1"/>
  <c r="AZ127" i="1"/>
  <c r="AZ128" i="1" s="1"/>
  <c r="AL131" i="1"/>
  <c r="H131" i="1"/>
  <c r="AT132" i="1"/>
  <c r="BH133" i="1"/>
  <c r="J130" i="1"/>
  <c r="BR129" i="1"/>
  <c r="AD131" i="1"/>
  <c r="BZ129" i="1"/>
  <c r="BL129" i="1"/>
  <c r="AR130" i="1"/>
  <c r="AV128" i="1"/>
  <c r="BD134" i="1"/>
  <c r="X134" i="1"/>
  <c r="F132" i="1"/>
  <c r="L130" i="1"/>
  <c r="BT130" i="1"/>
  <c r="BP130" i="1"/>
  <c r="AH132" i="1"/>
  <c r="BF129" i="1"/>
  <c r="N132" i="1"/>
  <c r="AX129" i="1"/>
  <c r="BV129" i="1"/>
  <c r="T131" i="1"/>
  <c r="AN132" i="1"/>
  <c r="BJ132" i="1"/>
  <c r="AF129" i="1"/>
  <c r="R132" i="1"/>
  <c r="P131" i="1"/>
  <c r="Z136" i="1"/>
  <c r="CH137" i="1" l="1"/>
  <c r="CF137" i="1"/>
  <c r="AJ126" i="1"/>
  <c r="V135" i="1"/>
  <c r="V136" i="1" s="1"/>
  <c r="V137" i="1" s="1"/>
  <c r="AZ129" i="1"/>
  <c r="AZ130" i="1" s="1"/>
  <c r="AB127" i="1"/>
  <c r="AB128" i="1" s="1"/>
  <c r="BX134" i="1"/>
  <c r="BX135" i="1" s="1"/>
  <c r="CD130" i="1"/>
  <c r="CD131" i="1" s="1"/>
  <c r="CD132" i="1" s="1"/>
  <c r="BN131" i="1"/>
  <c r="BN132" i="1" s="1"/>
  <c r="BB128" i="1"/>
  <c r="BB129" i="1" s="1"/>
  <c r="BB130" i="1" s="1"/>
  <c r="BB131" i="1" s="1"/>
  <c r="AR131" i="1"/>
  <c r="AT133" i="1"/>
  <c r="BD135" i="1"/>
  <c r="BF130" i="1"/>
  <c r="AP134" i="1"/>
  <c r="BH134" i="1"/>
  <c r="AL132" i="1"/>
  <c r="Z137" i="1"/>
  <c r="F133" i="1"/>
  <c r="BR130" i="1"/>
  <c r="BV130" i="1"/>
  <c r="BL130" i="1"/>
  <c r="J131" i="1"/>
  <c r="R133" i="1"/>
  <c r="N133" i="1"/>
  <c r="H132" i="1"/>
  <c r="P132" i="1"/>
  <c r="T132" i="1"/>
  <c r="BT131" i="1"/>
  <c r="CB132" i="1"/>
  <c r="AH133" i="1"/>
  <c r="AD132" i="1"/>
  <c r="AN133" i="1"/>
  <c r="BP131" i="1"/>
  <c r="X135" i="1"/>
  <c r="AV129" i="1"/>
  <c r="BJ133" i="1"/>
  <c r="AF130" i="1"/>
  <c r="AX130" i="1"/>
  <c r="L131" i="1"/>
  <c r="BZ130" i="1"/>
  <c r="AB129" i="1" l="1"/>
  <c r="CH138" i="1"/>
  <c r="CF138" i="1"/>
  <c r="AJ127" i="1"/>
  <c r="AB130" i="1"/>
  <c r="V138" i="1"/>
  <c r="V139" i="1" s="1"/>
  <c r="BN133" i="1"/>
  <c r="BN134" i="1" s="1"/>
  <c r="BB132" i="1"/>
  <c r="BB133" i="1" s="1"/>
  <c r="BB134" i="1" s="1"/>
  <c r="BZ131" i="1"/>
  <c r="BJ134" i="1"/>
  <c r="CB133" i="1"/>
  <c r="BL131" i="1"/>
  <c r="CD133" i="1"/>
  <c r="AT134" i="1"/>
  <c r="AF131" i="1"/>
  <c r="BR131" i="1"/>
  <c r="AV130" i="1"/>
  <c r="BT132" i="1"/>
  <c r="N134" i="1"/>
  <c r="J132" i="1"/>
  <c r="BH135" i="1"/>
  <c r="AX131" i="1"/>
  <c r="AN134" i="1"/>
  <c r="P133" i="1"/>
  <c r="X136" i="1"/>
  <c r="AR132" i="1"/>
  <c r="BX136" i="1"/>
  <c r="H133" i="1"/>
  <c r="AP135" i="1"/>
  <c r="BD136" i="1"/>
  <c r="BP132" i="1"/>
  <c r="T133" i="1"/>
  <c r="BV131" i="1"/>
  <c r="Z138" i="1"/>
  <c r="L132" i="1"/>
  <c r="AD133" i="1"/>
  <c r="R134" i="1"/>
  <c r="AZ131" i="1"/>
  <c r="AH134" i="1"/>
  <c r="F134" i="1"/>
  <c r="AL133" i="1"/>
  <c r="BF131" i="1"/>
  <c r="CH139" i="1" l="1"/>
  <c r="CF139" i="1"/>
  <c r="AJ128" i="1"/>
  <c r="AB131" i="1"/>
  <c r="BN135" i="1"/>
  <c r="BN136" i="1" s="1"/>
  <c r="BB135" i="1"/>
  <c r="BB136" i="1" s="1"/>
  <c r="F135" i="1"/>
  <c r="AP136" i="1"/>
  <c r="AT135" i="1"/>
  <c r="BZ132" i="1"/>
  <c r="BJ135" i="1"/>
  <c r="H134" i="1"/>
  <c r="CB134" i="1"/>
  <c r="T134" i="1"/>
  <c r="AR133" i="1"/>
  <c r="J133" i="1"/>
  <c r="L133" i="1"/>
  <c r="BX137" i="1"/>
  <c r="AN135" i="1"/>
  <c r="BH136" i="1"/>
  <c r="AV131" i="1"/>
  <c r="AF132" i="1"/>
  <c r="R135" i="1"/>
  <c r="BR132" i="1"/>
  <c r="CD134" i="1"/>
  <c r="BL132" i="1"/>
  <c r="BF132" i="1"/>
  <c r="AH135" i="1"/>
  <c r="X137" i="1"/>
  <c r="BT133" i="1"/>
  <c r="BP133" i="1"/>
  <c r="AX132" i="1"/>
  <c r="AL134" i="1"/>
  <c r="Z139" i="1"/>
  <c r="BD137" i="1"/>
  <c r="AD134" i="1"/>
  <c r="P134" i="1"/>
  <c r="N135" i="1"/>
  <c r="AZ132" i="1"/>
  <c r="BV132" i="1"/>
  <c r="V140" i="1"/>
  <c r="CH140" i="1" l="1"/>
  <c r="CF140" i="1"/>
  <c r="AJ129" i="1"/>
  <c r="AB132" i="1"/>
  <c r="BB137" i="1"/>
  <c r="BB138" i="1" s="1"/>
  <c r="AX133" i="1"/>
  <c r="BD138" i="1"/>
  <c r="T135" i="1"/>
  <c r="AT136" i="1"/>
  <c r="P135" i="1"/>
  <c r="BF133" i="1"/>
  <c r="BP134" i="1"/>
  <c r="L134" i="1"/>
  <c r="H135" i="1"/>
  <c r="AD135" i="1"/>
  <c r="AH136" i="1"/>
  <c r="CB135" i="1"/>
  <c r="F136" i="1"/>
  <c r="Z140" i="1"/>
  <c r="BN137" i="1"/>
  <c r="R136" i="1"/>
  <c r="AV132" i="1"/>
  <c r="J134" i="1"/>
  <c r="BJ136" i="1"/>
  <c r="BX138" i="1"/>
  <c r="AZ133" i="1"/>
  <c r="AN136" i="1"/>
  <c r="V141" i="1"/>
  <c r="AL135" i="1"/>
  <c r="AF133" i="1"/>
  <c r="AR134" i="1"/>
  <c r="BZ133" i="1"/>
  <c r="BT134" i="1"/>
  <c r="CD135" i="1"/>
  <c r="BV133" i="1"/>
  <c r="AP137" i="1"/>
  <c r="N136" i="1"/>
  <c r="X138" i="1"/>
  <c r="BL133" i="1"/>
  <c r="BR133" i="1"/>
  <c r="BH137" i="1"/>
  <c r="CH141" i="1" l="1"/>
  <c r="CF141" i="1"/>
  <c r="AJ130" i="1"/>
  <c r="AB133" i="1"/>
  <c r="BX139" i="1"/>
  <c r="F137" i="1"/>
  <c r="N137" i="1"/>
  <c r="AF134" i="1"/>
  <c r="BN138" i="1"/>
  <c r="BF134" i="1"/>
  <c r="AD136" i="1"/>
  <c r="V142" i="1"/>
  <c r="BD139" i="1"/>
  <c r="BV134" i="1"/>
  <c r="BP135" i="1"/>
  <c r="BL134" i="1"/>
  <c r="CD136" i="1"/>
  <c r="BZ134" i="1"/>
  <c r="AZ134" i="1"/>
  <c r="BJ137" i="1"/>
  <c r="J135" i="1"/>
  <c r="R137" i="1"/>
  <c r="Z141" i="1"/>
  <c r="CB136" i="1"/>
  <c r="BT135" i="1"/>
  <c r="X139" i="1"/>
  <c r="AR135" i="1"/>
  <c r="AT137" i="1"/>
  <c r="AV133" i="1"/>
  <c r="L135" i="1"/>
  <c r="AN137" i="1"/>
  <c r="BB139" i="1"/>
  <c r="AX134" i="1"/>
  <c r="T136" i="1"/>
  <c r="AP138" i="1"/>
  <c r="BH138" i="1"/>
  <c r="BR134" i="1"/>
  <c r="AL136" i="1"/>
  <c r="AH137" i="1"/>
  <c r="H136" i="1"/>
  <c r="P136" i="1"/>
  <c r="CH142" i="1" l="1"/>
  <c r="CF142" i="1"/>
  <c r="AJ131" i="1"/>
  <c r="AB134" i="1"/>
  <c r="AB135" i="1" s="1"/>
  <c r="AB136" i="1" s="1"/>
  <c r="AX135" i="1"/>
  <c r="BD140" i="1"/>
  <c r="BR135" i="1"/>
  <c r="T137" i="1"/>
  <c r="L136" i="1"/>
  <c r="AR136" i="1"/>
  <c r="N138" i="1"/>
  <c r="H137" i="1"/>
  <c r="CB137" i="1"/>
  <c r="R138" i="1"/>
  <c r="BZ135" i="1"/>
  <c r="AL137" i="1"/>
  <c r="BB140" i="1"/>
  <c r="AD137" i="1"/>
  <c r="AF135" i="1"/>
  <c r="AT138" i="1"/>
  <c r="Z142" i="1"/>
  <c r="BV135" i="1"/>
  <c r="AV134" i="1"/>
  <c r="BT136" i="1"/>
  <c r="BP136" i="1"/>
  <c r="V143" i="1"/>
  <c r="AH138" i="1"/>
  <c r="BN139" i="1"/>
  <c r="BL135" i="1"/>
  <c r="BJ138" i="1"/>
  <c r="AP139" i="1"/>
  <c r="BF135" i="1"/>
  <c r="F138" i="1"/>
  <c r="P137" i="1"/>
  <c r="BH139" i="1"/>
  <c r="AN138" i="1"/>
  <c r="X140" i="1"/>
  <c r="J136" i="1"/>
  <c r="AZ135" i="1"/>
  <c r="CD137" i="1"/>
  <c r="BX140" i="1"/>
  <c r="CH143" i="1" l="1"/>
  <c r="CF143" i="1"/>
  <c r="AJ132" i="1"/>
  <c r="AB137" i="1"/>
  <c r="AB138" i="1" s="1"/>
  <c r="X141" i="1"/>
  <c r="AP140" i="1"/>
  <c r="AH139" i="1"/>
  <c r="BP137" i="1"/>
  <c r="BF136" i="1"/>
  <c r="BN140" i="1"/>
  <c r="BB141" i="1"/>
  <c r="L137" i="1"/>
  <c r="J137" i="1"/>
  <c r="V144" i="1"/>
  <c r="CB138" i="1"/>
  <c r="AZ136" i="1"/>
  <c r="P138" i="1"/>
  <c r="BZ136" i="1"/>
  <c r="BH140" i="1"/>
  <c r="BL136" i="1"/>
  <c r="AT139" i="1"/>
  <c r="AL138" i="1"/>
  <c r="N139" i="1"/>
  <c r="AN139" i="1"/>
  <c r="BJ139" i="1"/>
  <c r="AV135" i="1"/>
  <c r="AX136" i="1"/>
  <c r="R139" i="1"/>
  <c r="T138" i="1"/>
  <c r="AD138" i="1"/>
  <c r="BT137" i="1"/>
  <c r="Z143" i="1"/>
  <c r="H138" i="1"/>
  <c r="BD141" i="1"/>
  <c r="AR137" i="1"/>
  <c r="BX141" i="1"/>
  <c r="AF136" i="1"/>
  <c r="CD138" i="1"/>
  <c r="F139" i="1"/>
  <c r="BV136" i="1"/>
  <c r="BR136" i="1"/>
  <c r="CH144" i="1" l="1"/>
  <c r="CF144" i="1"/>
  <c r="AJ133" i="1"/>
  <c r="AB139" i="1"/>
  <c r="BR137" i="1"/>
  <c r="AD139" i="1"/>
  <c r="R140" i="1"/>
  <c r="X142" i="1"/>
  <c r="V145" i="1"/>
  <c r="BN141" i="1"/>
  <c r="BJ140" i="1"/>
  <c r="CD139" i="1"/>
  <c r="H139" i="1"/>
  <c r="T139" i="1"/>
  <c r="P139" i="1"/>
  <c r="CB139" i="1"/>
  <c r="BT138" i="1"/>
  <c r="AT140" i="1"/>
  <c r="BZ137" i="1"/>
  <c r="BF137" i="1"/>
  <c r="AR138" i="1"/>
  <c r="AZ137" i="1"/>
  <c r="L138" i="1"/>
  <c r="AF137" i="1"/>
  <c r="AX137" i="1"/>
  <c r="BV137" i="1"/>
  <c r="BD142" i="1"/>
  <c r="AL139" i="1"/>
  <c r="BH141" i="1"/>
  <c r="AP141" i="1"/>
  <c r="BX142" i="1"/>
  <c r="Z144" i="1"/>
  <c r="N140" i="1"/>
  <c r="BB142" i="1"/>
  <c r="BP138" i="1"/>
  <c r="F140" i="1"/>
  <c r="AV136" i="1"/>
  <c r="AN140" i="1"/>
  <c r="BL137" i="1"/>
  <c r="J138" i="1"/>
  <c r="AH140" i="1"/>
  <c r="CH145" i="1" l="1"/>
  <c r="CF145" i="1"/>
  <c r="AJ134" i="1"/>
  <c r="AB140" i="1"/>
  <c r="AB141" i="1"/>
  <c r="AF138" i="1"/>
  <c r="AZ138" i="1"/>
  <c r="BZ138" i="1"/>
  <c r="X143" i="1"/>
  <c r="AD140" i="1"/>
  <c r="AV137" i="1"/>
  <c r="AX138" i="1"/>
  <c r="BT139" i="1"/>
  <c r="P140" i="1"/>
  <c r="V146" i="1"/>
  <c r="J139" i="1"/>
  <c r="BP139" i="1"/>
  <c r="Z145" i="1"/>
  <c r="AL140" i="1"/>
  <c r="BV138" i="1"/>
  <c r="BF138" i="1"/>
  <c r="BL138" i="1"/>
  <c r="F141" i="1"/>
  <c r="BN142" i="1"/>
  <c r="R141" i="1"/>
  <c r="BX143" i="1"/>
  <c r="L139" i="1"/>
  <c r="CB140" i="1"/>
  <c r="AH141" i="1"/>
  <c r="N141" i="1"/>
  <c r="BH142" i="1"/>
  <c r="BD143" i="1"/>
  <c r="AT141" i="1"/>
  <c r="H140" i="1"/>
  <c r="T140" i="1"/>
  <c r="AN141" i="1"/>
  <c r="BB143" i="1"/>
  <c r="AP142" i="1"/>
  <c r="AR139" i="1"/>
  <c r="CD140" i="1"/>
  <c r="BJ141" i="1"/>
  <c r="BR138" i="1"/>
  <c r="CH146" i="1" l="1"/>
  <c r="CF146" i="1"/>
  <c r="AJ135" i="1"/>
  <c r="AB142" i="1"/>
  <c r="J140" i="1"/>
  <c r="AD141" i="1"/>
  <c r="T141" i="1"/>
  <c r="BB144" i="1"/>
  <c r="BD144" i="1"/>
  <c r="F142" i="1"/>
  <c r="BP140" i="1"/>
  <c r="AT142" i="1"/>
  <c r="N142" i="1"/>
  <c r="AH142" i="1"/>
  <c r="BX144" i="1"/>
  <c r="R142" i="1"/>
  <c r="P141" i="1"/>
  <c r="AX139" i="1"/>
  <c r="BJ142" i="1"/>
  <c r="AP143" i="1"/>
  <c r="BV139" i="1"/>
  <c r="Z146" i="1"/>
  <c r="BR139" i="1"/>
  <c r="L140" i="1"/>
  <c r="BT140" i="1"/>
  <c r="X144" i="1"/>
  <c r="AZ139" i="1"/>
  <c r="BH143" i="1"/>
  <c r="BF139" i="1"/>
  <c r="H141" i="1"/>
  <c r="BL139" i="1"/>
  <c r="AL141" i="1"/>
  <c r="V147" i="1"/>
  <c r="AV138" i="1"/>
  <c r="AN142" i="1"/>
  <c r="BN143" i="1"/>
  <c r="BZ139" i="1"/>
  <c r="AF139" i="1"/>
  <c r="CD141" i="1"/>
  <c r="AR140" i="1"/>
  <c r="CB141" i="1"/>
  <c r="CH147" i="1" l="1"/>
  <c r="CF147" i="1"/>
  <c r="AJ136" i="1"/>
  <c r="AB143" i="1"/>
  <c r="AH143" i="1"/>
  <c r="F143" i="1"/>
  <c r="AD142" i="1"/>
  <c r="AN143" i="1"/>
  <c r="AF140" i="1"/>
  <c r="J141" i="1"/>
  <c r="BF140" i="1"/>
  <c r="P142" i="1"/>
  <c r="BZ140" i="1"/>
  <c r="AV139" i="1"/>
  <c r="AZ140" i="1"/>
  <c r="Z147" i="1"/>
  <c r="BJ143" i="1"/>
  <c r="BX145" i="1"/>
  <c r="BP141" i="1"/>
  <c r="BH144" i="1"/>
  <c r="T142" i="1"/>
  <c r="BL140" i="1"/>
  <c r="AT143" i="1"/>
  <c r="CD142" i="1"/>
  <c r="L141" i="1"/>
  <c r="BV140" i="1"/>
  <c r="AX140" i="1"/>
  <c r="R143" i="1"/>
  <c r="BB145" i="1"/>
  <c r="AR141" i="1"/>
  <c r="H142" i="1"/>
  <c r="BT141" i="1"/>
  <c r="N143" i="1"/>
  <c r="AL142" i="1"/>
  <c r="BD145" i="1"/>
  <c r="BR140" i="1"/>
  <c r="CB142" i="1"/>
  <c r="BN144" i="1"/>
  <c r="V148" i="1"/>
  <c r="X145" i="1"/>
  <c r="AP144" i="1"/>
  <c r="CH148" i="1" l="1"/>
  <c r="CF148" i="1"/>
  <c r="AJ137" i="1"/>
  <c r="AB144" i="1"/>
  <c r="L142" i="1"/>
  <c r="BL141" i="1"/>
  <c r="BR141" i="1"/>
  <c r="BD146" i="1"/>
  <c r="H143" i="1"/>
  <c r="Z148" i="1"/>
  <c r="CB143" i="1"/>
  <c r="AT144" i="1"/>
  <c r="N144" i="1"/>
  <c r="BB146" i="1"/>
  <c r="BX146" i="1"/>
  <c r="V149" i="1"/>
  <c r="BV141" i="1"/>
  <c r="BJ144" i="1"/>
  <c r="AP145" i="1"/>
  <c r="AR142" i="1"/>
  <c r="CD143" i="1"/>
  <c r="BP142" i="1"/>
  <c r="AD143" i="1"/>
  <c r="AL143" i="1"/>
  <c r="BH145" i="1"/>
  <c r="AZ141" i="1"/>
  <c r="P143" i="1"/>
  <c r="X146" i="1"/>
  <c r="BN145" i="1"/>
  <c r="AX141" i="1"/>
  <c r="F144" i="1"/>
  <c r="T143" i="1"/>
  <c r="BF141" i="1"/>
  <c r="AN144" i="1"/>
  <c r="AH144" i="1"/>
  <c r="BZ141" i="1"/>
  <c r="BT142" i="1"/>
  <c r="R144" i="1"/>
  <c r="AV140" i="1"/>
  <c r="J142" i="1"/>
  <c r="AF141" i="1"/>
  <c r="CH149" i="1" l="1"/>
  <c r="CF149" i="1"/>
  <c r="AJ138" i="1"/>
  <c r="AB145" i="1"/>
  <c r="BX147" i="1"/>
  <c r="AV141" i="1"/>
  <c r="X147" i="1"/>
  <c r="BH146" i="1"/>
  <c r="BJ145" i="1"/>
  <c r="N145" i="1"/>
  <c r="R145" i="1"/>
  <c r="T144" i="1"/>
  <c r="F145" i="1"/>
  <c r="H144" i="1"/>
  <c r="BR142" i="1"/>
  <c r="AZ142" i="1"/>
  <c r="BB147" i="1"/>
  <c r="BF142" i="1"/>
  <c r="BN146" i="1"/>
  <c r="BZ142" i="1"/>
  <c r="BP143" i="1"/>
  <c r="Z149" i="1"/>
  <c r="CD144" i="1"/>
  <c r="V150" i="1"/>
  <c r="L143" i="1"/>
  <c r="AF142" i="1"/>
  <c r="AN145" i="1"/>
  <c r="AD144" i="1"/>
  <c r="AP146" i="1"/>
  <c r="CB144" i="1"/>
  <c r="BV142" i="1"/>
  <c r="BD147" i="1"/>
  <c r="AR143" i="1"/>
  <c r="BL142" i="1"/>
  <c r="AT145" i="1"/>
  <c r="J143" i="1"/>
  <c r="BT143" i="1"/>
  <c r="AH145" i="1"/>
  <c r="AX142" i="1"/>
  <c r="P144" i="1"/>
  <c r="AL144" i="1"/>
  <c r="CH150" i="1" l="1"/>
  <c r="CF150" i="1"/>
  <c r="AJ139" i="1"/>
  <c r="AB146" i="1"/>
  <c r="Z150" i="1"/>
  <c r="Z151" i="1" s="1"/>
  <c r="Z152" i="1" s="1"/>
  <c r="Z153" i="1" s="1"/>
  <c r="Z154" i="1" s="1"/>
  <c r="Z155" i="1" s="1"/>
  <c r="BD148" i="1"/>
  <c r="BJ146" i="1"/>
  <c r="V151" i="1"/>
  <c r="AZ143" i="1"/>
  <c r="AD145" i="1"/>
  <c r="BP144" i="1"/>
  <c r="T145" i="1"/>
  <c r="BH147" i="1"/>
  <c r="AP147" i="1"/>
  <c r="CD145" i="1"/>
  <c r="N146" i="1"/>
  <c r="P145" i="1"/>
  <c r="AF143" i="1"/>
  <c r="BB148" i="1"/>
  <c r="X148" i="1"/>
  <c r="BN147" i="1"/>
  <c r="F146" i="1"/>
  <c r="BX148" i="1"/>
  <c r="AX143" i="1"/>
  <c r="BL143" i="1"/>
  <c r="BZ143" i="1"/>
  <c r="R146" i="1"/>
  <c r="AL145" i="1"/>
  <c r="BT144" i="1"/>
  <c r="CB145" i="1"/>
  <c r="H145" i="1"/>
  <c r="AH146" i="1"/>
  <c r="BV143" i="1"/>
  <c r="AR144" i="1"/>
  <c r="BF143" i="1"/>
  <c r="AV142" i="1"/>
  <c r="J144" i="1"/>
  <c r="AT146" i="1"/>
  <c r="AN146" i="1"/>
  <c r="L144" i="1"/>
  <c r="BR143" i="1"/>
  <c r="CH151" i="1" l="1"/>
  <c r="CF151" i="1"/>
  <c r="AJ140" i="1"/>
  <c r="AB147" i="1"/>
  <c r="Z156" i="1"/>
  <c r="Z157" i="1" s="1"/>
  <c r="Z158" i="1" s="1"/>
  <c r="BL144" i="1"/>
  <c r="N147" i="1"/>
  <c r="T146" i="1"/>
  <c r="AZ144" i="1"/>
  <c r="AN147" i="1"/>
  <c r="BN148" i="1"/>
  <c r="AP148" i="1"/>
  <c r="BZ144" i="1"/>
  <c r="J145" i="1"/>
  <c r="BF144" i="1"/>
  <c r="F147" i="1"/>
  <c r="CD146" i="1"/>
  <c r="BD149" i="1"/>
  <c r="BT145" i="1"/>
  <c r="X149" i="1"/>
  <c r="AF144" i="1"/>
  <c r="L145" i="1"/>
  <c r="R147" i="1"/>
  <c r="AX144" i="1"/>
  <c r="P146" i="1"/>
  <c r="BP145" i="1"/>
  <c r="BJ147" i="1"/>
  <c r="CB146" i="1"/>
  <c r="BX149" i="1"/>
  <c r="BR144" i="1"/>
  <c r="AD146" i="1"/>
  <c r="H146" i="1"/>
  <c r="BB149" i="1"/>
  <c r="V152" i="1"/>
  <c r="AR145" i="1"/>
  <c r="AH147" i="1"/>
  <c r="AL146" i="1"/>
  <c r="BH148" i="1"/>
  <c r="AT147" i="1"/>
  <c r="AV143" i="1"/>
  <c r="BV144" i="1"/>
  <c r="CH152" i="1" l="1"/>
  <c r="CF152" i="1"/>
  <c r="AJ141" i="1"/>
  <c r="AB148" i="1"/>
  <c r="Z159" i="1"/>
  <c r="Z160" i="1" s="1"/>
  <c r="Z161" i="1" s="1"/>
  <c r="AV144" i="1"/>
  <c r="BD150" i="1"/>
  <c r="BD151" i="1" s="1"/>
  <c r="BD152" i="1" s="1"/>
  <c r="BD153" i="1" s="1"/>
  <c r="BD154" i="1" s="1"/>
  <c r="BD155" i="1" s="1"/>
  <c r="AL147" i="1"/>
  <c r="AD147" i="1"/>
  <c r="CB147" i="1"/>
  <c r="BT146" i="1"/>
  <c r="P147" i="1"/>
  <c r="X150" i="1"/>
  <c r="BB150" i="1"/>
  <c r="AN148" i="1"/>
  <c r="BR145" i="1"/>
  <c r="BX150" i="1"/>
  <c r="N148" i="1"/>
  <c r="BV145" i="1"/>
  <c r="AX145" i="1"/>
  <c r="F148" i="1"/>
  <c r="BL145" i="1"/>
  <c r="AR146" i="1"/>
  <c r="T147" i="1"/>
  <c r="J146" i="1"/>
  <c r="R148" i="1"/>
  <c r="BN149" i="1"/>
  <c r="AT148" i="1"/>
  <c r="BJ148" i="1"/>
  <c r="AF145" i="1"/>
  <c r="CD147" i="1"/>
  <c r="AZ145" i="1"/>
  <c r="AH148" i="1"/>
  <c r="H147" i="1"/>
  <c r="BH149" i="1"/>
  <c r="V153" i="1"/>
  <c r="BP146" i="1"/>
  <c r="L146" i="1"/>
  <c r="BF145" i="1"/>
  <c r="BZ145" i="1"/>
  <c r="AP149" i="1"/>
  <c r="CH153" i="1" l="1"/>
  <c r="CF153" i="1"/>
  <c r="AJ142" i="1"/>
  <c r="AB149" i="1"/>
  <c r="AB150" i="1" s="1"/>
  <c r="BD156" i="1"/>
  <c r="BD157" i="1" s="1"/>
  <c r="BD158" i="1" s="1"/>
  <c r="BN150" i="1"/>
  <c r="BN151" i="1" s="1"/>
  <c r="BN152" i="1" s="1"/>
  <c r="BN153" i="1" s="1"/>
  <c r="AD148" i="1"/>
  <c r="CD148" i="1"/>
  <c r="BZ146" i="1"/>
  <c r="AT149" i="1"/>
  <c r="AR147" i="1"/>
  <c r="AZ146" i="1"/>
  <c r="T148" i="1"/>
  <c r="BX151" i="1"/>
  <c r="P148" i="1"/>
  <c r="BH150" i="1"/>
  <c r="AL148" i="1"/>
  <c r="AF146" i="1"/>
  <c r="N149" i="1"/>
  <c r="CB148" i="1"/>
  <c r="BF146" i="1"/>
  <c r="V154" i="1"/>
  <c r="V155" i="1" s="1"/>
  <c r="V156" i="1" s="1"/>
  <c r="V157" i="1" s="1"/>
  <c r="V158" i="1" s="1"/>
  <c r="V159" i="1" s="1"/>
  <c r="V160" i="1" s="1"/>
  <c r="AX146" i="1"/>
  <c r="BP147" i="1"/>
  <c r="AN149" i="1"/>
  <c r="AV145" i="1"/>
  <c r="H148" i="1"/>
  <c r="F149" i="1"/>
  <c r="BT147" i="1"/>
  <c r="L147" i="1"/>
  <c r="J147" i="1"/>
  <c r="BV146" i="1"/>
  <c r="BR146" i="1"/>
  <c r="X151" i="1"/>
  <c r="BJ149" i="1"/>
  <c r="AP150" i="1"/>
  <c r="AH149" i="1"/>
  <c r="R149" i="1"/>
  <c r="BL146" i="1"/>
  <c r="BB151" i="1"/>
  <c r="CH154" i="1" l="1"/>
  <c r="CF154" i="1"/>
  <c r="AJ143" i="1"/>
  <c r="AB151" i="1"/>
  <c r="BN154" i="1"/>
  <c r="BN155" i="1" s="1"/>
  <c r="BN156" i="1" s="1"/>
  <c r="BD159" i="1"/>
  <c r="BD160" i="1" s="1"/>
  <c r="BD161" i="1" s="1"/>
  <c r="BL147" i="1"/>
  <c r="AP151" i="1"/>
  <c r="AP152" i="1" s="1"/>
  <c r="AP153" i="1" s="1"/>
  <c r="AP154" i="1" s="1"/>
  <c r="AP155" i="1" s="1"/>
  <c r="AP156" i="1" s="1"/>
  <c r="AP157" i="1" s="1"/>
  <c r="BV147" i="1"/>
  <c r="BZ147" i="1"/>
  <c r="V161" i="1"/>
  <c r="BH151" i="1"/>
  <c r="AD149" i="1"/>
  <c r="T149" i="1"/>
  <c r="AT150" i="1"/>
  <c r="BT148" i="1"/>
  <c r="BB152" i="1"/>
  <c r="X152" i="1"/>
  <c r="AV146" i="1"/>
  <c r="AX147" i="1"/>
  <c r="R150" i="1"/>
  <c r="L148" i="1"/>
  <c r="AF147" i="1"/>
  <c r="AR148" i="1"/>
  <c r="CD149" i="1"/>
  <c r="BJ150" i="1"/>
  <c r="BR147" i="1"/>
  <c r="N150" i="1"/>
  <c r="N151" i="1" s="1"/>
  <c r="N152" i="1" s="1"/>
  <c r="N153" i="1" s="1"/>
  <c r="N154" i="1" s="1"/>
  <c r="N155" i="1" s="1"/>
  <c r="AL149" i="1"/>
  <c r="H149" i="1"/>
  <c r="BP148" i="1"/>
  <c r="CB149" i="1"/>
  <c r="P149" i="1"/>
  <c r="AN150" i="1"/>
  <c r="J148" i="1"/>
  <c r="F150" i="1"/>
  <c r="BF147" i="1"/>
  <c r="AH150" i="1"/>
  <c r="BX152" i="1"/>
  <c r="AZ147" i="1"/>
  <c r="BN157" i="1" l="1"/>
  <c r="BN158" i="1" s="1"/>
  <c r="CH155" i="1"/>
  <c r="CF155" i="1"/>
  <c r="AJ144" i="1"/>
  <c r="AB152" i="1"/>
  <c r="AB153" i="1" s="1"/>
  <c r="AB154" i="1" s="1"/>
  <c r="AB155" i="1" s="1"/>
  <c r="AB156" i="1" s="1"/>
  <c r="N156" i="1"/>
  <c r="N157" i="1" s="1"/>
  <c r="AZ148" i="1"/>
  <c r="CD150" i="1"/>
  <c r="BH152" i="1"/>
  <c r="BH153" i="1" s="1"/>
  <c r="BH154" i="1" s="1"/>
  <c r="BH155" i="1" s="1"/>
  <c r="BH156" i="1" s="1"/>
  <c r="BH157" i="1" s="1"/>
  <c r="BH158" i="1" s="1"/>
  <c r="F151" i="1"/>
  <c r="F152" i="1" s="1"/>
  <c r="F153" i="1" s="1"/>
  <c r="F154" i="1" s="1"/>
  <c r="F155" i="1" s="1"/>
  <c r="F156" i="1" s="1"/>
  <c r="F157" i="1" s="1"/>
  <c r="BB153" i="1"/>
  <c r="BP149" i="1"/>
  <c r="L149" i="1"/>
  <c r="AD150" i="1"/>
  <c r="BZ148" i="1"/>
  <c r="H150" i="1"/>
  <c r="T150" i="1"/>
  <c r="BL148" i="1"/>
  <c r="BV148" i="1"/>
  <c r="AX148" i="1"/>
  <c r="AH151" i="1"/>
  <c r="AF148" i="1"/>
  <c r="BF148" i="1"/>
  <c r="X153" i="1"/>
  <c r="AT151" i="1"/>
  <c r="BX153" i="1"/>
  <c r="J149" i="1"/>
  <c r="BJ151" i="1"/>
  <c r="AV147" i="1"/>
  <c r="AL150" i="1"/>
  <c r="AR149" i="1"/>
  <c r="R151" i="1"/>
  <c r="BT149" i="1"/>
  <c r="AP158" i="1"/>
  <c r="AP159" i="1" s="1"/>
  <c r="AN151" i="1"/>
  <c r="P150" i="1"/>
  <c r="CB150" i="1"/>
  <c r="BR148" i="1"/>
  <c r="BN159" i="1" l="1"/>
  <c r="BN160" i="1" s="1"/>
  <c r="BN161" i="1" s="1"/>
  <c r="AB157" i="1"/>
  <c r="CH156" i="1"/>
  <c r="CF156" i="1"/>
  <c r="AJ145" i="1"/>
  <c r="N158" i="1"/>
  <c r="N159" i="1" s="1"/>
  <c r="N160" i="1" s="1"/>
  <c r="F158" i="1"/>
  <c r="F159" i="1" s="1"/>
  <c r="AP160" i="1"/>
  <c r="AP161" i="1" s="1"/>
  <c r="T151" i="1"/>
  <c r="T152" i="1" s="1"/>
  <c r="T153" i="1" s="1"/>
  <c r="T154" i="1" s="1"/>
  <c r="T155" i="1" s="1"/>
  <c r="T156" i="1" s="1"/>
  <c r="AD151" i="1"/>
  <c r="CB151" i="1"/>
  <c r="BX154" i="1"/>
  <c r="BZ149" i="1"/>
  <c r="BB154" i="1"/>
  <c r="BB155" i="1" s="1"/>
  <c r="BB156" i="1" s="1"/>
  <c r="BB157" i="1" s="1"/>
  <c r="BB158" i="1" s="1"/>
  <c r="BB159" i="1" s="1"/>
  <c r="BB160" i="1" s="1"/>
  <c r="AZ149" i="1"/>
  <c r="R152" i="1"/>
  <c r="BV149" i="1"/>
  <c r="CD151" i="1"/>
  <c r="BP150" i="1"/>
  <c r="AT152" i="1"/>
  <c r="BL149" i="1"/>
  <c r="AV148" i="1"/>
  <c r="X154" i="1"/>
  <c r="X155" i="1" s="1"/>
  <c r="X156" i="1" s="1"/>
  <c r="X157" i="1" s="1"/>
  <c r="X158" i="1" s="1"/>
  <c r="X159" i="1" s="1"/>
  <c r="X160" i="1" s="1"/>
  <c r="AH152" i="1"/>
  <c r="AH153" i="1" s="1"/>
  <c r="AH154" i="1" s="1"/>
  <c r="AH155" i="1" s="1"/>
  <c r="AH156" i="1" s="1"/>
  <c r="AN152" i="1"/>
  <c r="AN153" i="1" s="1"/>
  <c r="AN154" i="1" s="1"/>
  <c r="AN155" i="1" s="1"/>
  <c r="AN156" i="1" s="1"/>
  <c r="AN157" i="1" s="1"/>
  <c r="AX149" i="1"/>
  <c r="BH159" i="1"/>
  <c r="BH160" i="1" s="1"/>
  <c r="AL151" i="1"/>
  <c r="BJ152" i="1"/>
  <c r="AF149" i="1"/>
  <c r="BR149" i="1"/>
  <c r="P151" i="1"/>
  <c r="BT150" i="1"/>
  <c r="AR150" i="1"/>
  <c r="J150" i="1"/>
  <c r="BF149" i="1"/>
  <c r="H151" i="1"/>
  <c r="L150" i="1"/>
  <c r="AB158" i="1" l="1"/>
  <c r="AB159" i="1" s="1"/>
  <c r="AB160" i="1" s="1"/>
  <c r="AB161" i="1" s="1"/>
  <c r="F160" i="1"/>
  <c r="F161" i="1" s="1"/>
  <c r="T157" i="1"/>
  <c r="T158" i="1" s="1"/>
  <c r="T159" i="1" s="1"/>
  <c r="CH157" i="1"/>
  <c r="CF157" i="1"/>
  <c r="AJ146" i="1"/>
  <c r="AH157" i="1"/>
  <c r="AH158" i="1" s="1"/>
  <c r="AH159" i="1" s="1"/>
  <c r="AN158" i="1"/>
  <c r="AN159" i="1" s="1"/>
  <c r="BF150" i="1"/>
  <c r="BF151" i="1" s="1"/>
  <c r="BF152" i="1" s="1"/>
  <c r="BF153" i="1" s="1"/>
  <c r="BV150" i="1"/>
  <c r="BV151" i="1" s="1"/>
  <c r="BV152" i="1" s="1"/>
  <c r="BV153" i="1" s="1"/>
  <c r="AZ150" i="1"/>
  <c r="AZ151" i="1" s="1"/>
  <c r="AZ152" i="1" s="1"/>
  <c r="AZ153" i="1" s="1"/>
  <c r="BR150" i="1"/>
  <c r="BR151" i="1" s="1"/>
  <c r="BR152" i="1" s="1"/>
  <c r="BR153" i="1" s="1"/>
  <c r="BR154" i="1" s="1"/>
  <c r="AF150" i="1"/>
  <c r="AF151" i="1" s="1"/>
  <c r="AF152" i="1" s="1"/>
  <c r="AF153" i="1" s="1"/>
  <c r="AF154" i="1" s="1"/>
  <c r="AF155" i="1" s="1"/>
  <c r="X161" i="1"/>
  <c r="BT151" i="1"/>
  <c r="BT152" i="1" s="1"/>
  <c r="BT153" i="1" s="1"/>
  <c r="BT154" i="1" s="1"/>
  <c r="BT155" i="1" s="1"/>
  <c r="BT156" i="1" s="1"/>
  <c r="BT157" i="1" s="1"/>
  <c r="AD152" i="1"/>
  <c r="P152" i="1"/>
  <c r="BX155" i="1"/>
  <c r="H152" i="1"/>
  <c r="AR151" i="1"/>
  <c r="AL152" i="1"/>
  <c r="AV149" i="1"/>
  <c r="AT153" i="1"/>
  <c r="J151" i="1"/>
  <c r="CD152" i="1"/>
  <c r="AX150" i="1"/>
  <c r="BL150" i="1"/>
  <c r="N161" i="1"/>
  <c r="BH161" i="1"/>
  <c r="L151" i="1"/>
  <c r="BB161" i="1"/>
  <c r="BJ153" i="1"/>
  <c r="BP151" i="1"/>
  <c r="R153" i="1"/>
  <c r="BZ150" i="1"/>
  <c r="CB152" i="1"/>
  <c r="BR155" i="1" l="1"/>
  <c r="BR156" i="1" s="1"/>
  <c r="BR157" i="1" s="1"/>
  <c r="BF154" i="1"/>
  <c r="BF155" i="1" s="1"/>
  <c r="BF156" i="1" s="1"/>
  <c r="T160" i="1"/>
  <c r="T161" i="1" s="1"/>
  <c r="CH158" i="1"/>
  <c r="CF158" i="1"/>
  <c r="AJ147" i="1"/>
  <c r="AH160" i="1"/>
  <c r="AH161" i="1" s="1"/>
  <c r="AN160" i="1"/>
  <c r="AN161" i="1" s="1"/>
  <c r="BV154" i="1"/>
  <c r="BV155" i="1" s="1"/>
  <c r="BV156" i="1" s="1"/>
  <c r="AZ154" i="1"/>
  <c r="AZ155" i="1" s="1"/>
  <c r="R154" i="1"/>
  <c r="R155" i="1" s="1"/>
  <c r="R156" i="1" s="1"/>
  <c r="R157" i="1" s="1"/>
  <c r="R158" i="1" s="1"/>
  <c r="R159" i="1" s="1"/>
  <c r="AV150" i="1"/>
  <c r="AV151" i="1" s="1"/>
  <c r="AV152" i="1" s="1"/>
  <c r="BX156" i="1"/>
  <c r="BX157" i="1" s="1"/>
  <c r="BX158" i="1" s="1"/>
  <c r="BX159" i="1" s="1"/>
  <c r="CD153" i="1"/>
  <c r="AD153" i="1"/>
  <c r="BL151" i="1"/>
  <c r="AR152" i="1"/>
  <c r="CB153" i="1"/>
  <c r="CB154" i="1" s="1"/>
  <c r="CB155" i="1" s="1"/>
  <c r="CB156" i="1" s="1"/>
  <c r="CB157" i="1" s="1"/>
  <c r="J152" i="1"/>
  <c r="BZ151" i="1"/>
  <c r="BZ152" i="1" s="1"/>
  <c r="BZ153" i="1" s="1"/>
  <c r="BZ154" i="1" s="1"/>
  <c r="BJ154" i="1"/>
  <c r="BT158" i="1"/>
  <c r="BT159" i="1" s="1"/>
  <c r="AL153" i="1"/>
  <c r="AX151" i="1"/>
  <c r="P153" i="1"/>
  <c r="AF156" i="1"/>
  <c r="AF157" i="1" s="1"/>
  <c r="L152" i="1"/>
  <c r="H153" i="1"/>
  <c r="BP152" i="1"/>
  <c r="AT154" i="1"/>
  <c r="BV157" i="1" l="1"/>
  <c r="BV158" i="1" s="1"/>
  <c r="BR158" i="1"/>
  <c r="BR159" i="1" s="1"/>
  <c r="BR160" i="1" s="1"/>
  <c r="CH159" i="1"/>
  <c r="CF159" i="1"/>
  <c r="AJ148" i="1"/>
  <c r="AZ156" i="1"/>
  <c r="AZ157" i="1" s="1"/>
  <c r="AZ158" i="1" s="1"/>
  <c r="AV153" i="1"/>
  <c r="AV154" i="1" s="1"/>
  <c r="BX160" i="1"/>
  <c r="BX161" i="1" s="1"/>
  <c r="CB158" i="1"/>
  <c r="BZ155" i="1"/>
  <c r="BZ156" i="1" s="1"/>
  <c r="R160" i="1"/>
  <c r="R161" i="1" s="1"/>
  <c r="BF157" i="1"/>
  <c r="BF158" i="1" s="1"/>
  <c r="AX152" i="1"/>
  <c r="AX153" i="1" s="1"/>
  <c r="AX154" i="1" s="1"/>
  <c r="AX155" i="1" s="1"/>
  <c r="AX156" i="1" s="1"/>
  <c r="AX157" i="1" s="1"/>
  <c r="AX158" i="1" s="1"/>
  <c r="BJ155" i="1"/>
  <c r="BJ156" i="1" s="1"/>
  <c r="BJ157" i="1" s="1"/>
  <c r="BJ158" i="1" s="1"/>
  <c r="AT155" i="1"/>
  <c r="AT156" i="1" s="1"/>
  <c r="AT157" i="1" s="1"/>
  <c r="AT158" i="1" s="1"/>
  <c r="AT159" i="1" s="1"/>
  <c r="AT160" i="1" s="1"/>
  <c r="AT161" i="1" s="1"/>
  <c r="AL154" i="1"/>
  <c r="AD154" i="1"/>
  <c r="AF158" i="1"/>
  <c r="AF159" i="1" s="1"/>
  <c r="P154" i="1"/>
  <c r="P155" i="1" s="1"/>
  <c r="P156" i="1" s="1"/>
  <c r="P157" i="1" s="1"/>
  <c r="BT160" i="1"/>
  <c r="BT161" i="1" s="1"/>
  <c r="BL152" i="1"/>
  <c r="H154" i="1"/>
  <c r="L153" i="1"/>
  <c r="J153" i="1"/>
  <c r="CD154" i="1"/>
  <c r="BP153" i="1"/>
  <c r="AR153" i="1"/>
  <c r="BV159" i="1" l="1"/>
  <c r="BV160" i="1" s="1"/>
  <c r="P158" i="1"/>
  <c r="P159" i="1" s="1"/>
  <c r="CH160" i="1"/>
  <c r="CH161" i="1" s="1"/>
  <c r="CF160" i="1"/>
  <c r="CF161" i="1" s="1"/>
  <c r="AJ149" i="1"/>
  <c r="AV155" i="1"/>
  <c r="BZ157" i="1"/>
  <c r="BZ158" i="1" s="1"/>
  <c r="AF160" i="1"/>
  <c r="AF161" i="1" s="1"/>
  <c r="CB159" i="1"/>
  <c r="CB160" i="1" s="1"/>
  <c r="CB161" i="1" s="1"/>
  <c r="BF159" i="1"/>
  <c r="BF160" i="1" s="1"/>
  <c r="BF161" i="1" s="1"/>
  <c r="BJ159" i="1"/>
  <c r="BJ160" i="1" s="1"/>
  <c r="BJ161" i="1" s="1"/>
  <c r="BR161" i="1"/>
  <c r="AZ159" i="1"/>
  <c r="AZ160" i="1" s="1"/>
  <c r="AZ161" i="1" s="1"/>
  <c r="L154" i="1"/>
  <c r="L155" i="1" s="1"/>
  <c r="L156" i="1" s="1"/>
  <c r="L157" i="1" s="1"/>
  <c r="L158" i="1" s="1"/>
  <c r="BP154" i="1"/>
  <c r="AR154" i="1"/>
  <c r="AX159" i="1"/>
  <c r="CD155" i="1"/>
  <c r="BL153" i="1"/>
  <c r="AL155" i="1"/>
  <c r="AL156" i="1" s="1"/>
  <c r="AL157" i="1" s="1"/>
  <c r="AL158" i="1" s="1"/>
  <c r="AL159" i="1" s="1"/>
  <c r="AL160" i="1" s="1"/>
  <c r="AL161" i="1" s="1"/>
  <c r="H155" i="1"/>
  <c r="J154" i="1"/>
  <c r="AD155" i="1"/>
  <c r="AD156" i="1" s="1"/>
  <c r="AD157" i="1" s="1"/>
  <c r="AD158" i="1" s="1"/>
  <c r="BV161" i="1" l="1"/>
  <c r="P160" i="1"/>
  <c r="P161" i="1" s="1"/>
  <c r="AJ150" i="1"/>
  <c r="BZ159" i="1"/>
  <c r="BZ160" i="1" s="1"/>
  <c r="BZ161" i="1" s="1"/>
  <c r="AV156" i="1"/>
  <c r="AV157" i="1" s="1"/>
  <c r="AV158" i="1" s="1"/>
  <c r="AV159" i="1" s="1"/>
  <c r="AD159" i="1"/>
  <c r="AD160" i="1" s="1"/>
  <c r="AD161" i="1" s="1"/>
  <c r="L159" i="1"/>
  <c r="L160" i="1" s="1"/>
  <c r="L161" i="1" s="1"/>
  <c r="J155" i="1"/>
  <c r="BL154" i="1"/>
  <c r="H156" i="1"/>
  <c r="H157" i="1" s="1"/>
  <c r="H158" i="1" s="1"/>
  <c r="H159" i="1" s="1"/>
  <c r="H160" i="1" s="1"/>
  <c r="AX160" i="1"/>
  <c r="AX161" i="1" s="1"/>
  <c r="BP155" i="1"/>
  <c r="BP156" i="1" s="1"/>
  <c r="BP157" i="1" s="1"/>
  <c r="BP158" i="1" s="1"/>
  <c r="BP159" i="1" s="1"/>
  <c r="AR155" i="1"/>
  <c r="CD156" i="1"/>
  <c r="AJ151" i="1" l="1"/>
  <c r="AV160" i="1"/>
  <c r="AV161" i="1" s="1"/>
  <c r="BP160" i="1"/>
  <c r="BP161" i="1" s="1"/>
  <c r="CD157" i="1"/>
  <c r="CD158" i="1" s="1"/>
  <c r="CD159" i="1" s="1"/>
  <c r="CD160" i="1" s="1"/>
  <c r="CD161" i="1" s="1"/>
  <c r="BL155" i="1"/>
  <c r="AR156" i="1"/>
  <c r="AR157" i="1" s="1"/>
  <c r="AR158" i="1" s="1"/>
  <c r="AR159" i="1" s="1"/>
  <c r="AR160" i="1" s="1"/>
  <c r="AR161" i="1" s="1"/>
  <c r="H161" i="1"/>
  <c r="J156" i="1"/>
  <c r="J157" i="1" s="1"/>
  <c r="J158" i="1" s="1"/>
  <c r="J159" i="1" s="1"/>
  <c r="AJ152" i="1" l="1"/>
  <c r="J160" i="1"/>
  <c r="J161" i="1" s="1"/>
  <c r="BL156" i="1"/>
  <c r="BL157" i="1" s="1"/>
  <c r="BL158" i="1" s="1"/>
  <c r="BL159" i="1" s="1"/>
  <c r="BL160" i="1" l="1"/>
  <c r="BL161" i="1" s="1"/>
  <c r="AJ153" i="1"/>
  <c r="AJ154" i="1" l="1"/>
  <c r="AJ155" i="1" l="1"/>
  <c r="AJ156" i="1" s="1"/>
  <c r="AJ157" i="1" s="1"/>
  <c r="AJ158" i="1" s="1"/>
  <c r="AJ159" i="1" s="1"/>
  <c r="AJ160" i="1" s="1"/>
  <c r="AJ16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Fabiana Dias Stoicov</author>
    <author/>
  </authors>
  <commentList>
    <comment ref="A21" authorId="0" shapeId="0" xr:uid="{F80670DC-162B-4FB3-800D-7A8F1E8F49D3}">
      <text>
        <r>
          <rPr>
            <sz val="10"/>
            <color rgb="FF000000"/>
            <rFont val="Arial"/>
            <scheme val="minor"/>
          </rPr>
          <t>Fabiana Dias Stoicov:
Sistema de desbobinador do equipamento foi reestabelecido , bobina ficou mais próxima. |Laminado ficou mais estirado</t>
        </r>
      </text>
    </comment>
    <comment ref="A93" authorId="1" shapeId="0" xr:uid="{00000000-0006-0000-0000-000001000000}">
      <text>
        <r>
          <rPr>
            <sz val="10"/>
            <color rgb="FF000000"/>
            <rFont val="Arial"/>
            <scheme val="minor"/>
          </rPr>
          <t>======
ID#AAAAD4Pimsc
Romain Vasseur    (2019-10-23 18:51:50)
Test the normality of ours measures</t>
        </r>
      </text>
    </comment>
  </commentList>
</comments>
</file>

<file path=xl/sharedStrings.xml><?xml version="1.0" encoding="utf-8"?>
<sst xmlns="http://schemas.openxmlformats.org/spreadsheetml/2006/main" count="302" uniqueCount="162">
  <si>
    <t>MSA - Capability study -  Parâmetros de Processo Selo V-Gard</t>
  </si>
  <si>
    <t>Informations: Coleta de dados para melhor definição de parâmetros OMS</t>
  </si>
  <si>
    <t>Date</t>
  </si>
  <si>
    <t>Written by :</t>
  </si>
  <si>
    <t>Fabiana Stoicov</t>
  </si>
  <si>
    <t>Part designation</t>
  </si>
  <si>
    <t>Selo V GARD HP</t>
  </si>
  <si>
    <t>Customer</t>
  </si>
  <si>
    <t>Site</t>
  </si>
  <si>
    <t>Measuring means</t>
  </si>
  <si>
    <t>Cpk objective &gt;=</t>
  </si>
  <si>
    <t>No.</t>
  </si>
  <si>
    <t>Characteristic</t>
  </si>
  <si>
    <t>Temp Ambiente</t>
  </si>
  <si>
    <t>Aquecimento Z1</t>
  </si>
  <si>
    <t>Aquecimento Z2</t>
  </si>
  <si>
    <t>Aquecimento Z3</t>
  </si>
  <si>
    <t>Aquecimento Z4</t>
  </si>
  <si>
    <t>Aquecimento Z5</t>
  </si>
  <si>
    <t>Aquecimento  Z6</t>
  </si>
  <si>
    <t>Aquecimento   Z7</t>
  </si>
  <si>
    <t>Aquecimento   Z8</t>
  </si>
  <si>
    <t>Aquecimento  Z9</t>
  </si>
  <si>
    <t>Aquecimento Z10</t>
  </si>
  <si>
    <t>Aquecimento  Z11</t>
  </si>
  <si>
    <t>Aquecimento   Z12</t>
  </si>
  <si>
    <t>Aquecimento  Z13</t>
  </si>
  <si>
    <t>Aquecimento Z14</t>
  </si>
  <si>
    <t>Aquecimento Z15</t>
  </si>
  <si>
    <t>Aquecimento Z16</t>
  </si>
  <si>
    <t>Aquecimento Z17</t>
  </si>
  <si>
    <t>Aquecimento Z18</t>
  </si>
  <si>
    <t>Aquecimento Z19</t>
  </si>
  <si>
    <t>Aquecimento Z20</t>
  </si>
  <si>
    <t>Aquecimento Z21</t>
  </si>
  <si>
    <t>Medida do Passo</t>
  </si>
  <si>
    <t>Velocidade do Passo</t>
  </si>
  <si>
    <t>Tempo de Vacuo</t>
  </si>
  <si>
    <t>Tempo de Resfriamento</t>
  </si>
  <si>
    <t>Tempo destacar</t>
  </si>
  <si>
    <t>Tempo Contra molde</t>
  </si>
  <si>
    <t>Tempo prensa corte</t>
  </si>
  <si>
    <t>Tempo de esteira saida</t>
  </si>
  <si>
    <t>Retardo de Passo</t>
  </si>
  <si>
    <t xml:space="preserve">Retardo de Mesa </t>
  </si>
  <si>
    <t>Retardo de Vacuo</t>
  </si>
  <si>
    <t>Retardo de resfriamento</t>
  </si>
  <si>
    <t>Retardo destacar</t>
  </si>
  <si>
    <t>Retardo Contra Molde</t>
  </si>
  <si>
    <t>Retardo Prensa Corte</t>
  </si>
  <si>
    <t>Retardo disco corte</t>
  </si>
  <si>
    <t>Retardo esteria saida</t>
  </si>
  <si>
    <t>Pressão Ar</t>
  </si>
  <si>
    <t>Vacuo</t>
  </si>
  <si>
    <t>Min. tolerance</t>
  </si>
  <si>
    <t>6,5</t>
  </si>
  <si>
    <t>Max. tolerance</t>
  </si>
  <si>
    <t>Unit</t>
  </si>
  <si>
    <t>°C</t>
  </si>
  <si>
    <t>mm</t>
  </si>
  <si>
    <t>%</t>
  </si>
  <si>
    <t>seg</t>
  </si>
  <si>
    <t>bar</t>
  </si>
  <si>
    <t>mm/Hg</t>
  </si>
  <si>
    <t>Mesures</t>
  </si>
  <si>
    <t>Material</t>
  </si>
  <si>
    <t>Espessura</t>
  </si>
  <si>
    <t>% Scrap</t>
  </si>
  <si>
    <t>Lote</t>
  </si>
  <si>
    <t>0,8</t>
  </si>
  <si>
    <t>0,1</t>
  </si>
  <si>
    <t>1,5</t>
  </si>
  <si>
    <t>9,5</t>
  </si>
  <si>
    <t>0,5</t>
  </si>
  <si>
    <t>0,9</t>
  </si>
  <si>
    <t>6,6</t>
  </si>
  <si>
    <t>31/08/2026</t>
  </si>
  <si>
    <t>22,00</t>
  </si>
  <si>
    <t>43,00</t>
  </si>
  <si>
    <t>245,00</t>
  </si>
  <si>
    <t>251,00</t>
  </si>
  <si>
    <t>248,00</t>
  </si>
  <si>
    <t>244,00</t>
  </si>
  <si>
    <t>240,00</t>
  </si>
  <si>
    <t>88,00</t>
  </si>
  <si>
    <t>93,00</t>
  </si>
  <si>
    <t>249,00</t>
  </si>
  <si>
    <t>259,00</t>
  </si>
  <si>
    <t>269,00</t>
  </si>
  <si>
    <t>265,00</t>
  </si>
  <si>
    <t>274,00</t>
  </si>
  <si>
    <t>76,00</t>
  </si>
  <si>
    <t>272,00</t>
  </si>
  <si>
    <t>309,00</t>
  </si>
  <si>
    <t>299,00</t>
  </si>
  <si>
    <t>415,00</t>
  </si>
  <si>
    <t>19,00</t>
  </si>
  <si>
    <t>95,00</t>
  </si>
  <si>
    <t>35,00</t>
  </si>
  <si>
    <t>100,00</t>
  </si>
  <si>
    <t>11,00</t>
  </si>
  <si>
    <t>30,00</t>
  </si>
  <si>
    <t>1,00</t>
  </si>
  <si>
    <t>0,10</t>
  </si>
  <si>
    <t>5,00</t>
  </si>
  <si>
    <t>4,00</t>
  </si>
  <si>
    <t>8,00</t>
  </si>
  <si>
    <t>0,50</t>
  </si>
  <si>
    <t>-300,00</t>
  </si>
  <si>
    <t>41,00</t>
  </si>
  <si>
    <t>235,00</t>
  </si>
  <si>
    <t>236,00</t>
  </si>
  <si>
    <t>234,00</t>
  </si>
  <si>
    <t>89,00</t>
  </si>
  <si>
    <t>98,00</t>
  </si>
  <si>
    <t>255,00</t>
  </si>
  <si>
    <t>264,00</t>
  </si>
  <si>
    <t>271,00</t>
  </si>
  <si>
    <t>270,00</t>
  </si>
  <si>
    <t>268,00</t>
  </si>
  <si>
    <t>79,00</t>
  </si>
  <si>
    <t>305,00</t>
  </si>
  <si>
    <t>303,00</t>
  </si>
  <si>
    <t>85,00</t>
  </si>
  <si>
    <t>0,90</t>
  </si>
  <si>
    <t>90,00</t>
  </si>
  <si>
    <t>1,50</t>
  </si>
  <si>
    <t>6,60</t>
  </si>
  <si>
    <t>-340,00</t>
  </si>
  <si>
    <t>Min. population</t>
  </si>
  <si>
    <t>Max. population</t>
  </si>
  <si>
    <t>Mean</t>
  </si>
  <si>
    <t>Standard deviation</t>
  </si>
  <si>
    <t>Cp</t>
  </si>
  <si>
    <t>Cpk</t>
  </si>
  <si>
    <t>Cpk validation</t>
  </si>
  <si>
    <t>Results</t>
  </si>
  <si>
    <t>Max. HT</t>
  </si>
  <si>
    <t>maxi</t>
  </si>
  <si>
    <t>IT</t>
  </si>
  <si>
    <t>mini</t>
  </si>
  <si>
    <t>Min. HT</t>
  </si>
  <si>
    <t xml:space="preserve">Result of Normality test : </t>
  </si>
  <si>
    <t>OK</t>
  </si>
  <si>
    <t>DO NOT TOUCH</t>
  </si>
  <si>
    <t>CLASSES</t>
  </si>
  <si>
    <t>No. per class</t>
  </si>
  <si>
    <t>Normality Test</t>
  </si>
  <si>
    <t xml:space="preserve">A²* = </t>
  </si>
  <si>
    <t xml:space="preserve">A² = </t>
  </si>
  <si>
    <t>Std Dev</t>
  </si>
  <si>
    <t>Nb lignes :</t>
  </si>
  <si>
    <t>With an Alpha risk of 5% :</t>
  </si>
  <si>
    <t>Number</t>
  </si>
  <si>
    <t>Data</t>
  </si>
  <si>
    <t>Zi</t>
  </si>
  <si>
    <t>Pci</t>
  </si>
  <si>
    <t>LN(PCI)</t>
  </si>
  <si>
    <t>PCn+1-i</t>
  </si>
  <si>
    <t>Ln(1-PCn+1-i)</t>
  </si>
  <si>
    <t>Terme i</t>
  </si>
  <si>
    <t>A carré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</si>
</sst>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"/>
    <numFmt numFmtId="165" formatCode="0.0000"/>
    <numFmt numFmtId="166" formatCode="0.00000000000000"/>
    <numFmt numFmtId="167" formatCode="0.0000000000"/>
    <numFmt numFmtId="168" formatCode="0.0"/>
    <numFmt numFmtId="169" formatCode="0.000000000000000"/>
    <numFmt numFmtId="170" formatCode="0.00000"/>
  </numFmts>
  <fonts count="30" x14ac:knownFonts="1">
    <font>
      <sz val="10"/>
      <color rgb="FF000000"/>
      <name val="Arial"/>
      <scheme val="minor"/>
    </font>
    <font>
      <sz val="16"/>
      <color theme="1"/>
      <name val="Poppins"/>
    </font>
    <font>
      <sz val="10"/>
      <name val="Arial"/>
    </font>
    <font>
      <sz val="22"/>
      <color rgb="FF333333"/>
      <name val="Poppins"/>
    </font>
    <font>
      <sz val="10"/>
      <color theme="1"/>
      <name val="Poppins"/>
    </font>
    <font>
      <sz val="10"/>
      <color theme="1"/>
      <name val="Arial"/>
    </font>
    <font>
      <b/>
      <sz val="14"/>
      <color rgb="FF808080"/>
      <name val="Poppins"/>
    </font>
    <font>
      <sz val="10"/>
      <color rgb="FF808080"/>
      <name val="Poppins"/>
    </font>
    <font>
      <b/>
      <sz val="10"/>
      <color rgb="FF0000FF"/>
      <name val="Arial"/>
    </font>
    <font>
      <b/>
      <sz val="14"/>
      <color theme="1"/>
      <name val="Arial"/>
    </font>
    <font>
      <sz val="12"/>
      <color theme="1"/>
      <name val="Poppins"/>
    </font>
    <font>
      <b/>
      <sz val="10"/>
      <color theme="1"/>
      <name val="Arial"/>
    </font>
    <font>
      <b/>
      <i/>
      <sz val="18"/>
      <color rgb="FF0000FF"/>
      <name val="Arial"/>
    </font>
    <font>
      <b/>
      <i/>
      <sz val="10"/>
      <color rgb="FF0000FF"/>
      <name val="Arial"/>
    </font>
    <font>
      <b/>
      <sz val="10"/>
      <color rgb="FFFF0000"/>
      <name val="Arial"/>
    </font>
    <font>
      <b/>
      <sz val="10"/>
      <color theme="1"/>
      <name val="Poppins"/>
    </font>
    <font>
      <sz val="6"/>
      <color theme="1"/>
      <name val="Poppins"/>
    </font>
    <font>
      <sz val="10"/>
      <color rgb="FFFF0000"/>
      <name val="Poppins"/>
    </font>
    <font>
      <sz val="10"/>
      <color rgb="FF99CC00"/>
      <name val="Poppins"/>
    </font>
    <font>
      <b/>
      <sz val="10"/>
      <color rgb="FF0066CC"/>
      <name val="Poppins"/>
    </font>
    <font>
      <sz val="8"/>
      <color theme="1"/>
      <name val="Arial Nova"/>
    </font>
    <font>
      <b/>
      <sz val="8"/>
      <color theme="1"/>
      <name val="Arial"/>
      <scheme val="minor"/>
    </font>
    <font>
      <sz val="8"/>
      <color rgb="FF000000"/>
      <name val="Arial Nova"/>
    </font>
    <font>
      <sz val="8"/>
      <color theme="1"/>
      <name val="Poppins"/>
    </font>
    <font>
      <sz val="8"/>
      <name val="Arial"/>
      <scheme val="minor"/>
    </font>
    <font>
      <sz val="8"/>
      <color theme="1"/>
      <name val="Arial"/>
      <family val="2"/>
      <scheme val="minor"/>
    </font>
    <font>
      <sz val="8"/>
      <color rgb="FF000000"/>
      <name val="Arial"/>
      <family val="2"/>
      <scheme val="minor"/>
    </font>
    <font>
      <sz val="8"/>
      <color theme="1"/>
      <name val="Arial Nova"/>
      <family val="2"/>
    </font>
    <font>
      <sz val="8"/>
      <color rgb="FF000000"/>
      <name val="Arial Nova"/>
      <family val="2"/>
    </font>
    <font>
      <sz val="10"/>
      <color rgb="FF000000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C0C0C0"/>
        <bgColor rgb="FFC0C0C0"/>
      </patternFill>
    </fill>
    <fill>
      <patternFill patternType="solid">
        <fgColor rgb="FFCCFFCC"/>
        <bgColor rgb="FFCCFFCC"/>
      </patternFill>
    </fill>
    <fill>
      <patternFill patternType="solid">
        <fgColor rgb="FFCCFFFF"/>
        <bgColor rgb="FFCCFFFF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/>
        <bgColor rgb="FFC0C0C0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rgb="FF808080"/>
      </bottom>
      <diagonal/>
    </border>
    <border>
      <left/>
      <right/>
      <top/>
      <bottom style="medium">
        <color rgb="FFA5A5A5"/>
      </bottom>
      <diagonal/>
    </border>
    <border>
      <left/>
      <right/>
      <top style="thick">
        <color rgb="FF80808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4" fillId="0" borderId="0" xfId="0" applyFont="1" applyAlignment="1">
      <alignment vertical="top"/>
    </xf>
    <xf numFmtId="0" fontId="3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8" fillId="0" borderId="4" xfId="0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0" fontId="9" fillId="0" borderId="0" xfId="0" applyFont="1" applyAlignment="1">
      <alignment horizontal="right"/>
    </xf>
    <xf numFmtId="165" fontId="5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  <xf numFmtId="0" fontId="4" fillId="3" borderId="4" xfId="0" applyFont="1" applyFill="1" applyBorder="1" applyAlignment="1">
      <alignment vertical="top"/>
    </xf>
    <xf numFmtId="0" fontId="4" fillId="3" borderId="4" xfId="0" applyFont="1" applyFill="1" applyBorder="1" applyAlignment="1">
      <alignment horizontal="center" vertical="top"/>
    </xf>
    <xf numFmtId="0" fontId="8" fillId="0" borderId="0" xfId="0" applyFont="1"/>
    <xf numFmtId="0" fontId="4" fillId="3" borderId="4" xfId="0" applyFont="1" applyFill="1" applyBorder="1" applyAlignment="1">
      <alignment horizontal="left" vertical="top"/>
    </xf>
    <xf numFmtId="0" fontId="11" fillId="0" borderId="0" xfId="0" applyFont="1" applyAlignment="1">
      <alignment horizontal="center"/>
    </xf>
    <xf numFmtId="2" fontId="4" fillId="0" borderId="4" xfId="0" applyNumberFormat="1" applyFont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11" fillId="0" borderId="0" xfId="0" applyFont="1" applyAlignment="1">
      <alignment horizontal="left" vertical="center"/>
    </xf>
    <xf numFmtId="0" fontId="4" fillId="0" borderId="0" xfId="0" applyFont="1" applyAlignment="1">
      <alignment horizontal="right" vertical="top"/>
    </xf>
    <xf numFmtId="0" fontId="11" fillId="0" borderId="0" xfId="0" applyFont="1"/>
    <xf numFmtId="0" fontId="4" fillId="2" borderId="9" xfId="0" applyFont="1" applyFill="1" applyBorder="1" applyAlignment="1">
      <alignment vertical="top"/>
    </xf>
    <xf numFmtId="0" fontId="6" fillId="2" borderId="9" xfId="0" applyFont="1" applyFill="1" applyBorder="1"/>
    <xf numFmtId="2" fontId="4" fillId="2" borderId="9" xfId="0" applyNumberFormat="1" applyFont="1" applyFill="1" applyBorder="1" applyAlignment="1">
      <alignment vertical="top"/>
    </xf>
    <xf numFmtId="167" fontId="5" fillId="0" borderId="0" xfId="0" applyNumberFormat="1" applyFont="1" applyAlignment="1">
      <alignment horizontal="center"/>
    </xf>
    <xf numFmtId="2" fontId="4" fillId="0" borderId="4" xfId="0" applyNumberFormat="1" applyFont="1" applyBorder="1" applyAlignment="1">
      <alignment vertical="top"/>
    </xf>
    <xf numFmtId="0" fontId="14" fillId="0" borderId="0" xfId="0" applyFont="1"/>
    <xf numFmtId="0" fontId="13" fillId="0" borderId="0" xfId="0" applyFont="1"/>
    <xf numFmtId="168" fontId="4" fillId="0" borderId="0" xfId="0" applyNumberFormat="1" applyFont="1" applyAlignment="1">
      <alignment vertical="top"/>
    </xf>
    <xf numFmtId="2" fontId="4" fillId="0" borderId="0" xfId="0" applyNumberFormat="1" applyFont="1" applyAlignment="1">
      <alignment vertical="top"/>
    </xf>
    <xf numFmtId="2" fontId="4" fillId="5" borderId="4" xfId="0" applyNumberFormat="1" applyFont="1" applyFill="1" applyBorder="1" applyAlignment="1">
      <alignment vertical="top"/>
    </xf>
    <xf numFmtId="169" fontId="5" fillId="0" borderId="0" xfId="0" applyNumberFormat="1" applyFont="1"/>
    <xf numFmtId="2" fontId="15" fillId="5" borderId="4" xfId="0" applyNumberFormat="1" applyFont="1" applyFill="1" applyBorder="1" applyAlignment="1">
      <alignment vertical="top"/>
    </xf>
    <xf numFmtId="0" fontId="15" fillId="0" borderId="0" xfId="0" applyFont="1" applyAlignment="1">
      <alignment vertical="top"/>
    </xf>
    <xf numFmtId="2" fontId="4" fillId="0" borderId="4" xfId="0" applyNumberFormat="1" applyFont="1" applyBorder="1" applyAlignment="1">
      <alignment horizontal="center" vertical="top"/>
    </xf>
    <xf numFmtId="2" fontId="16" fillId="2" borderId="9" xfId="0" applyNumberFormat="1" applyFont="1" applyFill="1" applyBorder="1"/>
    <xf numFmtId="0" fontId="17" fillId="0" borderId="10" xfId="0" applyFont="1" applyBorder="1" applyAlignment="1">
      <alignment vertical="top"/>
    </xf>
    <xf numFmtId="2" fontId="16" fillId="0" borderId="0" xfId="0" applyNumberFormat="1" applyFont="1"/>
    <xf numFmtId="0" fontId="18" fillId="0" borderId="10" xfId="0" applyFont="1" applyBorder="1" applyAlignment="1">
      <alignment vertical="top"/>
    </xf>
    <xf numFmtId="0" fontId="16" fillId="3" borderId="11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0" fontId="18" fillId="0" borderId="12" xfId="0" applyFont="1" applyBorder="1" applyAlignment="1">
      <alignment vertical="top"/>
    </xf>
    <xf numFmtId="0" fontId="17" fillId="0" borderId="12" xfId="0" applyFont="1" applyBorder="1" applyAlignment="1">
      <alignment vertical="top"/>
    </xf>
    <xf numFmtId="0" fontId="4" fillId="2" borderId="13" xfId="0" applyFont="1" applyFill="1" applyBorder="1" applyAlignment="1">
      <alignment vertical="top"/>
    </xf>
    <xf numFmtId="0" fontId="0" fillId="7" borderId="0" xfId="0" applyFill="1"/>
    <xf numFmtId="0" fontId="4" fillId="3" borderId="16" xfId="0" applyFont="1" applyFill="1" applyBorder="1" applyAlignment="1">
      <alignment vertical="top"/>
    </xf>
    <xf numFmtId="14" fontId="4" fillId="3" borderId="16" xfId="0" applyNumberFormat="1" applyFont="1" applyFill="1" applyBorder="1" applyAlignment="1">
      <alignment vertical="top"/>
    </xf>
    <xf numFmtId="0" fontId="4" fillId="3" borderId="17" xfId="0" applyFont="1" applyFill="1" applyBorder="1" applyAlignment="1">
      <alignment horizontal="center" vertical="top"/>
    </xf>
    <xf numFmtId="2" fontId="4" fillId="0" borderId="17" xfId="0" applyNumberFormat="1" applyFont="1" applyBorder="1" applyAlignment="1">
      <alignment vertical="top"/>
    </xf>
    <xf numFmtId="0" fontId="4" fillId="8" borderId="15" xfId="0" applyFont="1" applyFill="1" applyBorder="1" applyAlignment="1">
      <alignment vertical="top"/>
    </xf>
    <xf numFmtId="0" fontId="4" fillId="2" borderId="5" xfId="0" applyFont="1" applyFill="1" applyBorder="1" applyAlignment="1">
      <alignment horizontal="center" vertical="top"/>
    </xf>
    <xf numFmtId="0" fontId="7" fillId="2" borderId="5" xfId="0" applyFont="1" applyFill="1" applyBorder="1" applyAlignment="1">
      <alignment horizontal="left" vertical="top"/>
    </xf>
    <xf numFmtId="0" fontId="4" fillId="3" borderId="5" xfId="0" applyFont="1" applyFill="1" applyBorder="1" applyAlignment="1">
      <alignment vertical="top"/>
    </xf>
    <xf numFmtId="0" fontId="4" fillId="2" borderId="5" xfId="0" applyFont="1" applyFill="1" applyBorder="1" applyAlignment="1">
      <alignment vertical="top"/>
    </xf>
    <xf numFmtId="0" fontId="4" fillId="3" borderId="5" xfId="0" applyFont="1" applyFill="1" applyBorder="1" applyAlignment="1">
      <alignment horizontal="center" vertical="top"/>
    </xf>
    <xf numFmtId="0" fontId="16" fillId="3" borderId="5" xfId="0" applyFont="1" applyFill="1" applyBorder="1" applyAlignment="1">
      <alignment horizontal="right"/>
    </xf>
    <xf numFmtId="0" fontId="4" fillId="3" borderId="5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right" vertical="top"/>
    </xf>
    <xf numFmtId="0" fontId="4" fillId="3" borderId="15" xfId="0" applyFont="1" applyFill="1" applyBorder="1" applyAlignment="1">
      <alignment vertical="top"/>
    </xf>
    <xf numFmtId="14" fontId="4" fillId="3" borderId="15" xfId="0" applyNumberFormat="1" applyFont="1" applyFill="1" applyBorder="1" applyAlignment="1">
      <alignment vertical="top"/>
    </xf>
    <xf numFmtId="0" fontId="4" fillId="9" borderId="5" xfId="0" applyFont="1" applyFill="1" applyBorder="1" applyAlignment="1">
      <alignment vertical="top"/>
    </xf>
    <xf numFmtId="0" fontId="4" fillId="9" borderId="5" xfId="0" applyFont="1" applyFill="1" applyBorder="1" applyAlignment="1">
      <alignment horizontal="left" vertical="top"/>
    </xf>
    <xf numFmtId="0" fontId="6" fillId="2" borderId="5" xfId="0" applyFont="1" applyFill="1" applyBorder="1"/>
    <xf numFmtId="0" fontId="4" fillId="2" borderId="5" xfId="0" applyFont="1" applyFill="1" applyBorder="1" applyAlignment="1">
      <alignment horizontal="right" vertical="top"/>
    </xf>
    <xf numFmtId="2" fontId="4" fillId="2" borderId="5" xfId="0" applyNumberFormat="1" applyFont="1" applyFill="1" applyBorder="1" applyAlignment="1">
      <alignment vertical="top"/>
    </xf>
    <xf numFmtId="2" fontId="16" fillId="2" borderId="5" xfId="0" applyNumberFormat="1" applyFont="1" applyFill="1" applyBorder="1"/>
    <xf numFmtId="0" fontId="4" fillId="3" borderId="10" xfId="0" applyFont="1" applyFill="1" applyBorder="1" applyAlignment="1">
      <alignment horizontal="center" vertical="top"/>
    </xf>
    <xf numFmtId="0" fontId="16" fillId="3" borderId="12" xfId="0" applyFont="1" applyFill="1" applyBorder="1" applyAlignment="1">
      <alignment horizontal="right"/>
    </xf>
    <xf numFmtId="0" fontId="17" fillId="0" borderId="11" xfId="0" applyFont="1" applyBorder="1" applyAlignment="1">
      <alignment vertical="top"/>
    </xf>
    <xf numFmtId="0" fontId="16" fillId="3" borderId="10" xfId="0" applyFont="1" applyFill="1" applyBorder="1" applyAlignment="1">
      <alignment horizontal="right"/>
    </xf>
    <xf numFmtId="0" fontId="18" fillId="0" borderId="11" xfId="0" applyFont="1" applyBorder="1" applyAlignment="1">
      <alignment vertical="top"/>
    </xf>
    <xf numFmtId="0" fontId="4" fillId="3" borderId="10" xfId="0" applyFont="1" applyFill="1" applyBorder="1" applyAlignment="1">
      <alignment vertical="top"/>
    </xf>
    <xf numFmtId="0" fontId="4" fillId="3" borderId="12" xfId="0" applyFont="1" applyFill="1" applyBorder="1" applyAlignment="1">
      <alignment horizontal="center" vertical="top"/>
    </xf>
    <xf numFmtId="0" fontId="4" fillId="6" borderId="5" xfId="0" applyFont="1" applyFill="1" applyBorder="1" applyAlignment="1">
      <alignment vertical="top"/>
    </xf>
    <xf numFmtId="2" fontId="4" fillId="3" borderId="5" xfId="0" applyNumberFormat="1" applyFont="1" applyFill="1" applyBorder="1" applyAlignment="1">
      <alignment vertical="top"/>
    </xf>
    <xf numFmtId="2" fontId="4" fillId="6" borderId="5" xfId="0" applyNumberFormat="1" applyFont="1" applyFill="1" applyBorder="1" applyAlignment="1">
      <alignment vertical="top"/>
    </xf>
    <xf numFmtId="14" fontId="4" fillId="3" borderId="18" xfId="0" applyNumberFormat="1" applyFont="1" applyFill="1" applyBorder="1" applyAlignment="1">
      <alignment vertical="top"/>
    </xf>
    <xf numFmtId="14" fontId="4" fillId="3" borderId="19" xfId="0" applyNumberFormat="1" applyFont="1" applyFill="1" applyBorder="1" applyAlignment="1">
      <alignment vertical="top"/>
    </xf>
    <xf numFmtId="0" fontId="4" fillId="8" borderId="20" xfId="0" applyFont="1" applyFill="1" applyBorder="1" applyAlignment="1">
      <alignment vertical="top"/>
    </xf>
    <xf numFmtId="2" fontId="20" fillId="0" borderId="17" xfId="0" applyNumberFormat="1" applyFont="1" applyBorder="1" applyAlignment="1">
      <alignment vertical="top"/>
    </xf>
    <xf numFmtId="0" fontId="20" fillId="0" borderId="0" xfId="0" applyFont="1" applyAlignment="1">
      <alignment vertical="top"/>
    </xf>
    <xf numFmtId="2" fontId="21" fillId="0" borderId="4" xfId="0" applyNumberFormat="1" applyFont="1" applyBorder="1" applyAlignment="1">
      <alignment vertical="top"/>
    </xf>
    <xf numFmtId="2" fontId="20" fillId="0" borderId="4" xfId="0" applyNumberFormat="1" applyFont="1" applyBorder="1" applyAlignment="1">
      <alignment vertical="top"/>
    </xf>
    <xf numFmtId="0" fontId="22" fillId="0" borderId="0" xfId="0" applyFont="1"/>
    <xf numFmtId="2" fontId="20" fillId="0" borderId="4" xfId="0" applyNumberFormat="1" applyFont="1" applyBorder="1" applyAlignment="1">
      <alignment horizontal="right" vertical="top"/>
    </xf>
    <xf numFmtId="0" fontId="22" fillId="0" borderId="0" xfId="0" applyFont="1" applyAlignment="1">
      <alignment horizontal="right"/>
    </xf>
    <xf numFmtId="2" fontId="20" fillId="7" borderId="4" xfId="0" applyNumberFormat="1" applyFont="1" applyFill="1" applyBorder="1" applyAlignment="1">
      <alignment vertical="top"/>
    </xf>
    <xf numFmtId="0" fontId="23" fillId="0" borderId="0" xfId="0" applyFont="1" applyAlignment="1">
      <alignment vertical="top"/>
    </xf>
    <xf numFmtId="0" fontId="23" fillId="0" borderId="0" xfId="0" applyFont="1" applyAlignment="1">
      <alignment horizontal="right" vertical="top"/>
    </xf>
    <xf numFmtId="0" fontId="0" fillId="0" borderId="0" xfId="0" applyAlignment="1">
      <alignment horizontal="center"/>
    </xf>
    <xf numFmtId="14" fontId="4" fillId="3" borderId="16" xfId="0" applyNumberFormat="1" applyFont="1" applyFill="1" applyBorder="1" applyAlignment="1">
      <alignment horizontal="right" vertical="top" indent="1"/>
    </xf>
    <xf numFmtId="14" fontId="4" fillId="3" borderId="10" xfId="0" applyNumberFormat="1" applyFont="1" applyFill="1" applyBorder="1" applyAlignment="1">
      <alignment horizontal="center" vertical="center"/>
    </xf>
    <xf numFmtId="2" fontId="23" fillId="0" borderId="17" xfId="0" applyNumberFormat="1" applyFont="1" applyBorder="1" applyAlignment="1">
      <alignment vertical="top"/>
    </xf>
    <xf numFmtId="2" fontId="25" fillId="0" borderId="4" xfId="0" applyNumberFormat="1" applyFont="1" applyBorder="1" applyAlignment="1">
      <alignment vertical="top"/>
    </xf>
    <xf numFmtId="2" fontId="23" fillId="0" borderId="4" xfId="0" applyNumberFormat="1" applyFont="1" applyBorder="1" applyAlignment="1">
      <alignment vertical="top"/>
    </xf>
    <xf numFmtId="0" fontId="26" fillId="0" borderId="0" xfId="0" applyFont="1"/>
    <xf numFmtId="2" fontId="23" fillId="0" borderId="4" xfId="0" applyNumberFormat="1" applyFont="1" applyBorder="1" applyAlignment="1">
      <alignment horizontal="right" vertical="top"/>
    </xf>
    <xf numFmtId="0" fontId="26" fillId="0" borderId="0" xfId="0" applyFont="1" applyAlignment="1">
      <alignment horizontal="right"/>
    </xf>
    <xf numFmtId="2" fontId="27" fillId="0" borderId="4" xfId="0" applyNumberFormat="1" applyFont="1" applyBorder="1" applyAlignment="1">
      <alignment horizontal="right" vertical="top"/>
    </xf>
    <xf numFmtId="0" fontId="28" fillId="0" borderId="0" xfId="0" applyFont="1" applyAlignment="1">
      <alignment horizontal="right"/>
    </xf>
    <xf numFmtId="0" fontId="29" fillId="0" borderId="0" xfId="0" applyFont="1"/>
    <xf numFmtId="2" fontId="27" fillId="0" borderId="17" xfId="0" applyNumberFormat="1" applyFont="1" applyBorder="1" applyAlignment="1">
      <alignment vertical="top"/>
    </xf>
    <xf numFmtId="0" fontId="27" fillId="0" borderId="0" xfId="0" applyFont="1" applyAlignment="1">
      <alignment vertical="top"/>
    </xf>
    <xf numFmtId="2" fontId="27" fillId="0" borderId="4" xfId="0" applyNumberFormat="1" applyFont="1" applyBorder="1" applyAlignment="1">
      <alignment vertical="top"/>
    </xf>
    <xf numFmtId="0" fontId="28" fillId="0" borderId="0" xfId="0" applyFont="1"/>
    <xf numFmtId="2" fontId="27" fillId="0" borderId="17" xfId="0" applyNumberFormat="1" applyFont="1" applyBorder="1" applyAlignment="1">
      <alignment horizontal="right" vertical="top"/>
    </xf>
    <xf numFmtId="0" fontId="27" fillId="0" borderId="0" xfId="0" applyFont="1" applyAlignment="1">
      <alignment horizontal="right" vertical="top"/>
    </xf>
    <xf numFmtId="2" fontId="25" fillId="0" borderId="4" xfId="0" applyNumberFormat="1" applyFont="1" applyBorder="1" applyAlignment="1">
      <alignment horizontal="right" vertical="top"/>
    </xf>
    <xf numFmtId="0" fontId="29" fillId="0" borderId="0" xfId="0" applyFont="1" applyAlignment="1">
      <alignment horizontal="right"/>
    </xf>
    <xf numFmtId="2" fontId="27" fillId="10" borderId="4" xfId="0" applyNumberFormat="1" applyFont="1" applyFill="1" applyBorder="1" applyAlignment="1">
      <alignment horizontal="right" vertical="top"/>
    </xf>
    <xf numFmtId="2" fontId="23" fillId="0" borderId="17" xfId="0" applyNumberFormat="1" applyFont="1" applyBorder="1" applyAlignment="1">
      <alignment horizontal="right" vertical="top"/>
    </xf>
    <xf numFmtId="168" fontId="27" fillId="0" borderId="4" xfId="0" applyNumberFormat="1" applyFont="1" applyBorder="1" applyAlignment="1">
      <alignment horizontal="right" vertical="top"/>
    </xf>
    <xf numFmtId="2" fontId="27" fillId="7" borderId="4" xfId="0" applyNumberFormat="1" applyFont="1" applyFill="1" applyBorder="1" applyAlignment="1">
      <alignment horizontal="right" vertical="top"/>
    </xf>
    <xf numFmtId="0" fontId="27" fillId="7" borderId="0" xfId="0" applyFont="1" applyFill="1" applyAlignment="1">
      <alignment horizontal="right" vertical="top"/>
    </xf>
    <xf numFmtId="2" fontId="27" fillId="11" borderId="4" xfId="0" applyNumberFormat="1" applyFont="1" applyFill="1" applyBorder="1" applyAlignment="1">
      <alignment horizontal="right" vertical="top"/>
    </xf>
    <xf numFmtId="2" fontId="27" fillId="12" borderId="4" xfId="0" applyNumberFormat="1" applyFont="1" applyFill="1" applyBorder="1" applyAlignment="1">
      <alignment horizontal="right" vertical="top"/>
    </xf>
    <xf numFmtId="170" fontId="27" fillId="0" borderId="4" xfId="0" applyNumberFormat="1" applyFont="1" applyBorder="1" applyAlignment="1">
      <alignment horizontal="right" vertical="top"/>
    </xf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4" fillId="0" borderId="3" xfId="0" applyFont="1" applyBorder="1" applyAlignment="1">
      <alignment horizontal="center" vertical="top"/>
    </xf>
    <xf numFmtId="0" fontId="2" fillId="0" borderId="3" xfId="0" applyFont="1" applyBorder="1"/>
    <xf numFmtId="14" fontId="4" fillId="2" borderId="5" xfId="0" applyNumberFormat="1" applyFont="1" applyFill="1" applyBorder="1" applyAlignment="1">
      <alignment horizontal="left" vertical="top"/>
    </xf>
    <xf numFmtId="0" fontId="2" fillId="0" borderId="5" xfId="0" applyFont="1" applyBorder="1"/>
    <xf numFmtId="0" fontId="4" fillId="2" borderId="5" xfId="0" applyFont="1" applyFill="1" applyBorder="1" applyAlignment="1">
      <alignment horizontal="left" vertical="top"/>
    </xf>
    <xf numFmtId="0" fontId="2" fillId="7" borderId="5" xfId="0" applyFont="1" applyFill="1" applyBorder="1"/>
    <xf numFmtId="0" fontId="19" fillId="2" borderId="5" xfId="0" applyFont="1" applyFill="1" applyBorder="1" applyAlignment="1">
      <alignment horizontal="center" vertical="top"/>
    </xf>
    <xf numFmtId="0" fontId="2" fillId="0" borderId="14" xfId="0" applyFont="1" applyBorder="1"/>
    <xf numFmtId="0" fontId="4" fillId="2" borderId="6" xfId="0" applyFont="1" applyFill="1" applyBorder="1" applyAlignment="1">
      <alignment horizontal="center" vertical="top"/>
    </xf>
    <xf numFmtId="0" fontId="2" fillId="0" borderId="7" xfId="0" applyFont="1" applyBorder="1"/>
    <xf numFmtId="0" fontId="2" fillId="0" borderId="8" xfId="0" applyFont="1" applyBorder="1"/>
    <xf numFmtId="0" fontId="7" fillId="2" borderId="5" xfId="0" applyFont="1" applyFill="1" applyBorder="1" applyAlignment="1">
      <alignment horizontal="center" vertical="top"/>
    </xf>
    <xf numFmtId="2" fontId="10" fillId="2" borderId="5" xfId="0" applyNumberFormat="1" applyFont="1" applyFill="1" applyBorder="1" applyAlignment="1">
      <alignment horizontal="left" vertical="top"/>
    </xf>
    <xf numFmtId="14" fontId="4" fillId="3" borderId="10" xfId="0" applyNumberFormat="1" applyFont="1" applyFill="1" applyBorder="1" applyAlignment="1">
      <alignment horizontal="center" vertical="center"/>
    </xf>
    <xf numFmtId="14" fontId="4" fillId="3" borderId="12" xfId="0" applyNumberFormat="1" applyFont="1" applyFill="1" applyBorder="1" applyAlignment="1">
      <alignment horizontal="center" vertical="center"/>
    </xf>
    <xf numFmtId="14" fontId="4" fillId="3" borderId="21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/>
    </xf>
    <xf numFmtId="0" fontId="2" fillId="0" borderId="2" xfId="0" applyFont="1" applyBorder="1"/>
    <xf numFmtId="0" fontId="12" fillId="4" borderId="6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145">
    <dxf>
      <fill>
        <patternFill patternType="solid">
          <fgColor rgb="FFFF0000"/>
          <bgColor rgb="FFFF0000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19050</xdr:colOff>
      <xdr:row>7</xdr:row>
      <xdr:rowOff>95250</xdr:rowOff>
    </xdr:from>
    <xdr:ext cx="333375" cy="3143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5179313" y="3627600"/>
          <a:ext cx="333375" cy="304800"/>
        </a:xfrm>
        <a:prstGeom prst="ellipse">
          <a:avLst/>
        </a:pr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18275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  1</a:t>
          </a:r>
          <a:endParaRPr sz="1400"/>
        </a:p>
      </xdr:txBody>
    </xdr:sp>
    <xdr:clientData fLocksWithSheet="0"/>
  </xdr:oneCellAnchor>
  <xdr:oneCellAnchor>
    <xdr:from>
      <xdr:col>4</xdr:col>
      <xdr:colOff>914400</xdr:colOff>
      <xdr:row>3</xdr:row>
      <xdr:rowOff>28575</xdr:rowOff>
    </xdr:from>
    <xdr:ext cx="523875" cy="3048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5088825" y="3627600"/>
          <a:ext cx="514350" cy="304800"/>
        </a:xfrm>
        <a:prstGeom prst="ellipse">
          <a:avLst/>
        </a:pr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18275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  2</a:t>
          </a:r>
          <a:endParaRPr sz="1400"/>
        </a:p>
      </xdr:txBody>
    </xdr:sp>
    <xdr:clientData fLocksWithSheet="0"/>
  </xdr:oneCellAnchor>
  <xdr:oneCellAnchor>
    <xdr:from>
      <xdr:col>3</xdr:col>
      <xdr:colOff>0</xdr:colOff>
      <xdr:row>3</xdr:row>
      <xdr:rowOff>142875</xdr:rowOff>
    </xdr:from>
    <xdr:ext cx="1628775" cy="33337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1001"/>
  <sheetViews>
    <sheetView showGridLines="0" tabSelected="1" topLeftCell="A55" zoomScale="115" zoomScaleNormal="115" workbookViewId="0">
      <selection activeCell="H75" sqref="H75"/>
    </sheetView>
  </sheetViews>
  <sheetFormatPr defaultColWidth="12.5703125" defaultRowHeight="15" customHeight="1" x14ac:dyDescent="0.2"/>
  <cols>
    <col min="1" max="1" width="14.5703125" customWidth="1"/>
    <col min="2" max="2" width="31" customWidth="1"/>
    <col min="3" max="4" width="15.140625" customWidth="1"/>
    <col min="5" max="5" width="20.5703125" customWidth="1"/>
    <col min="6" max="6" width="15.28515625" customWidth="1"/>
    <col min="7" max="7" width="1.28515625" customWidth="1"/>
    <col min="8" max="8" width="18.5703125" customWidth="1"/>
    <col min="9" max="9" width="1.5703125" customWidth="1"/>
    <col min="10" max="10" width="15.28515625" customWidth="1"/>
    <col min="11" max="11" width="1.42578125" customWidth="1"/>
    <col min="12" max="12" width="15.28515625" customWidth="1"/>
    <col min="13" max="13" width="1.42578125" customWidth="1"/>
    <col min="14" max="14" width="15.28515625" customWidth="1"/>
    <col min="15" max="15" width="1.140625" customWidth="1"/>
    <col min="16" max="16" width="15.28515625" customWidth="1"/>
    <col min="17" max="17" width="1.28515625" customWidth="1"/>
    <col min="18" max="18" width="15.28515625" customWidth="1"/>
    <col min="19" max="19" width="1.7109375" customWidth="1"/>
    <col min="20" max="20" width="15.28515625" customWidth="1"/>
    <col min="21" max="21" width="1.5703125" customWidth="1"/>
    <col min="22" max="22" width="15.28515625" customWidth="1"/>
    <col min="23" max="23" width="1.42578125" customWidth="1"/>
    <col min="24" max="24" width="15.28515625" customWidth="1"/>
    <col min="25" max="25" width="1.28515625" customWidth="1"/>
    <col min="26" max="26" width="15.28515625" customWidth="1"/>
    <col min="27" max="27" width="1.42578125" customWidth="1"/>
    <col min="28" max="28" width="15.28515625" customWidth="1"/>
    <col min="29" max="29" width="2" customWidth="1"/>
    <col min="30" max="30" width="15.28515625" customWidth="1"/>
    <col min="31" max="31" width="1.7109375" customWidth="1"/>
    <col min="32" max="32" width="15.28515625" customWidth="1"/>
    <col min="33" max="33" width="2" customWidth="1"/>
    <col min="34" max="34" width="15.28515625" customWidth="1"/>
    <col min="35" max="35" width="2" customWidth="1"/>
    <col min="36" max="36" width="15.28515625" customWidth="1"/>
    <col min="37" max="37" width="2.140625" customWidth="1"/>
    <col min="38" max="38" width="15.28515625" customWidth="1"/>
    <col min="39" max="39" width="3.140625" customWidth="1"/>
    <col min="40" max="40" width="15.28515625" customWidth="1"/>
    <col min="41" max="41" width="2.42578125" customWidth="1"/>
    <col min="42" max="42" width="15.28515625" customWidth="1"/>
    <col min="43" max="43" width="2.140625" customWidth="1"/>
    <col min="44" max="44" width="15.28515625" customWidth="1"/>
    <col min="45" max="45" width="2.42578125" customWidth="1"/>
    <col min="46" max="46" width="15.28515625" customWidth="1"/>
    <col min="47" max="47" width="1.85546875" customWidth="1"/>
    <col min="48" max="48" width="15.28515625" customWidth="1"/>
    <col min="49" max="49" width="1.140625" customWidth="1"/>
    <col min="50" max="50" width="15.28515625" customWidth="1"/>
    <col min="51" max="51" width="2.140625" customWidth="1"/>
    <col min="52" max="52" width="15.28515625" customWidth="1"/>
    <col min="53" max="53" width="1.5703125" customWidth="1"/>
    <col min="54" max="54" width="15.28515625" customWidth="1"/>
    <col min="55" max="55" width="1.42578125" customWidth="1"/>
    <col min="56" max="56" width="17" customWidth="1"/>
    <col min="57" max="57" width="1.85546875" customWidth="1"/>
    <col min="58" max="58" width="15.28515625" customWidth="1"/>
    <col min="59" max="59" width="1.42578125" customWidth="1"/>
    <col min="60" max="60" width="15.28515625" customWidth="1"/>
    <col min="61" max="61" width="1.5703125" customWidth="1"/>
    <col min="62" max="62" width="15.28515625" customWidth="1"/>
    <col min="63" max="63" width="1.5703125" customWidth="1"/>
    <col min="64" max="64" width="15.28515625" customWidth="1"/>
    <col min="65" max="65" width="2" customWidth="1"/>
    <col min="66" max="66" width="15.28515625" customWidth="1"/>
    <col min="67" max="67" width="1.5703125" customWidth="1"/>
    <col min="68" max="68" width="15.28515625" customWidth="1"/>
    <col min="69" max="69" width="1.28515625" customWidth="1"/>
    <col min="70" max="70" width="15.28515625" customWidth="1"/>
    <col min="71" max="71" width="1.42578125" customWidth="1"/>
    <col min="72" max="72" width="15.28515625" customWidth="1"/>
    <col min="73" max="73" width="1.140625" customWidth="1"/>
    <col min="74" max="74" width="15.28515625" customWidth="1"/>
    <col min="75" max="75" width="2.140625" customWidth="1"/>
    <col min="76" max="76" width="15.28515625" customWidth="1"/>
    <col min="77" max="77" width="3.140625" customWidth="1"/>
    <col min="78" max="78" width="15.28515625" customWidth="1"/>
    <col min="79" max="79" width="2.140625" customWidth="1"/>
    <col min="80" max="80" width="15.28515625" customWidth="1"/>
    <col min="81" max="81" width="1.5703125" customWidth="1"/>
    <col min="82" max="82" width="15.28515625" customWidth="1"/>
    <col min="83" max="83" width="1.85546875" customWidth="1"/>
    <col min="85" max="85" width="2.85546875" customWidth="1"/>
    <col min="87" max="87" width="2.42578125" customWidth="1"/>
  </cols>
  <sheetData>
    <row r="1" spans="1:86" ht="42" customHeight="1" thickBot="1" x14ac:dyDescent="0.9">
      <c r="A1" s="116" t="s">
        <v>0</v>
      </c>
      <c r="B1" s="116"/>
      <c r="C1" s="116"/>
      <c r="D1" s="116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"/>
      <c r="Z1" s="1"/>
      <c r="AA1" s="1"/>
      <c r="AB1" s="1"/>
      <c r="AC1" s="1"/>
    </row>
    <row r="2" spans="1:86" ht="14.25" customHeight="1" thickTop="1" x14ac:dyDescent="0.2">
      <c r="A2" s="118"/>
      <c r="B2" s="118"/>
      <c r="C2" s="118"/>
      <c r="D2" s="118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"/>
      <c r="Z2" s="1"/>
      <c r="AA2" s="1"/>
      <c r="AB2" s="1"/>
      <c r="AC2" s="1"/>
    </row>
    <row r="3" spans="1:86" ht="27.75" customHeight="1" x14ac:dyDescent="0.8">
      <c r="A3" s="49"/>
      <c r="B3" s="49"/>
      <c r="C3" s="49"/>
      <c r="D3" s="49"/>
      <c r="E3" s="49"/>
      <c r="F3" s="61" t="s">
        <v>1</v>
      </c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52"/>
      <c r="Z3" s="49"/>
      <c r="AA3" s="52"/>
      <c r="AB3" s="49"/>
      <c r="AC3" s="52"/>
      <c r="AD3" s="49"/>
      <c r="AF3" s="49"/>
      <c r="AH3" s="49"/>
      <c r="AJ3" s="49"/>
      <c r="AL3" s="49"/>
      <c r="AN3" s="49"/>
      <c r="AP3" s="49"/>
      <c r="AR3" s="49"/>
      <c r="AT3" s="49"/>
      <c r="AV3" s="49"/>
      <c r="AX3" s="49"/>
      <c r="AZ3" s="49"/>
      <c r="BB3" s="49"/>
      <c r="BD3" s="49"/>
      <c r="BF3" s="49"/>
      <c r="BH3" s="49"/>
      <c r="BJ3" s="49"/>
      <c r="BL3" s="49"/>
      <c r="BN3" s="49"/>
      <c r="BP3" s="49"/>
      <c r="BR3" s="49"/>
      <c r="BT3" s="49"/>
      <c r="BV3" s="49"/>
      <c r="BX3" s="49"/>
      <c r="BZ3" s="49"/>
      <c r="CB3" s="49"/>
      <c r="CD3" s="49"/>
      <c r="CF3" s="49"/>
      <c r="CH3" s="49"/>
    </row>
    <row r="4" spans="1:86" ht="21" customHeight="1" x14ac:dyDescent="0.2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52"/>
      <c r="Z4" s="49"/>
      <c r="AA4" s="52"/>
      <c r="AB4" s="49"/>
      <c r="AC4" s="52"/>
      <c r="AD4" s="49"/>
      <c r="AF4" s="49"/>
      <c r="AH4" s="49"/>
      <c r="AJ4" s="49"/>
      <c r="AL4" s="49"/>
      <c r="AN4" s="49"/>
      <c r="AP4" s="49"/>
      <c r="AR4" s="49"/>
      <c r="AT4" s="49"/>
      <c r="AV4" s="49"/>
      <c r="AX4" s="49"/>
      <c r="AZ4" s="49"/>
      <c r="BB4" s="49"/>
      <c r="BD4" s="49"/>
      <c r="BF4" s="49"/>
      <c r="BH4" s="49"/>
      <c r="BJ4" s="49"/>
      <c r="BL4" s="49"/>
      <c r="BN4" s="49"/>
      <c r="BP4" s="49"/>
      <c r="BR4" s="49"/>
      <c r="BT4" s="49"/>
      <c r="BV4" s="49"/>
      <c r="BX4" s="49"/>
      <c r="BZ4" s="49"/>
      <c r="CB4" s="49"/>
      <c r="CD4" s="49"/>
      <c r="CF4" s="49"/>
      <c r="CH4" s="49"/>
    </row>
    <row r="5" spans="1:86" ht="16.5" customHeight="1" x14ac:dyDescent="0.2">
      <c r="A5" s="50" t="s">
        <v>2</v>
      </c>
      <c r="B5" s="50"/>
      <c r="C5" s="50"/>
      <c r="D5" s="50"/>
      <c r="E5" s="120">
        <v>46259</v>
      </c>
      <c r="F5" s="121"/>
      <c r="G5" s="121"/>
      <c r="H5" s="50" t="s">
        <v>3</v>
      </c>
      <c r="I5" s="122" t="s">
        <v>4</v>
      </c>
      <c r="J5" s="121"/>
      <c r="K5" s="121"/>
      <c r="L5" s="121"/>
      <c r="M5" s="121"/>
      <c r="N5" s="50" t="s">
        <v>5</v>
      </c>
      <c r="O5" s="122" t="s">
        <v>6</v>
      </c>
      <c r="P5" s="121"/>
      <c r="Q5" s="121"/>
      <c r="R5" s="121"/>
      <c r="S5" s="121"/>
      <c r="T5" s="50" t="s">
        <v>7</v>
      </c>
      <c r="U5" s="120"/>
      <c r="V5" s="123"/>
      <c r="W5" s="123"/>
      <c r="X5" s="123"/>
      <c r="Y5" s="52"/>
      <c r="Z5" s="52"/>
      <c r="AA5" s="52"/>
      <c r="AB5" s="52"/>
      <c r="AC5" s="52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3"/>
      <c r="BR5" s="43"/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F5" s="43"/>
      <c r="CH5" s="43"/>
    </row>
    <row r="6" spans="1:86" ht="16.5" customHeight="1" x14ac:dyDescent="0.2">
      <c r="A6" s="50" t="s">
        <v>8</v>
      </c>
      <c r="B6" s="50"/>
      <c r="C6" s="50"/>
      <c r="D6" s="50"/>
      <c r="E6" s="122"/>
      <c r="F6" s="121"/>
      <c r="G6" s="121"/>
      <c r="H6" s="50" t="s">
        <v>9</v>
      </c>
      <c r="I6" s="122"/>
      <c r="J6" s="121"/>
      <c r="K6" s="121"/>
      <c r="L6" s="121"/>
      <c r="M6" s="121"/>
      <c r="N6" s="50"/>
      <c r="O6" s="122"/>
      <c r="P6" s="121"/>
      <c r="Q6" s="121"/>
      <c r="R6" s="121"/>
      <c r="S6" s="121"/>
      <c r="T6" s="50" t="s">
        <v>10</v>
      </c>
      <c r="U6" s="130">
        <v>1.33</v>
      </c>
      <c r="V6" s="121"/>
      <c r="W6" s="121"/>
      <c r="X6" s="121"/>
      <c r="Y6" s="52"/>
      <c r="Z6" s="52"/>
      <c r="AA6" s="52"/>
      <c r="AB6" s="52"/>
      <c r="AC6" s="52"/>
    </row>
    <row r="7" spans="1:86" ht="13.5" customHeight="1" x14ac:dyDescent="0.2">
      <c r="A7" s="129"/>
      <c r="B7" s="129"/>
      <c r="C7" s="129"/>
      <c r="D7" s="129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52"/>
      <c r="Z7" s="52"/>
      <c r="AA7" s="52"/>
      <c r="AB7" s="52"/>
      <c r="AC7" s="52"/>
    </row>
    <row r="8" spans="1:86" ht="13.5" customHeight="1" x14ac:dyDescent="0.2">
      <c r="A8" s="10" t="s">
        <v>11</v>
      </c>
      <c r="B8" s="59"/>
      <c r="C8" s="59"/>
      <c r="D8" s="59"/>
      <c r="E8" s="52"/>
      <c r="F8" s="11">
        <v>1</v>
      </c>
      <c r="G8" s="52"/>
      <c r="H8" s="11">
        <v>2</v>
      </c>
      <c r="I8" s="52"/>
      <c r="J8" s="11">
        <v>3</v>
      </c>
      <c r="K8" s="52"/>
      <c r="L8" s="11">
        <v>4</v>
      </c>
      <c r="M8" s="52"/>
      <c r="N8" s="11">
        <v>5</v>
      </c>
      <c r="O8" s="52"/>
      <c r="P8" s="11">
        <v>6</v>
      </c>
      <c r="Q8" s="52"/>
      <c r="R8" s="11">
        <v>7</v>
      </c>
      <c r="S8" s="52"/>
      <c r="T8" s="11">
        <v>8</v>
      </c>
      <c r="U8" s="52"/>
      <c r="V8" s="11">
        <v>9</v>
      </c>
      <c r="W8" s="52"/>
      <c r="X8" s="11">
        <v>10</v>
      </c>
      <c r="Y8" s="1"/>
      <c r="Z8" s="11">
        <v>11</v>
      </c>
      <c r="AA8" s="1"/>
      <c r="AB8" s="11">
        <v>12</v>
      </c>
      <c r="AC8" s="1"/>
      <c r="AD8" s="11">
        <v>13</v>
      </c>
      <c r="AF8" s="11">
        <v>14</v>
      </c>
      <c r="AH8" s="11">
        <v>15</v>
      </c>
      <c r="AJ8" s="11">
        <v>16</v>
      </c>
      <c r="AL8" s="11">
        <v>17</v>
      </c>
      <c r="AN8" s="11">
        <v>18</v>
      </c>
      <c r="AP8" s="11">
        <v>19</v>
      </c>
      <c r="AR8" s="11">
        <v>20</v>
      </c>
      <c r="AT8" s="11">
        <v>21</v>
      </c>
      <c r="AV8" s="11">
        <v>22</v>
      </c>
      <c r="AX8" s="11">
        <v>24</v>
      </c>
      <c r="AZ8" s="11">
        <v>25</v>
      </c>
      <c r="BB8" s="11">
        <v>26</v>
      </c>
      <c r="BD8" s="11">
        <v>27</v>
      </c>
      <c r="BF8" s="11">
        <v>28</v>
      </c>
      <c r="BH8" s="11">
        <v>29</v>
      </c>
      <c r="BJ8" s="11">
        <v>30</v>
      </c>
      <c r="BL8" s="11">
        <v>31</v>
      </c>
      <c r="BN8" s="11">
        <v>32</v>
      </c>
      <c r="BP8" s="11">
        <v>33</v>
      </c>
      <c r="BR8" s="11">
        <v>34</v>
      </c>
      <c r="BT8" s="11">
        <v>35</v>
      </c>
      <c r="BV8" s="11">
        <v>36</v>
      </c>
      <c r="BX8" s="11">
        <v>37</v>
      </c>
      <c r="BZ8" s="11">
        <v>38</v>
      </c>
      <c r="CB8" s="11">
        <v>39</v>
      </c>
      <c r="CD8" s="11">
        <v>40</v>
      </c>
      <c r="CF8" s="11">
        <v>41</v>
      </c>
      <c r="CH8" s="11">
        <v>42</v>
      </c>
    </row>
    <row r="9" spans="1:86" ht="62.1" customHeight="1" x14ac:dyDescent="0.2">
      <c r="A9" s="13" t="s">
        <v>12</v>
      </c>
      <c r="B9" s="60"/>
      <c r="C9" s="60"/>
      <c r="D9" s="60"/>
      <c r="E9" s="62"/>
      <c r="F9" s="15" t="s">
        <v>13</v>
      </c>
      <c r="G9" s="16"/>
      <c r="H9" s="15" t="s">
        <v>14</v>
      </c>
      <c r="I9" s="16"/>
      <c r="J9" s="15" t="s">
        <v>15</v>
      </c>
      <c r="K9" s="16"/>
      <c r="L9" s="15" t="s">
        <v>16</v>
      </c>
      <c r="M9" s="16"/>
      <c r="N9" s="15" t="s">
        <v>17</v>
      </c>
      <c r="O9" s="16"/>
      <c r="P9" s="15" t="s">
        <v>18</v>
      </c>
      <c r="Q9" s="16"/>
      <c r="R9" s="15" t="s">
        <v>19</v>
      </c>
      <c r="S9" s="16"/>
      <c r="T9" s="15" t="s">
        <v>20</v>
      </c>
      <c r="U9" s="16"/>
      <c r="V9" s="15" t="s">
        <v>21</v>
      </c>
      <c r="W9" s="16"/>
      <c r="X9" s="15" t="s">
        <v>22</v>
      </c>
      <c r="Y9" s="18"/>
      <c r="Z9" s="15" t="s">
        <v>23</v>
      </c>
      <c r="AA9" s="18"/>
      <c r="AB9" s="15" t="s">
        <v>24</v>
      </c>
      <c r="AC9" s="18"/>
      <c r="AD9" s="15" t="s">
        <v>25</v>
      </c>
      <c r="AF9" s="15" t="s">
        <v>26</v>
      </c>
      <c r="AH9" s="15" t="s">
        <v>27</v>
      </c>
      <c r="AJ9" s="15" t="s">
        <v>28</v>
      </c>
      <c r="AL9" s="15" t="s">
        <v>29</v>
      </c>
      <c r="AN9" s="15" t="s">
        <v>30</v>
      </c>
      <c r="AP9" s="15" t="s">
        <v>31</v>
      </c>
      <c r="AR9" s="15" t="s">
        <v>32</v>
      </c>
      <c r="AT9" s="15" t="s">
        <v>33</v>
      </c>
      <c r="AV9" s="15" t="s">
        <v>34</v>
      </c>
      <c r="AX9" s="15" t="s">
        <v>35</v>
      </c>
      <c r="AZ9" s="15" t="s">
        <v>36</v>
      </c>
      <c r="BB9" s="15" t="s">
        <v>37</v>
      </c>
      <c r="BD9" s="15" t="s">
        <v>38</v>
      </c>
      <c r="BF9" s="15" t="s">
        <v>39</v>
      </c>
      <c r="BH9" s="15" t="s">
        <v>40</v>
      </c>
      <c r="BJ9" s="15" t="s">
        <v>41</v>
      </c>
      <c r="BL9" s="15" t="s">
        <v>42</v>
      </c>
      <c r="BN9" s="15" t="s">
        <v>43</v>
      </c>
      <c r="BP9" s="15" t="s">
        <v>44</v>
      </c>
      <c r="BR9" s="15" t="s">
        <v>45</v>
      </c>
      <c r="BT9" s="15" t="s">
        <v>46</v>
      </c>
      <c r="BV9" s="15" t="s">
        <v>47</v>
      </c>
      <c r="BX9" s="15" t="s">
        <v>48</v>
      </c>
      <c r="BZ9" s="15" t="s">
        <v>49</v>
      </c>
      <c r="CB9" s="15" t="s">
        <v>50</v>
      </c>
      <c r="CD9" s="15" t="s">
        <v>51</v>
      </c>
      <c r="CF9" s="15" t="s">
        <v>52</v>
      </c>
      <c r="CH9" s="15" t="s">
        <v>53</v>
      </c>
    </row>
    <row r="10" spans="1:86" ht="16.5" customHeight="1" x14ac:dyDescent="0.2">
      <c r="A10" s="10" t="s">
        <v>54</v>
      </c>
      <c r="B10" s="59"/>
      <c r="C10" s="59"/>
      <c r="D10" s="59"/>
      <c r="E10" s="52"/>
      <c r="F10" s="15">
        <v>13</v>
      </c>
      <c r="G10" s="16"/>
      <c r="H10" s="15">
        <v>0</v>
      </c>
      <c r="I10" s="16"/>
      <c r="J10" s="15">
        <v>255</v>
      </c>
      <c r="K10" s="16"/>
      <c r="L10" s="15">
        <v>255</v>
      </c>
      <c r="M10" s="16"/>
      <c r="N10" s="15">
        <v>252</v>
      </c>
      <c r="O10" s="16"/>
      <c r="P10" s="15">
        <v>252</v>
      </c>
      <c r="Q10" s="16"/>
      <c r="R10" s="15">
        <v>252</v>
      </c>
      <c r="S10" s="16"/>
      <c r="T10" s="15">
        <v>265</v>
      </c>
      <c r="U10" s="16"/>
      <c r="V10" s="15">
        <v>265</v>
      </c>
      <c r="W10" s="16"/>
      <c r="X10" s="15">
        <v>0</v>
      </c>
      <c r="Y10" s="1"/>
      <c r="Z10" s="15">
        <v>0</v>
      </c>
      <c r="AA10" s="1"/>
      <c r="AB10" s="15">
        <v>250</v>
      </c>
      <c r="AC10" s="1"/>
      <c r="AD10" s="15">
        <v>260</v>
      </c>
      <c r="AF10" s="15">
        <v>260</v>
      </c>
      <c r="AH10" s="15">
        <v>255</v>
      </c>
      <c r="AJ10" s="15">
        <v>270</v>
      </c>
      <c r="AL10" s="15">
        <v>270</v>
      </c>
      <c r="AN10" s="15">
        <v>270</v>
      </c>
      <c r="AP10" s="15">
        <v>0</v>
      </c>
      <c r="AR10" s="15">
        <v>285</v>
      </c>
      <c r="AT10" s="15">
        <v>300</v>
      </c>
      <c r="AV10" s="15">
        <v>310</v>
      </c>
      <c r="AX10" s="15">
        <v>412</v>
      </c>
      <c r="AZ10" s="15">
        <v>19</v>
      </c>
      <c r="BB10" s="15">
        <v>75</v>
      </c>
      <c r="BD10" s="15">
        <v>35</v>
      </c>
      <c r="BF10" s="15">
        <v>0.8</v>
      </c>
      <c r="BH10" s="15">
        <v>80</v>
      </c>
      <c r="BJ10" s="15">
        <v>10</v>
      </c>
      <c r="BL10" s="15">
        <v>28</v>
      </c>
      <c r="BN10" s="15">
        <v>1</v>
      </c>
      <c r="BP10" s="15">
        <v>0.1</v>
      </c>
      <c r="BR10" s="15">
        <v>4</v>
      </c>
      <c r="BT10" s="15">
        <v>4</v>
      </c>
      <c r="BV10" s="15">
        <v>2</v>
      </c>
      <c r="BX10" s="15">
        <v>1.5</v>
      </c>
      <c r="BZ10" s="15">
        <v>9.5</v>
      </c>
      <c r="CB10" s="15">
        <v>7</v>
      </c>
      <c r="CD10" s="15">
        <v>0.5</v>
      </c>
      <c r="CF10" s="15" t="s">
        <v>55</v>
      </c>
      <c r="CH10" s="15">
        <v>-600</v>
      </c>
    </row>
    <row r="11" spans="1:86" ht="16.5" customHeight="1" x14ac:dyDescent="0.2">
      <c r="A11" s="10" t="s">
        <v>56</v>
      </c>
      <c r="B11" s="59"/>
      <c r="C11" s="59"/>
      <c r="D11" s="59"/>
      <c r="E11" s="52"/>
      <c r="F11" s="15">
        <v>30</v>
      </c>
      <c r="G11" s="16"/>
      <c r="H11" s="15">
        <v>0</v>
      </c>
      <c r="I11" s="16"/>
      <c r="J11" s="15">
        <v>265</v>
      </c>
      <c r="K11" s="16"/>
      <c r="L11" s="15">
        <v>265</v>
      </c>
      <c r="M11" s="16"/>
      <c r="N11" s="15">
        <v>262</v>
      </c>
      <c r="O11" s="16"/>
      <c r="P11" s="15">
        <v>262</v>
      </c>
      <c r="Q11" s="16"/>
      <c r="R11" s="15">
        <v>262</v>
      </c>
      <c r="S11" s="16"/>
      <c r="T11" s="15">
        <v>275</v>
      </c>
      <c r="U11" s="16"/>
      <c r="V11" s="15">
        <v>275</v>
      </c>
      <c r="W11" s="16"/>
      <c r="X11" s="15">
        <v>0</v>
      </c>
      <c r="Y11" s="1"/>
      <c r="Z11" s="15">
        <v>0</v>
      </c>
      <c r="AA11" s="1"/>
      <c r="AB11" s="15">
        <v>260</v>
      </c>
      <c r="AC11" s="1"/>
      <c r="AD11" s="15">
        <v>270</v>
      </c>
      <c r="AF11" s="15">
        <v>270</v>
      </c>
      <c r="AH11" s="15">
        <v>265</v>
      </c>
      <c r="AJ11" s="15">
        <v>280</v>
      </c>
      <c r="AL11" s="15">
        <v>280</v>
      </c>
      <c r="AN11" s="15">
        <v>280</v>
      </c>
      <c r="AP11" s="15">
        <v>0</v>
      </c>
      <c r="AR11" s="15">
        <v>295</v>
      </c>
      <c r="AT11" s="15">
        <v>310</v>
      </c>
      <c r="AV11" s="15">
        <v>320</v>
      </c>
      <c r="AX11" s="15">
        <v>415</v>
      </c>
      <c r="AZ11" s="15">
        <v>20</v>
      </c>
      <c r="BB11" s="15">
        <v>85</v>
      </c>
      <c r="BD11" s="15">
        <v>36</v>
      </c>
      <c r="BF11" s="15">
        <v>0.9</v>
      </c>
      <c r="BH11" s="15">
        <v>75</v>
      </c>
      <c r="BJ11" s="15">
        <v>15</v>
      </c>
      <c r="BL11" s="15">
        <v>30</v>
      </c>
      <c r="BN11" s="15">
        <v>2</v>
      </c>
      <c r="BP11" s="15">
        <v>1</v>
      </c>
      <c r="BR11" s="15">
        <v>5</v>
      </c>
      <c r="BT11" s="15">
        <v>5</v>
      </c>
      <c r="BV11" s="15">
        <v>5</v>
      </c>
      <c r="BX11" s="15">
        <v>5</v>
      </c>
      <c r="BZ11" s="15">
        <v>15</v>
      </c>
      <c r="CB11" s="15">
        <v>9</v>
      </c>
      <c r="CD11" s="15">
        <v>1</v>
      </c>
      <c r="CF11" s="15"/>
      <c r="CH11" s="15"/>
    </row>
    <row r="12" spans="1:86" ht="16.5" customHeight="1" x14ac:dyDescent="0.2">
      <c r="A12" s="10" t="s">
        <v>57</v>
      </c>
      <c r="B12" s="59"/>
      <c r="C12" s="59"/>
      <c r="D12" s="59"/>
      <c r="E12" s="52"/>
      <c r="F12" s="15" t="s">
        <v>58</v>
      </c>
      <c r="G12" s="16"/>
      <c r="H12" s="15" t="s">
        <v>58</v>
      </c>
      <c r="I12" s="16"/>
      <c r="J12" s="15" t="s">
        <v>58</v>
      </c>
      <c r="K12" s="16"/>
      <c r="L12" s="15" t="s">
        <v>58</v>
      </c>
      <c r="M12" s="16"/>
      <c r="N12" s="15" t="s">
        <v>58</v>
      </c>
      <c r="O12" s="16"/>
      <c r="P12" s="15" t="s">
        <v>58</v>
      </c>
      <c r="Q12" s="16"/>
      <c r="R12" s="15" t="s">
        <v>58</v>
      </c>
      <c r="S12" s="16"/>
      <c r="T12" s="15" t="s">
        <v>58</v>
      </c>
      <c r="U12" s="16"/>
      <c r="V12" s="15" t="s">
        <v>58</v>
      </c>
      <c r="W12" s="16"/>
      <c r="X12" s="15" t="s">
        <v>58</v>
      </c>
      <c r="Y12" s="1"/>
      <c r="Z12" s="15" t="s">
        <v>58</v>
      </c>
      <c r="AA12" s="1"/>
      <c r="AB12" s="15" t="s">
        <v>58</v>
      </c>
      <c r="AC12" s="1"/>
      <c r="AD12" s="15" t="s">
        <v>58</v>
      </c>
      <c r="AF12" s="15" t="s">
        <v>58</v>
      </c>
      <c r="AH12" s="15" t="s">
        <v>58</v>
      </c>
      <c r="AJ12" s="15" t="s">
        <v>58</v>
      </c>
      <c r="AL12" s="15" t="s">
        <v>58</v>
      </c>
      <c r="AN12" s="15" t="s">
        <v>58</v>
      </c>
      <c r="AP12" s="15" t="s">
        <v>58</v>
      </c>
      <c r="AR12" s="15" t="s">
        <v>58</v>
      </c>
      <c r="AT12" s="15" t="s">
        <v>58</v>
      </c>
      <c r="AV12" s="15" t="s">
        <v>58</v>
      </c>
      <c r="AX12" s="15" t="s">
        <v>59</v>
      </c>
      <c r="AZ12" s="15" t="s">
        <v>60</v>
      </c>
      <c r="BB12" s="15" t="s">
        <v>61</v>
      </c>
      <c r="BD12" s="15" t="s">
        <v>61</v>
      </c>
      <c r="BF12" s="15" t="s">
        <v>61</v>
      </c>
      <c r="BH12" s="15" t="s">
        <v>61</v>
      </c>
      <c r="BJ12" s="15" t="s">
        <v>61</v>
      </c>
      <c r="BL12" s="15" t="s">
        <v>61</v>
      </c>
      <c r="BN12" s="15" t="s">
        <v>61</v>
      </c>
      <c r="BP12" s="15" t="s">
        <v>61</v>
      </c>
      <c r="BR12" s="15" t="s">
        <v>61</v>
      </c>
      <c r="BT12" s="15" t="s">
        <v>61</v>
      </c>
      <c r="BV12" s="15" t="s">
        <v>61</v>
      </c>
      <c r="BX12" s="15" t="s">
        <v>61</v>
      </c>
      <c r="BZ12" s="15" t="s">
        <v>61</v>
      </c>
      <c r="CB12" s="15" t="s">
        <v>61</v>
      </c>
      <c r="CD12" s="15" t="s">
        <v>61</v>
      </c>
      <c r="CF12" s="15" t="s">
        <v>62</v>
      </c>
      <c r="CH12" s="15" t="s">
        <v>63</v>
      </c>
    </row>
    <row r="13" spans="1:86" ht="16.5" customHeight="1" thickBot="1" x14ac:dyDescent="0.25">
      <c r="A13" s="52"/>
      <c r="B13" s="52"/>
      <c r="C13" s="52"/>
      <c r="D13" s="52"/>
      <c r="E13" s="52"/>
      <c r="F13" s="63"/>
      <c r="G13" s="52"/>
      <c r="H13" s="63"/>
      <c r="I13" s="52"/>
      <c r="J13" s="63"/>
      <c r="K13" s="52"/>
      <c r="L13" s="63"/>
      <c r="M13" s="52"/>
      <c r="N13" s="63"/>
      <c r="O13" s="52"/>
      <c r="P13" s="63"/>
      <c r="Q13" s="52"/>
      <c r="R13" s="63"/>
      <c r="S13" s="52"/>
      <c r="T13" s="63"/>
      <c r="U13" s="52"/>
      <c r="V13" s="63"/>
      <c r="W13" s="52"/>
      <c r="X13" s="63"/>
      <c r="Y13" s="52"/>
      <c r="Z13" s="63"/>
      <c r="AA13" s="52"/>
      <c r="AB13" s="63"/>
      <c r="AC13" s="52"/>
      <c r="AD13" s="63"/>
      <c r="AF13" s="63"/>
      <c r="AH13" s="63"/>
      <c r="AJ13" s="63"/>
      <c r="AL13" s="63"/>
      <c r="AN13" s="63"/>
      <c r="AP13" s="63"/>
      <c r="AR13" s="63"/>
      <c r="AT13" s="63"/>
      <c r="AV13" s="63"/>
      <c r="AX13" s="63"/>
      <c r="AZ13" s="63"/>
      <c r="BB13" s="63"/>
      <c r="BD13" s="63"/>
      <c r="BF13" s="63"/>
      <c r="BH13" s="63"/>
      <c r="BJ13" s="63"/>
      <c r="BL13" s="63"/>
      <c r="BN13" s="63"/>
      <c r="BP13" s="63"/>
      <c r="BR13" s="63"/>
      <c r="BT13" s="63"/>
      <c r="BV13" s="63"/>
      <c r="BX13" s="63"/>
      <c r="BZ13" s="63"/>
      <c r="CB13" s="63"/>
      <c r="CD13" s="63"/>
      <c r="CF13" s="63"/>
      <c r="CH13" s="63"/>
    </row>
    <row r="14" spans="1:86" ht="39" customHeight="1" x14ac:dyDescent="0.8">
      <c r="A14" s="20"/>
      <c r="B14" s="20"/>
      <c r="C14" s="20"/>
      <c r="D14" s="20"/>
      <c r="E14" s="20"/>
      <c r="F14" s="21" t="s">
        <v>64</v>
      </c>
      <c r="G14" s="20"/>
      <c r="H14" s="22"/>
      <c r="I14" s="20"/>
      <c r="J14" s="22"/>
      <c r="K14" s="20"/>
      <c r="L14" s="22"/>
      <c r="M14" s="20"/>
      <c r="N14" s="22"/>
      <c r="O14" s="20"/>
      <c r="P14" s="22"/>
      <c r="Q14" s="20"/>
      <c r="R14" s="22"/>
      <c r="S14" s="20"/>
      <c r="T14" s="22"/>
      <c r="U14" s="20"/>
      <c r="V14" s="22"/>
      <c r="W14" s="20"/>
      <c r="X14" s="22"/>
      <c r="Y14" s="52"/>
      <c r="Z14" s="22"/>
      <c r="AA14" s="52"/>
      <c r="AB14" s="22"/>
      <c r="AC14" s="52"/>
      <c r="AD14" s="22"/>
      <c r="AF14" s="22"/>
      <c r="AH14" s="22"/>
      <c r="AJ14" s="22"/>
      <c r="AL14" s="22"/>
      <c r="AN14" s="22"/>
      <c r="AP14" s="22"/>
      <c r="AR14" s="22"/>
      <c r="AT14" s="22"/>
      <c r="AV14" s="22"/>
      <c r="AX14" s="22"/>
      <c r="AZ14" s="22"/>
      <c r="BB14" s="22"/>
      <c r="BD14" s="22"/>
      <c r="BF14" s="22"/>
      <c r="BH14" s="22"/>
      <c r="BJ14" s="22"/>
      <c r="BL14" s="22"/>
      <c r="BN14" s="22"/>
      <c r="BP14" s="22"/>
      <c r="BR14" s="22"/>
      <c r="BT14" s="22"/>
      <c r="BV14" s="22"/>
      <c r="BX14" s="22"/>
      <c r="BZ14" s="22"/>
      <c r="CB14" s="22"/>
      <c r="CD14" s="22"/>
      <c r="CF14" s="22"/>
      <c r="CH14" s="22"/>
    </row>
    <row r="15" spans="1:86" ht="39" customHeight="1" x14ac:dyDescent="0.8">
      <c r="A15" s="52"/>
      <c r="B15" s="52"/>
      <c r="C15" s="52"/>
      <c r="D15" s="52"/>
      <c r="E15" s="52"/>
      <c r="F15" s="61"/>
      <c r="G15" s="52"/>
      <c r="H15" s="63"/>
      <c r="I15" s="52"/>
      <c r="J15" s="63"/>
      <c r="K15" s="52"/>
      <c r="L15" s="63"/>
      <c r="M15" s="52"/>
      <c r="N15" s="63"/>
      <c r="O15" s="52"/>
      <c r="P15" s="63"/>
      <c r="Q15" s="52"/>
      <c r="R15" s="63"/>
      <c r="S15" s="52"/>
      <c r="T15" s="63"/>
      <c r="U15" s="52"/>
      <c r="V15" s="63"/>
      <c r="W15" s="52"/>
      <c r="X15" s="63"/>
      <c r="Y15" s="52"/>
      <c r="Z15" s="63"/>
      <c r="AA15" s="52"/>
      <c r="AB15" s="63"/>
      <c r="AC15" s="52"/>
      <c r="AD15" s="63"/>
      <c r="AF15" s="63"/>
      <c r="AH15" s="63"/>
      <c r="AJ15" s="63"/>
      <c r="AL15" s="63"/>
      <c r="AN15" s="63"/>
      <c r="AP15" s="63"/>
      <c r="AR15" s="63"/>
      <c r="AT15" s="63"/>
      <c r="AV15" s="63"/>
      <c r="AX15" s="63"/>
      <c r="AZ15" s="63"/>
      <c r="BB15" s="63"/>
      <c r="BD15" s="63"/>
      <c r="BF15" s="63"/>
      <c r="BH15" s="63"/>
      <c r="BJ15" s="63"/>
      <c r="BL15" s="63"/>
      <c r="BN15" s="63"/>
      <c r="BP15" s="63"/>
      <c r="BR15" s="63"/>
      <c r="BT15" s="63"/>
      <c r="BV15" s="63"/>
      <c r="BX15" s="63"/>
      <c r="BZ15" s="63"/>
      <c r="CB15" s="63"/>
      <c r="CD15" s="63"/>
      <c r="CF15" s="63"/>
      <c r="CH15" s="63"/>
    </row>
    <row r="16" spans="1:86" ht="21.75" customHeight="1" x14ac:dyDescent="0.2">
      <c r="A16" s="44" t="s">
        <v>11</v>
      </c>
      <c r="B16" s="57" t="s">
        <v>65</v>
      </c>
      <c r="C16" s="57" t="s">
        <v>66</v>
      </c>
      <c r="D16" s="57" t="s">
        <v>67</v>
      </c>
      <c r="E16" s="48" t="s">
        <v>68</v>
      </c>
      <c r="F16" s="46">
        <v>1</v>
      </c>
      <c r="G16" s="52"/>
      <c r="H16" s="11">
        <v>2</v>
      </c>
      <c r="I16" s="52"/>
      <c r="J16" s="11">
        <v>3</v>
      </c>
      <c r="K16" s="52"/>
      <c r="L16" s="11">
        <v>4</v>
      </c>
      <c r="M16" s="52"/>
      <c r="N16" s="11">
        <v>5</v>
      </c>
      <c r="O16" s="52"/>
      <c r="P16" s="11">
        <v>6</v>
      </c>
      <c r="Q16" s="52"/>
      <c r="R16" s="11">
        <v>7</v>
      </c>
      <c r="S16" s="52"/>
      <c r="T16" s="11">
        <v>8</v>
      </c>
      <c r="U16" s="52"/>
      <c r="V16" s="11">
        <v>9</v>
      </c>
      <c r="W16" s="52"/>
      <c r="X16" s="11">
        <v>10</v>
      </c>
      <c r="Y16" s="52"/>
      <c r="Z16" s="11">
        <v>11</v>
      </c>
      <c r="AA16" s="52"/>
      <c r="AB16" s="11">
        <v>12</v>
      </c>
      <c r="AC16" s="52"/>
      <c r="AD16" s="11">
        <v>13</v>
      </c>
      <c r="AF16" s="11">
        <v>14</v>
      </c>
      <c r="AH16" s="11">
        <v>15</v>
      </c>
      <c r="AJ16" s="11">
        <v>16</v>
      </c>
      <c r="AL16" s="11">
        <v>17</v>
      </c>
      <c r="AN16" s="11">
        <v>18</v>
      </c>
      <c r="AP16" s="11">
        <v>19</v>
      </c>
      <c r="AR16" s="11">
        <v>20</v>
      </c>
      <c r="AT16" s="11">
        <v>21</v>
      </c>
      <c r="AV16" s="11">
        <v>22</v>
      </c>
      <c r="AX16" s="11">
        <v>24</v>
      </c>
      <c r="AZ16" s="11">
        <v>25</v>
      </c>
      <c r="BB16" s="11">
        <v>26</v>
      </c>
      <c r="BD16" s="11">
        <v>27</v>
      </c>
      <c r="BF16" s="11">
        <v>28</v>
      </c>
      <c r="BH16" s="11">
        <v>29</v>
      </c>
      <c r="BJ16" s="11">
        <v>30</v>
      </c>
      <c r="BL16" s="11">
        <v>31</v>
      </c>
      <c r="BN16" s="11">
        <v>32</v>
      </c>
      <c r="BP16" s="11">
        <v>33</v>
      </c>
      <c r="BR16" s="11">
        <v>34</v>
      </c>
      <c r="BT16" s="11">
        <v>35</v>
      </c>
      <c r="BV16" s="11">
        <v>36</v>
      </c>
      <c r="BX16" s="11">
        <v>37</v>
      </c>
      <c r="BZ16" s="11">
        <v>38</v>
      </c>
      <c r="CB16" s="11">
        <v>39</v>
      </c>
      <c r="CD16" s="11">
        <v>40</v>
      </c>
      <c r="CF16" s="11">
        <v>40</v>
      </c>
      <c r="CH16" s="11">
        <v>40</v>
      </c>
    </row>
    <row r="17" spans="1:87" ht="18.75" customHeight="1" x14ac:dyDescent="0.2">
      <c r="A17" s="45">
        <v>46259</v>
      </c>
      <c r="B17" s="58"/>
      <c r="C17" s="58"/>
      <c r="D17" s="58"/>
      <c r="E17" s="48"/>
      <c r="F17" s="78">
        <v>16</v>
      </c>
      <c r="G17" s="79"/>
      <c r="H17" s="80">
        <v>45</v>
      </c>
      <c r="I17" s="79"/>
      <c r="J17" s="81">
        <v>254</v>
      </c>
      <c r="K17" s="79"/>
      <c r="L17" s="81">
        <v>256</v>
      </c>
      <c r="M17" s="79"/>
      <c r="N17" s="81">
        <v>251</v>
      </c>
      <c r="O17" s="79"/>
      <c r="P17" s="81">
        <v>252</v>
      </c>
      <c r="Q17" s="79"/>
      <c r="R17" s="81">
        <v>251</v>
      </c>
      <c r="S17" s="79"/>
      <c r="T17" s="81">
        <v>265</v>
      </c>
      <c r="U17" s="79"/>
      <c r="V17" s="81">
        <v>266</v>
      </c>
      <c r="W17" s="79"/>
      <c r="X17" s="81">
        <v>93</v>
      </c>
      <c r="Y17" s="79"/>
      <c r="Z17" s="81">
        <v>87</v>
      </c>
      <c r="AA17" s="79"/>
      <c r="AB17" s="81">
        <v>249</v>
      </c>
      <c r="AC17" s="79"/>
      <c r="AD17" s="81">
        <v>260</v>
      </c>
      <c r="AE17" s="82"/>
      <c r="AF17" s="81">
        <v>260</v>
      </c>
      <c r="AG17" s="82"/>
      <c r="AH17" s="81">
        <v>251</v>
      </c>
      <c r="AI17" s="82"/>
      <c r="AJ17" s="81">
        <v>269</v>
      </c>
      <c r="AK17" s="82"/>
      <c r="AL17" s="81">
        <v>269</v>
      </c>
      <c r="AM17" s="82"/>
      <c r="AN17" s="81">
        <v>271</v>
      </c>
      <c r="AO17" s="82"/>
      <c r="AP17" s="81">
        <v>76</v>
      </c>
      <c r="AQ17" s="82"/>
      <c r="AR17" s="81">
        <v>280</v>
      </c>
      <c r="AS17" s="82"/>
      <c r="AT17" s="81">
        <v>296</v>
      </c>
      <c r="AU17" s="82"/>
      <c r="AV17" s="81">
        <v>298</v>
      </c>
      <c r="AW17" s="82"/>
      <c r="AX17" s="81">
        <v>412</v>
      </c>
      <c r="AY17" s="82"/>
      <c r="AZ17" s="81">
        <v>19</v>
      </c>
      <c r="BA17" s="82"/>
      <c r="BB17" s="81">
        <v>70</v>
      </c>
      <c r="BC17" s="82"/>
      <c r="BD17" s="81">
        <v>35</v>
      </c>
      <c r="BE17" s="82"/>
      <c r="BF17" s="83" t="s">
        <v>69</v>
      </c>
      <c r="BG17" s="82"/>
      <c r="BH17" s="81">
        <v>75</v>
      </c>
      <c r="BI17" s="82"/>
      <c r="BJ17" s="81">
        <v>10</v>
      </c>
      <c r="BK17" s="82"/>
      <c r="BL17" s="81">
        <v>28</v>
      </c>
      <c r="BM17" s="82"/>
      <c r="BN17" s="81">
        <v>1</v>
      </c>
      <c r="BO17" s="82"/>
      <c r="BP17" s="83" t="s">
        <v>70</v>
      </c>
      <c r="BQ17" s="84"/>
      <c r="BR17" s="83">
        <v>4</v>
      </c>
      <c r="BS17" s="84"/>
      <c r="BT17" s="83">
        <v>4</v>
      </c>
      <c r="BU17" s="84"/>
      <c r="BV17" s="83">
        <v>2</v>
      </c>
      <c r="BW17" s="84"/>
      <c r="BX17" s="83" t="s">
        <v>71</v>
      </c>
      <c r="BY17" s="84"/>
      <c r="BZ17" s="83" t="s">
        <v>72</v>
      </c>
      <c r="CA17" s="84"/>
      <c r="CB17" s="83">
        <v>7</v>
      </c>
      <c r="CC17" s="84"/>
      <c r="CD17" s="83" t="s">
        <v>73</v>
      </c>
      <c r="CF17" s="83"/>
      <c r="CH17" s="83"/>
    </row>
    <row r="18" spans="1:87" ht="18.75" customHeight="1" x14ac:dyDescent="0.2">
      <c r="A18" s="45">
        <v>46259</v>
      </c>
      <c r="B18" s="58"/>
      <c r="C18" s="58"/>
      <c r="D18" s="75"/>
      <c r="E18" s="48"/>
      <c r="F18" s="78">
        <v>16</v>
      </c>
      <c r="G18" s="79"/>
      <c r="H18" s="80">
        <v>33</v>
      </c>
      <c r="I18" s="79"/>
      <c r="J18" s="81">
        <v>215</v>
      </c>
      <c r="K18" s="79"/>
      <c r="L18" s="81">
        <v>236</v>
      </c>
      <c r="M18" s="79"/>
      <c r="N18" s="81">
        <v>235</v>
      </c>
      <c r="O18" s="79"/>
      <c r="P18" s="81">
        <v>242</v>
      </c>
      <c r="Q18" s="79"/>
      <c r="R18" s="81">
        <v>235</v>
      </c>
      <c r="S18" s="79"/>
      <c r="T18" s="81">
        <v>247</v>
      </c>
      <c r="U18" s="79"/>
      <c r="V18" s="81">
        <v>238</v>
      </c>
      <c r="W18" s="79"/>
      <c r="X18" s="81">
        <v>83</v>
      </c>
      <c r="Y18" s="79"/>
      <c r="Z18" s="81">
        <v>101</v>
      </c>
      <c r="AA18" s="79"/>
      <c r="AB18" s="81">
        <v>239</v>
      </c>
      <c r="AC18" s="79"/>
      <c r="AD18" s="81">
        <v>248</v>
      </c>
      <c r="AE18" s="82"/>
      <c r="AF18" s="81">
        <v>251</v>
      </c>
      <c r="AG18" s="82"/>
      <c r="AH18" s="81">
        <v>241</v>
      </c>
      <c r="AI18" s="82"/>
      <c r="AJ18" s="81">
        <v>251</v>
      </c>
      <c r="AK18" s="82"/>
      <c r="AL18" s="81">
        <v>248</v>
      </c>
      <c r="AM18" s="82"/>
      <c r="AN18" s="81">
        <v>244</v>
      </c>
      <c r="AO18" s="82"/>
      <c r="AP18" s="81">
        <v>72</v>
      </c>
      <c r="AQ18" s="82"/>
      <c r="AR18" s="81">
        <v>264</v>
      </c>
      <c r="AS18" s="82"/>
      <c r="AT18" s="81">
        <v>278</v>
      </c>
      <c r="AU18" s="82"/>
      <c r="AV18" s="81">
        <v>278</v>
      </c>
      <c r="AW18" s="82"/>
      <c r="AX18" s="81">
        <v>412</v>
      </c>
      <c r="AY18" s="82"/>
      <c r="AZ18" s="81">
        <v>19</v>
      </c>
      <c r="BA18" s="82"/>
      <c r="BB18" s="81">
        <v>85</v>
      </c>
      <c r="BC18" s="82"/>
      <c r="BD18" s="81">
        <v>35</v>
      </c>
      <c r="BE18" s="82"/>
      <c r="BF18" s="83" t="s">
        <v>69</v>
      </c>
      <c r="BG18" s="84"/>
      <c r="BH18" s="83">
        <v>90</v>
      </c>
      <c r="BI18" s="84"/>
      <c r="BJ18" s="83">
        <v>10</v>
      </c>
      <c r="BK18" s="84"/>
      <c r="BL18" s="83">
        <v>28</v>
      </c>
      <c r="BM18" s="84"/>
      <c r="BN18" s="83">
        <v>1</v>
      </c>
      <c r="BO18" s="84"/>
      <c r="BP18" s="83" t="s">
        <v>70</v>
      </c>
      <c r="BQ18" s="84"/>
      <c r="BR18" s="83">
        <v>4</v>
      </c>
      <c r="BS18" s="84"/>
      <c r="BT18" s="83">
        <v>4</v>
      </c>
      <c r="BU18" s="84"/>
      <c r="BV18" s="83">
        <v>2</v>
      </c>
      <c r="BW18" s="84"/>
      <c r="BX18" s="83" t="s">
        <v>71</v>
      </c>
      <c r="BY18" s="84"/>
      <c r="BZ18" s="83" t="s">
        <v>72</v>
      </c>
      <c r="CA18" s="84"/>
      <c r="CB18" s="83">
        <v>7</v>
      </c>
      <c r="CC18" s="84"/>
      <c r="CD18" s="83" t="s">
        <v>73</v>
      </c>
      <c r="CF18" s="83"/>
      <c r="CH18" s="83"/>
    </row>
    <row r="19" spans="1:87" ht="18.75" customHeight="1" x14ac:dyDescent="0.2">
      <c r="A19" s="45">
        <v>46260</v>
      </c>
      <c r="B19" s="58"/>
      <c r="C19" s="76"/>
      <c r="D19" s="131"/>
      <c r="E19" s="77"/>
      <c r="F19" s="78">
        <v>16</v>
      </c>
      <c r="G19" s="79"/>
      <c r="H19" s="80">
        <v>47</v>
      </c>
      <c r="I19" s="79"/>
      <c r="J19" s="81">
        <v>256</v>
      </c>
      <c r="K19" s="79"/>
      <c r="L19" s="81">
        <v>249</v>
      </c>
      <c r="M19" s="79"/>
      <c r="N19" s="81">
        <v>251</v>
      </c>
      <c r="O19" s="79"/>
      <c r="P19" s="81">
        <v>250</v>
      </c>
      <c r="Q19" s="79"/>
      <c r="R19" s="81">
        <v>251</v>
      </c>
      <c r="S19" s="79"/>
      <c r="T19" s="81">
        <v>259</v>
      </c>
      <c r="U19" s="79"/>
      <c r="V19" s="81">
        <v>259</v>
      </c>
      <c r="W19" s="79"/>
      <c r="X19" s="81">
        <v>91</v>
      </c>
      <c r="Y19" s="79"/>
      <c r="Z19" s="81">
        <v>87</v>
      </c>
      <c r="AA19" s="79"/>
      <c r="AB19" s="81">
        <v>250</v>
      </c>
      <c r="AC19" s="79"/>
      <c r="AD19" s="81">
        <v>260</v>
      </c>
      <c r="AE19" s="82"/>
      <c r="AF19" s="81">
        <v>259</v>
      </c>
      <c r="AG19" s="82"/>
      <c r="AH19" s="81">
        <v>263</v>
      </c>
      <c r="AI19" s="82"/>
      <c r="AJ19" s="81">
        <v>270</v>
      </c>
      <c r="AK19" s="82"/>
      <c r="AL19" s="81">
        <v>268</v>
      </c>
      <c r="AM19" s="82"/>
      <c r="AN19" s="81">
        <v>269</v>
      </c>
      <c r="AO19" s="82"/>
      <c r="AP19" s="81">
        <v>73</v>
      </c>
      <c r="AQ19" s="82"/>
      <c r="AR19" s="81">
        <v>283</v>
      </c>
      <c r="AS19" s="82"/>
      <c r="AT19" s="81">
        <v>304</v>
      </c>
      <c r="AU19" s="82"/>
      <c r="AV19" s="81">
        <v>304</v>
      </c>
      <c r="AW19" s="82"/>
      <c r="AX19" s="81">
        <v>412</v>
      </c>
      <c r="AY19" s="82"/>
      <c r="AZ19" s="81">
        <v>19</v>
      </c>
      <c r="BA19" s="82"/>
      <c r="BB19" s="81">
        <v>85</v>
      </c>
      <c r="BC19" s="82"/>
      <c r="BD19" s="81">
        <v>35</v>
      </c>
      <c r="BE19" s="82"/>
      <c r="BF19" s="83" t="s">
        <v>69</v>
      </c>
      <c r="BG19" s="82"/>
      <c r="BH19" s="81">
        <v>90</v>
      </c>
      <c r="BI19" s="82"/>
      <c r="BJ19" s="81">
        <v>10</v>
      </c>
      <c r="BK19" s="82"/>
      <c r="BL19" s="81">
        <v>28</v>
      </c>
      <c r="BM19" s="82"/>
      <c r="BN19" s="81">
        <v>1</v>
      </c>
      <c r="BO19" s="82"/>
      <c r="BP19" s="83" t="s">
        <v>70</v>
      </c>
      <c r="BQ19" s="84"/>
      <c r="BR19" s="83">
        <v>4</v>
      </c>
      <c r="BS19" s="84"/>
      <c r="BT19" s="83">
        <v>4</v>
      </c>
      <c r="BU19" s="84"/>
      <c r="BV19" s="83">
        <v>2</v>
      </c>
      <c r="BW19" s="84"/>
      <c r="BX19" s="83" t="s">
        <v>71</v>
      </c>
      <c r="BY19" s="84"/>
      <c r="BZ19" s="83" t="s">
        <v>72</v>
      </c>
      <c r="CA19" s="84"/>
      <c r="CB19" s="83">
        <v>7</v>
      </c>
      <c r="CC19" s="84"/>
      <c r="CD19" s="83" t="s">
        <v>73</v>
      </c>
      <c r="CF19" s="83"/>
      <c r="CH19" s="83"/>
    </row>
    <row r="20" spans="1:87" ht="18.75" customHeight="1" x14ac:dyDescent="0.2">
      <c r="A20" s="45">
        <v>46260</v>
      </c>
      <c r="B20" s="58"/>
      <c r="C20" s="76"/>
      <c r="D20" s="132"/>
      <c r="E20" s="77"/>
      <c r="F20" s="78">
        <v>24</v>
      </c>
      <c r="G20" s="79"/>
      <c r="H20" s="80">
        <v>34</v>
      </c>
      <c r="I20" s="79"/>
      <c r="J20" s="81">
        <v>257</v>
      </c>
      <c r="K20" s="79"/>
      <c r="L20" s="81">
        <v>249</v>
      </c>
      <c r="M20" s="79"/>
      <c r="N20" s="81">
        <v>250</v>
      </c>
      <c r="O20" s="79"/>
      <c r="P20" s="81">
        <v>250</v>
      </c>
      <c r="Q20" s="79"/>
      <c r="R20" s="81">
        <v>250</v>
      </c>
      <c r="S20" s="79"/>
      <c r="T20" s="81">
        <v>255</v>
      </c>
      <c r="U20" s="79"/>
      <c r="V20" s="81">
        <v>256</v>
      </c>
      <c r="W20" s="79"/>
      <c r="X20" s="81">
        <v>92</v>
      </c>
      <c r="Y20" s="79"/>
      <c r="Z20" s="81">
        <v>91</v>
      </c>
      <c r="AA20" s="79"/>
      <c r="AB20" s="81">
        <v>250</v>
      </c>
      <c r="AC20" s="79"/>
      <c r="AD20" s="81">
        <v>260</v>
      </c>
      <c r="AE20" s="82"/>
      <c r="AF20" s="81">
        <v>260</v>
      </c>
      <c r="AG20" s="82"/>
      <c r="AH20" s="81">
        <v>263</v>
      </c>
      <c r="AI20" s="82"/>
      <c r="AJ20" s="81">
        <v>266</v>
      </c>
      <c r="AK20" s="82"/>
      <c r="AL20" s="81">
        <v>265</v>
      </c>
      <c r="AM20" s="82"/>
      <c r="AN20" s="85">
        <v>265</v>
      </c>
      <c r="AO20" s="82"/>
      <c r="AP20" s="81">
        <v>77</v>
      </c>
      <c r="AQ20" s="82"/>
      <c r="AR20" s="81">
        <v>283</v>
      </c>
      <c r="AS20" s="82"/>
      <c r="AT20" s="81">
        <v>302</v>
      </c>
      <c r="AU20" s="82"/>
      <c r="AV20" s="81">
        <v>304</v>
      </c>
      <c r="AW20" s="82"/>
      <c r="AX20" s="81">
        <v>412</v>
      </c>
      <c r="AY20" s="82"/>
      <c r="AZ20" s="81">
        <v>19</v>
      </c>
      <c r="BA20" s="82"/>
      <c r="BB20" s="83">
        <v>75</v>
      </c>
      <c r="BC20" s="84"/>
      <c r="BD20" s="83">
        <v>35</v>
      </c>
      <c r="BE20" s="84"/>
      <c r="BF20" s="83" t="s">
        <v>69</v>
      </c>
      <c r="BG20" s="84"/>
      <c r="BH20" s="83">
        <v>80</v>
      </c>
      <c r="BI20" s="84"/>
      <c r="BJ20" s="83">
        <v>10</v>
      </c>
      <c r="BK20" s="82"/>
      <c r="BL20" s="81">
        <v>28</v>
      </c>
      <c r="BM20" s="82"/>
      <c r="BN20" s="81">
        <v>1</v>
      </c>
      <c r="BO20" s="82"/>
      <c r="BP20" s="83" t="s">
        <v>70</v>
      </c>
      <c r="BQ20" s="84"/>
      <c r="BR20" s="83">
        <v>4</v>
      </c>
      <c r="BS20" s="84"/>
      <c r="BT20" s="83">
        <v>4</v>
      </c>
      <c r="BU20" s="84"/>
      <c r="BV20" s="83">
        <v>2</v>
      </c>
      <c r="BW20" s="84"/>
      <c r="BX20" s="83" t="s">
        <v>71</v>
      </c>
      <c r="BY20" s="84"/>
      <c r="BZ20" s="83" t="s">
        <v>72</v>
      </c>
      <c r="CA20" s="84"/>
      <c r="CB20" s="83">
        <v>7</v>
      </c>
      <c r="CC20" s="84"/>
      <c r="CD20" s="83" t="s">
        <v>73</v>
      </c>
      <c r="CF20" s="83"/>
      <c r="CH20" s="83"/>
    </row>
    <row r="21" spans="1:87" ht="18.75" customHeight="1" x14ac:dyDescent="0.2">
      <c r="A21" s="45">
        <v>46261</v>
      </c>
      <c r="B21" s="58"/>
      <c r="C21" s="76"/>
      <c r="D21" s="131"/>
      <c r="E21" s="77"/>
      <c r="F21" s="78">
        <v>17</v>
      </c>
      <c r="G21" s="79"/>
      <c r="H21" s="80">
        <v>46</v>
      </c>
      <c r="I21" s="79"/>
      <c r="J21" s="81">
        <v>254</v>
      </c>
      <c r="K21" s="79"/>
      <c r="L21" s="81">
        <v>250</v>
      </c>
      <c r="M21" s="79"/>
      <c r="N21" s="81">
        <v>249</v>
      </c>
      <c r="O21" s="79"/>
      <c r="P21" s="81">
        <v>250</v>
      </c>
      <c r="Q21" s="79"/>
      <c r="R21" s="81">
        <v>250</v>
      </c>
      <c r="S21" s="79"/>
      <c r="T21" s="81">
        <v>250</v>
      </c>
      <c r="U21" s="79"/>
      <c r="V21" s="81">
        <v>250</v>
      </c>
      <c r="W21" s="79"/>
      <c r="X21" s="81">
        <v>80</v>
      </c>
      <c r="Y21" s="79"/>
      <c r="Z21" s="81">
        <v>116</v>
      </c>
      <c r="AA21" s="79"/>
      <c r="AB21" s="81">
        <v>250</v>
      </c>
      <c r="AC21" s="79"/>
      <c r="AD21" s="81">
        <v>260</v>
      </c>
      <c r="AE21" s="82"/>
      <c r="AF21" s="81">
        <v>260</v>
      </c>
      <c r="AG21" s="82"/>
      <c r="AH21" s="81">
        <v>262</v>
      </c>
      <c r="AI21" s="82"/>
      <c r="AJ21" s="81">
        <v>260</v>
      </c>
      <c r="AK21" s="82"/>
      <c r="AL21" s="81">
        <v>260</v>
      </c>
      <c r="AM21" s="82"/>
      <c r="AN21" s="81">
        <v>260</v>
      </c>
      <c r="AO21" s="82"/>
      <c r="AP21" s="81">
        <v>74</v>
      </c>
      <c r="AQ21" s="82"/>
      <c r="AR21" s="81">
        <v>285</v>
      </c>
      <c r="AS21" s="82"/>
      <c r="AT21" s="81">
        <v>300</v>
      </c>
      <c r="AU21" s="82"/>
      <c r="AV21" s="81">
        <v>305</v>
      </c>
      <c r="AW21" s="82"/>
      <c r="AX21" s="81">
        <v>412</v>
      </c>
      <c r="AY21" s="82"/>
      <c r="AZ21" s="81">
        <v>19</v>
      </c>
      <c r="BA21" s="82"/>
      <c r="BB21" s="81">
        <v>70</v>
      </c>
      <c r="BC21" s="82"/>
      <c r="BD21" s="81">
        <v>35</v>
      </c>
      <c r="BE21" s="82"/>
      <c r="BF21" s="83" t="s">
        <v>69</v>
      </c>
      <c r="BG21" s="84"/>
      <c r="BH21" s="83">
        <v>75</v>
      </c>
      <c r="BI21" s="84"/>
      <c r="BJ21" s="83">
        <v>10</v>
      </c>
      <c r="BK21" s="84"/>
      <c r="BL21" s="83">
        <v>28</v>
      </c>
      <c r="BM21" s="84"/>
      <c r="BN21" s="83">
        <v>1</v>
      </c>
      <c r="BO21" s="84"/>
      <c r="BP21" s="83" t="s">
        <v>70</v>
      </c>
      <c r="BQ21" s="84"/>
      <c r="BR21" s="83">
        <v>4</v>
      </c>
      <c r="BS21" s="84"/>
      <c r="BT21" s="83">
        <v>4</v>
      </c>
      <c r="BU21" s="84"/>
      <c r="BV21" s="83">
        <v>2</v>
      </c>
      <c r="BW21" s="84"/>
      <c r="BX21" s="83" t="s">
        <v>71</v>
      </c>
      <c r="BY21" s="84"/>
      <c r="BZ21" s="83" t="s">
        <v>72</v>
      </c>
      <c r="CA21" s="84"/>
      <c r="CB21" s="83">
        <v>7</v>
      </c>
      <c r="CC21" s="84"/>
      <c r="CD21" s="83" t="s">
        <v>73</v>
      </c>
      <c r="CF21" s="83"/>
      <c r="CH21" s="83"/>
    </row>
    <row r="22" spans="1:87" ht="18.75" customHeight="1" x14ac:dyDescent="0.2">
      <c r="A22" s="45">
        <v>46261</v>
      </c>
      <c r="B22" s="58"/>
      <c r="C22" s="76"/>
      <c r="D22" s="133"/>
      <c r="E22" s="77"/>
      <c r="F22" s="91">
        <v>24</v>
      </c>
      <c r="G22" s="86"/>
      <c r="H22" s="92">
        <v>47</v>
      </c>
      <c r="I22" s="86"/>
      <c r="J22" s="93">
        <v>246</v>
      </c>
      <c r="K22" s="86"/>
      <c r="L22" s="93">
        <v>246</v>
      </c>
      <c r="M22" s="86"/>
      <c r="N22" s="93">
        <v>244</v>
      </c>
      <c r="O22" s="86"/>
      <c r="P22" s="93">
        <v>245</v>
      </c>
      <c r="Q22" s="86"/>
      <c r="R22" s="93">
        <v>241</v>
      </c>
      <c r="S22" s="86"/>
      <c r="T22" s="93">
        <v>242</v>
      </c>
      <c r="U22" s="86"/>
      <c r="V22" s="93">
        <v>243</v>
      </c>
      <c r="W22" s="86"/>
      <c r="X22" s="93">
        <v>92</v>
      </c>
      <c r="Y22" s="86"/>
      <c r="Z22" s="93">
        <v>92</v>
      </c>
      <c r="AA22" s="86"/>
      <c r="AB22" s="93">
        <v>249</v>
      </c>
      <c r="AC22" s="86"/>
      <c r="AD22" s="93">
        <v>259</v>
      </c>
      <c r="AE22" s="94"/>
      <c r="AF22" s="93">
        <v>260</v>
      </c>
      <c r="AG22" s="94"/>
      <c r="AH22" s="93">
        <v>252</v>
      </c>
      <c r="AI22" s="94"/>
      <c r="AJ22" s="93">
        <v>254</v>
      </c>
      <c r="AK22" s="94"/>
      <c r="AL22" s="93">
        <v>256</v>
      </c>
      <c r="AM22" s="94"/>
      <c r="AN22" s="93">
        <v>255</v>
      </c>
      <c r="AO22" s="94"/>
      <c r="AP22" s="93">
        <v>78</v>
      </c>
      <c r="AQ22" s="94"/>
      <c r="AR22" s="93">
        <v>281</v>
      </c>
      <c r="AS22" s="94"/>
      <c r="AT22" s="93">
        <v>306</v>
      </c>
      <c r="AU22" s="94"/>
      <c r="AV22" s="93">
        <v>297</v>
      </c>
      <c r="AW22" s="94"/>
      <c r="AX22" s="93">
        <v>412</v>
      </c>
      <c r="AY22" s="94"/>
      <c r="AZ22" s="93">
        <v>19</v>
      </c>
      <c r="BA22" s="94"/>
      <c r="BB22" s="93">
        <v>75</v>
      </c>
      <c r="BC22" s="94"/>
      <c r="BD22" s="93">
        <v>35</v>
      </c>
      <c r="BE22" s="94"/>
      <c r="BF22" s="95" t="s">
        <v>69</v>
      </c>
      <c r="BG22" s="96"/>
      <c r="BH22" s="95">
        <v>80</v>
      </c>
      <c r="BI22" s="96"/>
      <c r="BJ22" s="95">
        <v>10</v>
      </c>
      <c r="BK22" s="96"/>
      <c r="BL22" s="95">
        <v>28</v>
      </c>
      <c r="BM22" s="96"/>
      <c r="BN22" s="97">
        <v>1</v>
      </c>
      <c r="BO22" s="98"/>
      <c r="BP22" s="97" t="s">
        <v>70</v>
      </c>
      <c r="BQ22" s="98"/>
      <c r="BR22" s="97">
        <v>4</v>
      </c>
      <c r="BS22" s="98"/>
      <c r="BT22" s="97">
        <v>4</v>
      </c>
      <c r="BU22" s="98"/>
      <c r="BV22" s="97">
        <v>2</v>
      </c>
      <c r="BW22" s="98"/>
      <c r="BX22" s="97" t="s">
        <v>71</v>
      </c>
      <c r="BY22" s="98"/>
      <c r="BZ22" s="97" t="s">
        <v>72</v>
      </c>
      <c r="CA22" s="98"/>
      <c r="CB22" s="97">
        <v>7</v>
      </c>
      <c r="CC22" s="98"/>
      <c r="CD22" s="97" t="s">
        <v>73</v>
      </c>
      <c r="CE22" s="99"/>
      <c r="CF22" s="97"/>
      <c r="CG22" s="99"/>
      <c r="CH22" s="97"/>
    </row>
    <row r="23" spans="1:87" ht="18.75" customHeight="1" x14ac:dyDescent="0.2">
      <c r="A23" s="45">
        <v>46262</v>
      </c>
      <c r="B23" s="58"/>
      <c r="C23" s="76"/>
      <c r="D23" s="131"/>
      <c r="E23" s="77"/>
      <c r="F23" s="100">
        <v>21</v>
      </c>
      <c r="G23" s="101"/>
      <c r="H23" s="92">
        <v>35</v>
      </c>
      <c r="I23" s="101"/>
      <c r="J23" s="102">
        <v>239</v>
      </c>
      <c r="K23" s="101"/>
      <c r="L23" s="102">
        <v>241</v>
      </c>
      <c r="M23" s="101"/>
      <c r="N23" s="102">
        <v>239</v>
      </c>
      <c r="O23" s="101"/>
      <c r="P23" s="102">
        <v>240</v>
      </c>
      <c r="Q23" s="101"/>
      <c r="R23" s="102">
        <v>239</v>
      </c>
      <c r="S23" s="101"/>
      <c r="T23" s="102">
        <v>240</v>
      </c>
      <c r="U23" s="101"/>
      <c r="V23" s="102">
        <v>241</v>
      </c>
      <c r="W23" s="101"/>
      <c r="X23" s="102">
        <v>88</v>
      </c>
      <c r="Y23" s="101"/>
      <c r="Z23" s="102">
        <v>87</v>
      </c>
      <c r="AA23" s="101"/>
      <c r="AB23" s="102">
        <v>250</v>
      </c>
      <c r="AC23" s="101"/>
      <c r="AD23" s="102">
        <v>261</v>
      </c>
      <c r="AE23" s="103"/>
      <c r="AF23" s="102">
        <v>270</v>
      </c>
      <c r="AG23" s="103"/>
      <c r="AH23" s="102">
        <v>267</v>
      </c>
      <c r="AI23" s="103"/>
      <c r="AJ23" s="102">
        <v>270</v>
      </c>
      <c r="AK23" s="103"/>
      <c r="AL23" s="102">
        <v>273</v>
      </c>
      <c r="AM23" s="103"/>
      <c r="AN23" s="102">
        <v>274</v>
      </c>
      <c r="AO23" s="103"/>
      <c r="AP23" s="102">
        <v>74</v>
      </c>
      <c r="AQ23" s="103"/>
      <c r="AR23" s="102">
        <v>280</v>
      </c>
      <c r="AS23" s="103"/>
      <c r="AT23" s="102">
        <v>306</v>
      </c>
      <c r="AU23" s="103"/>
      <c r="AV23" s="102">
        <v>299</v>
      </c>
      <c r="AW23" s="103"/>
      <c r="AX23" s="102">
        <v>410</v>
      </c>
      <c r="AY23" s="103"/>
      <c r="AZ23" s="102">
        <v>19</v>
      </c>
      <c r="BA23" s="103"/>
      <c r="BB23" s="102">
        <v>75</v>
      </c>
      <c r="BC23" s="103"/>
      <c r="BD23" s="102">
        <v>35</v>
      </c>
      <c r="BE23" s="103"/>
      <c r="BF23" s="97" t="s">
        <v>69</v>
      </c>
      <c r="BG23" s="98"/>
      <c r="BH23" s="97">
        <v>80</v>
      </c>
      <c r="BI23" s="98"/>
      <c r="BJ23" s="97">
        <v>11</v>
      </c>
      <c r="BK23" s="98"/>
      <c r="BL23" s="97">
        <v>28</v>
      </c>
      <c r="BM23" s="98"/>
      <c r="BN23" s="97">
        <v>1</v>
      </c>
      <c r="BO23" s="98"/>
      <c r="BP23" s="97" t="s">
        <v>70</v>
      </c>
      <c r="BQ23" s="98"/>
      <c r="BR23" s="97">
        <v>4</v>
      </c>
      <c r="BS23" s="98"/>
      <c r="BT23" s="97">
        <v>4</v>
      </c>
      <c r="BU23" s="98"/>
      <c r="BV23" s="97">
        <v>2</v>
      </c>
      <c r="BW23" s="98"/>
      <c r="BX23" s="97" t="s">
        <v>71</v>
      </c>
      <c r="BY23" s="98"/>
      <c r="BZ23" s="97">
        <v>11</v>
      </c>
      <c r="CA23" s="98"/>
      <c r="CB23" s="97">
        <v>8</v>
      </c>
      <c r="CC23" s="98"/>
      <c r="CD23" s="97" t="s">
        <v>73</v>
      </c>
      <c r="CE23" s="99"/>
      <c r="CF23" s="97"/>
      <c r="CG23" s="99"/>
      <c r="CH23" s="97"/>
    </row>
    <row r="24" spans="1:87" ht="18.75" customHeight="1" x14ac:dyDescent="0.2">
      <c r="A24" s="45">
        <v>46262</v>
      </c>
      <c r="B24" s="58"/>
      <c r="C24" s="76"/>
      <c r="D24" s="133"/>
      <c r="E24" s="77"/>
      <c r="F24" s="91">
        <v>32</v>
      </c>
      <c r="G24" s="86"/>
      <c r="H24" s="92">
        <v>52</v>
      </c>
      <c r="I24" s="86"/>
      <c r="J24" s="93">
        <v>233</v>
      </c>
      <c r="K24" s="86"/>
      <c r="L24" s="93">
        <v>235</v>
      </c>
      <c r="M24" s="86"/>
      <c r="N24" s="93">
        <v>235</v>
      </c>
      <c r="O24" s="86"/>
      <c r="P24" s="93">
        <v>235</v>
      </c>
      <c r="Q24" s="86"/>
      <c r="R24" s="93">
        <v>240</v>
      </c>
      <c r="S24" s="86"/>
      <c r="T24" s="93">
        <v>240</v>
      </c>
      <c r="U24" s="86"/>
      <c r="V24" s="93">
        <v>240</v>
      </c>
      <c r="W24" s="86"/>
      <c r="X24" s="93">
        <v>76</v>
      </c>
      <c r="Y24" s="86"/>
      <c r="Z24" s="93">
        <v>107</v>
      </c>
      <c r="AA24" s="86"/>
      <c r="AB24" s="93">
        <v>250</v>
      </c>
      <c r="AC24" s="86"/>
      <c r="AD24" s="93">
        <v>260</v>
      </c>
      <c r="AE24" s="94"/>
      <c r="AF24" s="93">
        <v>270</v>
      </c>
      <c r="AG24" s="94"/>
      <c r="AH24" s="93">
        <v>270</v>
      </c>
      <c r="AI24" s="94"/>
      <c r="AJ24" s="93">
        <v>270</v>
      </c>
      <c r="AK24" s="94"/>
      <c r="AL24" s="93">
        <v>270</v>
      </c>
      <c r="AM24" s="94"/>
      <c r="AN24" s="93">
        <v>275</v>
      </c>
      <c r="AO24" s="94"/>
      <c r="AP24" s="93">
        <v>74</v>
      </c>
      <c r="AQ24" s="94"/>
      <c r="AR24" s="93">
        <v>275</v>
      </c>
      <c r="AS24" s="94"/>
      <c r="AT24" s="93">
        <v>310</v>
      </c>
      <c r="AU24" s="94"/>
      <c r="AV24" s="93">
        <v>310</v>
      </c>
      <c r="AW24" s="94"/>
      <c r="AX24" s="93">
        <v>415</v>
      </c>
      <c r="AY24" s="94"/>
      <c r="AZ24" s="93">
        <v>19</v>
      </c>
      <c r="BA24" s="94"/>
      <c r="BB24" s="93">
        <v>90</v>
      </c>
      <c r="BC24" s="94"/>
      <c r="BD24" s="93">
        <v>35</v>
      </c>
      <c r="BE24" s="94"/>
      <c r="BF24" s="95" t="s">
        <v>74</v>
      </c>
      <c r="BG24" s="96"/>
      <c r="BH24" s="95">
        <v>95</v>
      </c>
      <c r="BI24" s="96"/>
      <c r="BJ24" s="95">
        <v>11</v>
      </c>
      <c r="BK24" s="96"/>
      <c r="BL24" s="95">
        <v>30</v>
      </c>
      <c r="BM24" s="96"/>
      <c r="BN24" s="97">
        <v>1</v>
      </c>
      <c r="BO24" s="98"/>
      <c r="BP24" s="97" t="s">
        <v>70</v>
      </c>
      <c r="BQ24" s="98"/>
      <c r="BR24" s="97">
        <v>5</v>
      </c>
      <c r="BS24" s="98"/>
      <c r="BT24" s="97">
        <v>4</v>
      </c>
      <c r="BU24" s="98"/>
      <c r="BV24" s="97">
        <v>1</v>
      </c>
      <c r="BW24" s="98"/>
      <c r="BX24" s="97" t="s">
        <v>71</v>
      </c>
      <c r="BY24" s="98"/>
      <c r="BZ24" s="97">
        <v>11</v>
      </c>
      <c r="CA24" s="98"/>
      <c r="CB24" s="97">
        <v>8</v>
      </c>
      <c r="CC24" s="98"/>
      <c r="CD24" s="97" t="s">
        <v>73</v>
      </c>
      <c r="CE24" s="99"/>
      <c r="CF24" s="115" t="s">
        <v>75</v>
      </c>
      <c r="CG24" s="99"/>
      <c r="CH24" s="97">
        <v>-600</v>
      </c>
    </row>
    <row r="25" spans="1:87" ht="18.75" customHeight="1" x14ac:dyDescent="0.2">
      <c r="A25" s="89" t="s">
        <v>76</v>
      </c>
      <c r="B25" s="58"/>
      <c r="C25" s="76"/>
      <c r="D25" s="131"/>
      <c r="E25" s="77"/>
      <c r="F25" s="104" t="s">
        <v>77</v>
      </c>
      <c r="G25" s="105"/>
      <c r="H25" s="106" t="s">
        <v>78</v>
      </c>
      <c r="I25" s="105"/>
      <c r="J25" s="97" t="s">
        <v>79</v>
      </c>
      <c r="K25" s="105"/>
      <c r="L25" s="97" t="s">
        <v>80</v>
      </c>
      <c r="M25" s="105"/>
      <c r="N25" s="97" t="s">
        <v>81</v>
      </c>
      <c r="O25" s="105"/>
      <c r="P25" s="97" t="s">
        <v>79</v>
      </c>
      <c r="Q25" s="105"/>
      <c r="R25" s="97" t="s">
        <v>82</v>
      </c>
      <c r="S25" s="105"/>
      <c r="T25" s="97" t="s">
        <v>83</v>
      </c>
      <c r="U25" s="105"/>
      <c r="V25" s="97" t="s">
        <v>83</v>
      </c>
      <c r="W25" s="105"/>
      <c r="X25" s="97" t="s">
        <v>84</v>
      </c>
      <c r="Y25" s="105"/>
      <c r="Z25" s="97" t="s">
        <v>85</v>
      </c>
      <c r="AA25" s="105"/>
      <c r="AB25" s="97" t="s">
        <v>86</v>
      </c>
      <c r="AC25" s="105"/>
      <c r="AD25" s="97" t="s">
        <v>87</v>
      </c>
      <c r="AE25" s="98"/>
      <c r="AF25" s="97" t="s">
        <v>88</v>
      </c>
      <c r="AG25" s="98"/>
      <c r="AH25" s="97" t="s">
        <v>89</v>
      </c>
      <c r="AI25" s="98"/>
      <c r="AJ25" s="97" t="s">
        <v>88</v>
      </c>
      <c r="AK25" s="98"/>
      <c r="AL25" s="97" t="s">
        <v>88</v>
      </c>
      <c r="AM25" s="98"/>
      <c r="AN25" s="97" t="s">
        <v>90</v>
      </c>
      <c r="AO25" s="98"/>
      <c r="AP25" s="97" t="s">
        <v>91</v>
      </c>
      <c r="AQ25" s="98"/>
      <c r="AR25" s="97" t="s">
        <v>92</v>
      </c>
      <c r="AS25" s="98"/>
      <c r="AT25" s="97" t="s">
        <v>93</v>
      </c>
      <c r="AU25" s="98"/>
      <c r="AV25" s="97" t="s">
        <v>94</v>
      </c>
      <c r="AW25" s="98"/>
      <c r="AX25" s="97" t="s">
        <v>95</v>
      </c>
      <c r="AY25" s="98"/>
      <c r="AZ25" s="97" t="s">
        <v>96</v>
      </c>
      <c r="BA25" s="98"/>
      <c r="BB25" s="97" t="s">
        <v>97</v>
      </c>
      <c r="BC25" s="98"/>
      <c r="BD25" s="97" t="s">
        <v>98</v>
      </c>
      <c r="BE25" s="98"/>
      <c r="BF25" s="97" t="s">
        <v>74</v>
      </c>
      <c r="BG25" s="98"/>
      <c r="BH25" s="97" t="s">
        <v>99</v>
      </c>
      <c r="BI25" s="98"/>
      <c r="BJ25" s="97" t="s">
        <v>100</v>
      </c>
      <c r="BK25" s="98"/>
      <c r="BL25" s="97" t="s">
        <v>101</v>
      </c>
      <c r="BM25" s="98"/>
      <c r="BN25" s="97" t="s">
        <v>102</v>
      </c>
      <c r="BO25" s="98"/>
      <c r="BP25" s="97" t="s">
        <v>103</v>
      </c>
      <c r="BQ25" s="98"/>
      <c r="BR25" s="97" t="s">
        <v>104</v>
      </c>
      <c r="BS25" s="98"/>
      <c r="BT25" s="97" t="s">
        <v>105</v>
      </c>
      <c r="BU25" s="98"/>
      <c r="BV25" s="97" t="s">
        <v>102</v>
      </c>
      <c r="BW25" s="98"/>
      <c r="BX25" s="97" t="s">
        <v>71</v>
      </c>
      <c r="BY25" s="98"/>
      <c r="BZ25" s="97" t="s">
        <v>100</v>
      </c>
      <c r="CA25" s="98"/>
      <c r="CB25" s="97" t="s">
        <v>106</v>
      </c>
      <c r="CC25" s="98"/>
      <c r="CD25" s="97" t="s">
        <v>107</v>
      </c>
      <c r="CE25" s="107"/>
      <c r="CF25" s="115" t="s">
        <v>75</v>
      </c>
      <c r="CG25" s="107"/>
      <c r="CH25" s="108" t="s">
        <v>108</v>
      </c>
      <c r="CI25" s="88"/>
    </row>
    <row r="26" spans="1:87" ht="18.75" customHeight="1" x14ac:dyDescent="0.2">
      <c r="A26" s="89" t="s">
        <v>76</v>
      </c>
      <c r="B26" s="58"/>
      <c r="C26" s="76"/>
      <c r="D26" s="133"/>
      <c r="E26" s="77"/>
      <c r="F26" s="109" t="s">
        <v>77</v>
      </c>
      <c r="G26" s="87"/>
      <c r="H26" s="106" t="s">
        <v>109</v>
      </c>
      <c r="I26" s="87"/>
      <c r="J26" s="95" t="s">
        <v>86</v>
      </c>
      <c r="K26" s="87"/>
      <c r="L26" s="95" t="s">
        <v>86</v>
      </c>
      <c r="M26" s="87"/>
      <c r="N26" s="95" t="s">
        <v>80</v>
      </c>
      <c r="O26" s="87"/>
      <c r="P26" s="95" t="s">
        <v>110</v>
      </c>
      <c r="Q26" s="87"/>
      <c r="R26" s="95" t="s">
        <v>111</v>
      </c>
      <c r="S26" s="87"/>
      <c r="T26" s="95" t="s">
        <v>112</v>
      </c>
      <c r="U26" s="87"/>
      <c r="V26" s="95" t="s">
        <v>112</v>
      </c>
      <c r="W26" s="87"/>
      <c r="X26" s="95" t="s">
        <v>113</v>
      </c>
      <c r="Y26" s="87"/>
      <c r="Z26" s="95" t="s">
        <v>114</v>
      </c>
      <c r="AA26" s="87"/>
      <c r="AB26" s="95" t="s">
        <v>115</v>
      </c>
      <c r="AC26" s="87"/>
      <c r="AD26" s="95" t="s">
        <v>115</v>
      </c>
      <c r="AE26" s="96"/>
      <c r="AF26" s="95" t="s">
        <v>116</v>
      </c>
      <c r="AG26" s="96"/>
      <c r="AH26" s="95" t="s">
        <v>117</v>
      </c>
      <c r="AI26" s="96"/>
      <c r="AJ26" s="95" t="s">
        <v>118</v>
      </c>
      <c r="AK26" s="96"/>
      <c r="AL26" s="95" t="s">
        <v>119</v>
      </c>
      <c r="AM26" s="96"/>
      <c r="AN26" s="95" t="s">
        <v>119</v>
      </c>
      <c r="AO26" s="96"/>
      <c r="AP26" s="95" t="s">
        <v>120</v>
      </c>
      <c r="AQ26" s="96"/>
      <c r="AR26" s="95" t="s">
        <v>118</v>
      </c>
      <c r="AS26" s="96"/>
      <c r="AT26" s="95" t="s">
        <v>121</v>
      </c>
      <c r="AU26" s="96"/>
      <c r="AV26" s="95" t="s">
        <v>122</v>
      </c>
      <c r="AW26" s="96"/>
      <c r="AX26" s="95" t="s">
        <v>95</v>
      </c>
      <c r="AY26" s="96"/>
      <c r="AZ26" s="95" t="s">
        <v>96</v>
      </c>
      <c r="BA26" s="96"/>
      <c r="BB26" s="95" t="s">
        <v>123</v>
      </c>
      <c r="BC26" s="96"/>
      <c r="BD26" s="95" t="s">
        <v>98</v>
      </c>
      <c r="BE26" s="96"/>
      <c r="BF26" s="95" t="s">
        <v>124</v>
      </c>
      <c r="BG26" s="96"/>
      <c r="BH26" s="95" t="s">
        <v>125</v>
      </c>
      <c r="BI26" s="96"/>
      <c r="BJ26" s="95" t="s">
        <v>100</v>
      </c>
      <c r="BK26" s="96"/>
      <c r="BL26" s="95" t="s">
        <v>101</v>
      </c>
      <c r="BM26" s="96"/>
      <c r="BN26" s="97" t="s">
        <v>102</v>
      </c>
      <c r="BO26" s="98"/>
      <c r="BP26" s="97" t="s">
        <v>103</v>
      </c>
      <c r="BQ26" s="98"/>
      <c r="BR26" s="97" t="s">
        <v>104</v>
      </c>
      <c r="BS26" s="98"/>
      <c r="BT26" s="97" t="s">
        <v>105</v>
      </c>
      <c r="BU26" s="98"/>
      <c r="BV26" s="97" t="s">
        <v>102</v>
      </c>
      <c r="BW26" s="98"/>
      <c r="BX26" s="97" t="s">
        <v>126</v>
      </c>
      <c r="BY26" s="98"/>
      <c r="BZ26" s="97" t="s">
        <v>100</v>
      </c>
      <c r="CA26" s="98"/>
      <c r="CB26" s="97" t="s">
        <v>106</v>
      </c>
      <c r="CC26" s="98"/>
      <c r="CD26" s="97" t="s">
        <v>107</v>
      </c>
      <c r="CE26" s="107"/>
      <c r="CF26" s="110" t="s">
        <v>127</v>
      </c>
      <c r="CG26" s="107"/>
      <c r="CH26" s="108" t="s">
        <v>128</v>
      </c>
      <c r="CI26" s="88"/>
    </row>
    <row r="27" spans="1:87" ht="18.75" customHeight="1" x14ac:dyDescent="0.2">
      <c r="A27" s="89">
        <v>46282</v>
      </c>
      <c r="B27" s="58"/>
      <c r="C27" s="76"/>
      <c r="D27" s="90"/>
      <c r="E27" s="77"/>
      <c r="F27" s="104">
        <v>15</v>
      </c>
      <c r="G27" s="105"/>
      <c r="H27" s="106">
        <v>45</v>
      </c>
      <c r="I27" s="105"/>
      <c r="J27" s="111">
        <v>255</v>
      </c>
      <c r="K27" s="105"/>
      <c r="L27" s="111">
        <v>255</v>
      </c>
      <c r="M27" s="112"/>
      <c r="N27" s="111">
        <v>256</v>
      </c>
      <c r="O27" s="105"/>
      <c r="P27" s="111">
        <v>255</v>
      </c>
      <c r="Q27" s="105"/>
      <c r="R27" s="111">
        <v>255</v>
      </c>
      <c r="S27" s="105"/>
      <c r="T27" s="111">
        <v>255</v>
      </c>
      <c r="U27" s="105"/>
      <c r="V27" s="111">
        <v>255</v>
      </c>
      <c r="W27" s="105"/>
      <c r="X27" s="97">
        <v>92</v>
      </c>
      <c r="Y27" s="105"/>
      <c r="Z27" s="97">
        <v>96</v>
      </c>
      <c r="AA27" s="105"/>
      <c r="AB27" s="97">
        <v>255</v>
      </c>
      <c r="AC27" s="105"/>
      <c r="AD27" s="97">
        <v>255</v>
      </c>
      <c r="AE27" s="98"/>
      <c r="AF27" s="97">
        <v>255</v>
      </c>
      <c r="AG27" s="98"/>
      <c r="AH27" s="97">
        <v>267</v>
      </c>
      <c r="AI27" s="98"/>
      <c r="AJ27" s="113">
        <v>285</v>
      </c>
      <c r="AK27" s="98"/>
      <c r="AL27" s="113">
        <v>285</v>
      </c>
      <c r="AM27" s="98"/>
      <c r="AN27" s="113">
        <v>274</v>
      </c>
      <c r="AO27" s="98"/>
      <c r="AP27" s="97">
        <v>74</v>
      </c>
      <c r="AQ27" s="98"/>
      <c r="AR27" s="97">
        <v>262</v>
      </c>
      <c r="AS27" s="98"/>
      <c r="AT27" s="97">
        <v>304</v>
      </c>
      <c r="AU27" s="98"/>
      <c r="AV27" s="97">
        <v>296</v>
      </c>
      <c r="AW27" s="98"/>
      <c r="AX27" s="97">
        <v>412</v>
      </c>
      <c r="AY27" s="98"/>
      <c r="AZ27" s="97">
        <v>19</v>
      </c>
      <c r="BA27" s="98"/>
      <c r="BB27" s="97">
        <v>90</v>
      </c>
      <c r="BC27" s="98"/>
      <c r="BD27" s="113">
        <v>20</v>
      </c>
      <c r="BE27" s="98"/>
      <c r="BF27" s="97">
        <v>0.9</v>
      </c>
      <c r="BG27" s="98"/>
      <c r="BH27" s="97">
        <v>95</v>
      </c>
      <c r="BI27" s="98"/>
      <c r="BJ27" s="97">
        <v>11</v>
      </c>
      <c r="BK27" s="98"/>
      <c r="BL27" s="97">
        <v>35</v>
      </c>
      <c r="BM27" s="98"/>
      <c r="BN27" s="113">
        <v>2</v>
      </c>
      <c r="BO27" s="98"/>
      <c r="BP27" s="97">
        <v>0.1</v>
      </c>
      <c r="BQ27" s="98"/>
      <c r="BR27" s="97">
        <v>5</v>
      </c>
      <c r="BS27" s="98"/>
      <c r="BT27" s="113">
        <v>7</v>
      </c>
      <c r="BU27" s="98"/>
      <c r="BV27" s="113">
        <v>3</v>
      </c>
      <c r="BW27" s="98"/>
      <c r="BX27" s="97">
        <v>1</v>
      </c>
      <c r="BY27" s="98"/>
      <c r="BZ27" s="97">
        <v>11</v>
      </c>
      <c r="CA27" s="98"/>
      <c r="CB27" s="97">
        <v>7</v>
      </c>
      <c r="CC27" s="98"/>
      <c r="CD27" s="97">
        <v>0.5</v>
      </c>
      <c r="CE27" s="107"/>
      <c r="CF27" s="97">
        <v>6.6</v>
      </c>
      <c r="CG27" s="107"/>
      <c r="CH27" s="111">
        <v>-540</v>
      </c>
    </row>
    <row r="28" spans="1:87" ht="18.75" customHeight="1" x14ac:dyDescent="0.2">
      <c r="A28" s="89">
        <v>46286</v>
      </c>
      <c r="B28" s="58"/>
      <c r="C28" s="76"/>
      <c r="D28" s="90"/>
      <c r="E28" s="77"/>
      <c r="F28" s="104">
        <v>20</v>
      </c>
      <c r="G28" s="105"/>
      <c r="H28" s="106">
        <v>48</v>
      </c>
      <c r="I28" s="105"/>
      <c r="J28" s="111">
        <v>244</v>
      </c>
      <c r="K28" s="105"/>
      <c r="L28" s="111">
        <v>245</v>
      </c>
      <c r="M28" s="112"/>
      <c r="N28" s="111">
        <v>245</v>
      </c>
      <c r="O28" s="105"/>
      <c r="P28" s="111">
        <v>245</v>
      </c>
      <c r="Q28" s="105"/>
      <c r="R28" s="111">
        <v>249</v>
      </c>
      <c r="S28" s="105"/>
      <c r="T28" s="111">
        <v>250</v>
      </c>
      <c r="U28" s="105"/>
      <c r="V28" s="111">
        <v>250</v>
      </c>
      <c r="W28" s="105"/>
      <c r="X28" s="97">
        <v>94</v>
      </c>
      <c r="Y28" s="105"/>
      <c r="Z28" s="97">
        <v>101</v>
      </c>
      <c r="AA28" s="105"/>
      <c r="AB28" s="97">
        <v>255</v>
      </c>
      <c r="AC28" s="105"/>
      <c r="AD28" s="97">
        <v>255</v>
      </c>
      <c r="AE28" s="98"/>
      <c r="AF28" s="114">
        <v>94</v>
      </c>
      <c r="AG28" s="98"/>
      <c r="AH28" s="114">
        <v>101</v>
      </c>
      <c r="AI28" s="98"/>
      <c r="AJ28" s="113">
        <v>255</v>
      </c>
      <c r="AK28" s="98"/>
      <c r="AL28" s="113">
        <v>255</v>
      </c>
      <c r="AM28" s="98"/>
      <c r="AN28" s="113">
        <v>280</v>
      </c>
      <c r="AO28" s="98"/>
      <c r="AP28" s="97">
        <v>79</v>
      </c>
      <c r="AQ28" s="98"/>
      <c r="AR28" s="97">
        <v>270</v>
      </c>
      <c r="AS28" s="98"/>
      <c r="AT28" s="97">
        <v>307</v>
      </c>
      <c r="AU28" s="98"/>
      <c r="AV28" s="97">
        <v>308</v>
      </c>
      <c r="AW28" s="98"/>
      <c r="AX28" s="97">
        <v>412</v>
      </c>
      <c r="AY28" s="98"/>
      <c r="AZ28" s="97">
        <v>19</v>
      </c>
      <c r="BA28" s="98"/>
      <c r="BB28" s="97">
        <v>90</v>
      </c>
      <c r="BC28" s="98"/>
      <c r="BD28" s="113">
        <v>15</v>
      </c>
      <c r="BE28" s="98"/>
      <c r="BF28" s="97">
        <v>0.9</v>
      </c>
      <c r="BG28" s="98"/>
      <c r="BH28" s="97">
        <v>95</v>
      </c>
      <c r="BI28" s="98"/>
      <c r="BJ28" s="97">
        <v>11</v>
      </c>
      <c r="BK28" s="98"/>
      <c r="BL28" s="97">
        <v>35</v>
      </c>
      <c r="BM28" s="98"/>
      <c r="BN28" s="113">
        <v>2</v>
      </c>
      <c r="BO28" s="98"/>
      <c r="BP28" s="97">
        <v>0.1</v>
      </c>
      <c r="BQ28" s="98"/>
      <c r="BR28" s="97">
        <v>5</v>
      </c>
      <c r="BS28" s="98"/>
      <c r="BT28" s="114">
        <v>30</v>
      </c>
      <c r="BU28" s="98"/>
      <c r="BV28" s="113">
        <v>3</v>
      </c>
      <c r="BW28" s="98"/>
      <c r="BX28" s="97">
        <v>1</v>
      </c>
      <c r="BY28" s="98"/>
      <c r="BZ28" s="97">
        <v>11</v>
      </c>
      <c r="CA28" s="98"/>
      <c r="CB28" s="97">
        <v>7</v>
      </c>
      <c r="CC28" s="98"/>
      <c r="CD28" s="97">
        <v>0.5</v>
      </c>
      <c r="CE28" s="107"/>
      <c r="CF28" s="97">
        <v>6.6</v>
      </c>
      <c r="CG28" s="107"/>
      <c r="CH28" s="111">
        <v>-560</v>
      </c>
    </row>
    <row r="29" spans="1:87" ht="18.75" customHeight="1" x14ac:dyDescent="0.2">
      <c r="A29" s="89">
        <v>46287</v>
      </c>
      <c r="B29" s="58"/>
      <c r="C29" s="76"/>
      <c r="D29" s="90"/>
      <c r="E29" s="77"/>
      <c r="F29" s="104">
        <v>18</v>
      </c>
      <c r="G29" s="105"/>
      <c r="H29" s="106">
        <v>51</v>
      </c>
      <c r="I29" s="105"/>
      <c r="J29" s="111">
        <v>243</v>
      </c>
      <c r="K29" s="105"/>
      <c r="L29" s="111">
        <v>246</v>
      </c>
      <c r="M29" s="112"/>
      <c r="N29" s="111">
        <v>245</v>
      </c>
      <c r="O29" s="105"/>
      <c r="P29" s="111">
        <v>245</v>
      </c>
      <c r="Q29" s="105"/>
      <c r="R29" s="111">
        <v>249</v>
      </c>
      <c r="S29" s="105"/>
      <c r="T29" s="111">
        <v>250</v>
      </c>
      <c r="U29" s="105"/>
      <c r="V29" s="111">
        <v>250</v>
      </c>
      <c r="W29" s="105"/>
      <c r="X29" s="97">
        <v>97</v>
      </c>
      <c r="Y29" s="105"/>
      <c r="Z29" s="97">
        <v>99</v>
      </c>
      <c r="AA29" s="105"/>
      <c r="AB29" s="97">
        <v>255</v>
      </c>
      <c r="AC29" s="105"/>
      <c r="AD29" s="97">
        <v>256</v>
      </c>
      <c r="AE29" s="98"/>
      <c r="AF29" s="111">
        <v>255</v>
      </c>
      <c r="AG29" s="98"/>
      <c r="AH29" s="111">
        <v>253</v>
      </c>
      <c r="AI29" s="98"/>
      <c r="AJ29" s="113">
        <v>280</v>
      </c>
      <c r="AK29" s="98"/>
      <c r="AL29" s="113">
        <v>280</v>
      </c>
      <c r="AM29" s="98"/>
      <c r="AN29" s="113">
        <v>280</v>
      </c>
      <c r="AO29" s="98"/>
      <c r="AP29" s="97">
        <v>78</v>
      </c>
      <c r="AQ29" s="98"/>
      <c r="AR29" s="97">
        <v>270</v>
      </c>
      <c r="AS29" s="98"/>
      <c r="AT29" s="97">
        <v>308</v>
      </c>
      <c r="AU29" s="98"/>
      <c r="AV29" s="97">
        <v>305</v>
      </c>
      <c r="AW29" s="98"/>
      <c r="AX29" s="97">
        <v>412</v>
      </c>
      <c r="AY29" s="98"/>
      <c r="AZ29" s="97">
        <v>19</v>
      </c>
      <c r="BA29" s="98"/>
      <c r="BB29" s="97">
        <v>80</v>
      </c>
      <c r="BC29" s="98"/>
      <c r="BD29" s="113">
        <v>15</v>
      </c>
      <c r="BE29" s="98"/>
      <c r="BF29" s="97">
        <v>0.9</v>
      </c>
      <c r="BG29" s="98"/>
      <c r="BH29" s="97">
        <v>85</v>
      </c>
      <c r="BI29" s="98"/>
      <c r="BJ29" s="97">
        <v>11</v>
      </c>
      <c r="BK29" s="98"/>
      <c r="BL29" s="97">
        <v>35</v>
      </c>
      <c r="BM29" s="98"/>
      <c r="BN29" s="113">
        <v>2</v>
      </c>
      <c r="BO29" s="98"/>
      <c r="BP29" s="97">
        <v>0.1</v>
      </c>
      <c r="BQ29" s="98"/>
      <c r="BR29" s="97">
        <v>5</v>
      </c>
      <c r="BS29" s="98"/>
      <c r="BT29" s="114">
        <v>30</v>
      </c>
      <c r="BU29" s="98"/>
      <c r="BV29" s="113">
        <v>3</v>
      </c>
      <c r="BW29" s="98"/>
      <c r="BX29" s="97">
        <v>1</v>
      </c>
      <c r="BY29" s="98"/>
      <c r="BZ29" s="97">
        <v>11</v>
      </c>
      <c r="CA29" s="98"/>
      <c r="CB29" s="97">
        <v>7</v>
      </c>
      <c r="CC29" s="98"/>
      <c r="CD29" s="97">
        <v>0.5</v>
      </c>
      <c r="CE29" s="107"/>
      <c r="CF29" s="97">
        <v>6.6</v>
      </c>
      <c r="CG29" s="107"/>
      <c r="CH29" s="111">
        <v>-540</v>
      </c>
    </row>
    <row r="30" spans="1:87" ht="18.75" customHeight="1" x14ac:dyDescent="0.2">
      <c r="A30" s="89">
        <v>46288</v>
      </c>
      <c r="B30" s="58"/>
      <c r="C30" s="76"/>
      <c r="D30" s="90"/>
      <c r="E30" s="77"/>
      <c r="F30" s="104">
        <v>15</v>
      </c>
      <c r="G30" s="105"/>
      <c r="H30" s="106">
        <v>51</v>
      </c>
      <c r="I30" s="105"/>
      <c r="J30" s="111">
        <v>243</v>
      </c>
      <c r="K30" s="105"/>
      <c r="L30" s="111">
        <v>246</v>
      </c>
      <c r="M30" s="112"/>
      <c r="N30" s="111">
        <v>245</v>
      </c>
      <c r="O30" s="105"/>
      <c r="P30" s="111">
        <v>245</v>
      </c>
      <c r="Q30" s="105"/>
      <c r="R30" s="111">
        <v>249</v>
      </c>
      <c r="S30" s="105"/>
      <c r="T30" s="111">
        <v>250</v>
      </c>
      <c r="U30" s="105"/>
      <c r="V30" s="111">
        <v>250</v>
      </c>
      <c r="W30" s="105"/>
      <c r="X30" s="97">
        <v>97</v>
      </c>
      <c r="Y30" s="105"/>
      <c r="Z30" s="97">
        <v>99</v>
      </c>
      <c r="AA30" s="105"/>
      <c r="AB30" s="97">
        <v>255</v>
      </c>
      <c r="AC30" s="105"/>
      <c r="AD30" s="97">
        <v>256</v>
      </c>
      <c r="AE30" s="98"/>
      <c r="AF30" s="111">
        <v>255</v>
      </c>
      <c r="AG30" s="98"/>
      <c r="AH30" s="111">
        <v>253</v>
      </c>
      <c r="AI30" s="98"/>
      <c r="AJ30" s="113">
        <v>280</v>
      </c>
      <c r="AK30" s="98"/>
      <c r="AL30" s="113">
        <v>280</v>
      </c>
      <c r="AM30" s="98"/>
      <c r="AN30" s="113">
        <v>280</v>
      </c>
      <c r="AO30" s="98"/>
      <c r="AP30" s="97">
        <v>78</v>
      </c>
      <c r="AQ30" s="98"/>
      <c r="AR30" s="97">
        <v>270</v>
      </c>
      <c r="AS30" s="98"/>
      <c r="AT30" s="97">
        <v>308</v>
      </c>
      <c r="AU30" s="98"/>
      <c r="AV30" s="97">
        <v>303</v>
      </c>
      <c r="AW30" s="98"/>
      <c r="AX30" s="97">
        <v>412</v>
      </c>
      <c r="AY30" s="98"/>
      <c r="AZ30" s="97">
        <v>19</v>
      </c>
      <c r="BA30" s="98"/>
      <c r="BB30" s="97">
        <v>80</v>
      </c>
      <c r="BC30" s="98"/>
      <c r="BD30" s="113">
        <v>15</v>
      </c>
      <c r="BE30" s="98"/>
      <c r="BF30" s="97">
        <v>0.9</v>
      </c>
      <c r="BG30" s="98"/>
      <c r="BH30" s="97">
        <v>85</v>
      </c>
      <c r="BI30" s="98"/>
      <c r="BJ30" s="97">
        <v>11</v>
      </c>
      <c r="BK30" s="98"/>
      <c r="BL30" s="97">
        <v>35</v>
      </c>
      <c r="BM30" s="98"/>
      <c r="BN30" s="113">
        <v>2</v>
      </c>
      <c r="BO30" s="98"/>
      <c r="BP30" s="97">
        <v>0.1</v>
      </c>
      <c r="BQ30" s="98"/>
      <c r="BR30" s="97">
        <v>5</v>
      </c>
      <c r="BS30" s="98"/>
      <c r="BT30" s="114">
        <v>30</v>
      </c>
      <c r="BU30" s="98"/>
      <c r="BV30" s="113">
        <v>3</v>
      </c>
      <c r="BW30" s="98"/>
      <c r="BX30" s="97">
        <v>1</v>
      </c>
      <c r="BY30" s="98"/>
      <c r="BZ30" s="97">
        <v>11</v>
      </c>
      <c r="CA30" s="98"/>
      <c r="CB30" s="97">
        <v>7</v>
      </c>
      <c r="CC30" s="98"/>
      <c r="CD30" s="97">
        <v>0.5</v>
      </c>
      <c r="CE30" s="107"/>
      <c r="CF30" s="97">
        <v>6.6</v>
      </c>
      <c r="CG30" s="107"/>
      <c r="CH30" s="111">
        <v>-540</v>
      </c>
    </row>
    <row r="31" spans="1:87" ht="18.75" customHeight="1" x14ac:dyDescent="0.2">
      <c r="A31" s="89">
        <v>46289</v>
      </c>
      <c r="B31" s="58"/>
      <c r="C31" s="76"/>
      <c r="D31" s="90"/>
      <c r="E31" s="77"/>
      <c r="F31" s="104">
        <v>14</v>
      </c>
      <c r="G31" s="105"/>
      <c r="H31" s="106">
        <v>45</v>
      </c>
      <c r="I31" s="105"/>
      <c r="J31" s="111">
        <v>247</v>
      </c>
      <c r="K31" s="105"/>
      <c r="L31" s="111">
        <v>252</v>
      </c>
      <c r="M31" s="112"/>
      <c r="N31" s="111">
        <v>249</v>
      </c>
      <c r="O31" s="105"/>
      <c r="P31" s="111">
        <v>250</v>
      </c>
      <c r="Q31" s="105"/>
      <c r="R31" s="111">
        <v>249</v>
      </c>
      <c r="S31" s="105"/>
      <c r="T31" s="111">
        <v>250</v>
      </c>
      <c r="U31" s="105"/>
      <c r="V31" s="111">
        <v>250</v>
      </c>
      <c r="W31" s="105"/>
      <c r="X31" s="97">
        <v>91</v>
      </c>
      <c r="Y31" s="105"/>
      <c r="Z31" s="97">
        <v>99</v>
      </c>
      <c r="AA31" s="105"/>
      <c r="AB31" s="97">
        <v>255</v>
      </c>
      <c r="AC31" s="105"/>
      <c r="AD31" s="97">
        <v>261</v>
      </c>
      <c r="AE31" s="98"/>
      <c r="AF31" s="111">
        <v>260</v>
      </c>
      <c r="AG31" s="98"/>
      <c r="AH31" s="111">
        <v>258</v>
      </c>
      <c r="AI31" s="98"/>
      <c r="AJ31" s="113">
        <v>280</v>
      </c>
      <c r="AK31" s="98"/>
      <c r="AL31" s="113">
        <v>280</v>
      </c>
      <c r="AM31" s="98"/>
      <c r="AN31" s="113">
        <v>280</v>
      </c>
      <c r="AO31" s="98"/>
      <c r="AP31" s="97">
        <v>74</v>
      </c>
      <c r="AQ31" s="98"/>
      <c r="AR31" s="97">
        <v>269</v>
      </c>
      <c r="AS31" s="98"/>
      <c r="AT31" s="97">
        <v>307</v>
      </c>
      <c r="AU31" s="98"/>
      <c r="AV31" s="97">
        <v>306</v>
      </c>
      <c r="AW31" s="98"/>
      <c r="AX31" s="97">
        <v>412</v>
      </c>
      <c r="AY31" s="98"/>
      <c r="AZ31" s="97">
        <v>19</v>
      </c>
      <c r="BA31" s="98"/>
      <c r="BB31" s="97">
        <v>90</v>
      </c>
      <c r="BC31" s="98"/>
      <c r="BD31" s="113">
        <v>15</v>
      </c>
      <c r="BE31" s="98"/>
      <c r="BF31" s="97">
        <v>0.9</v>
      </c>
      <c r="BG31" s="98"/>
      <c r="BH31" s="97">
        <v>95</v>
      </c>
      <c r="BI31" s="98"/>
      <c r="BJ31" s="97">
        <v>11</v>
      </c>
      <c r="BK31" s="98"/>
      <c r="BL31" s="97">
        <v>35</v>
      </c>
      <c r="BM31" s="98"/>
      <c r="BN31" s="113">
        <v>2</v>
      </c>
      <c r="BO31" s="98"/>
      <c r="BP31" s="97">
        <v>0.1</v>
      </c>
      <c r="BQ31" s="98"/>
      <c r="BR31" s="97">
        <v>5</v>
      </c>
      <c r="BS31" s="98"/>
      <c r="BT31" s="114">
        <v>30</v>
      </c>
      <c r="BU31" s="98"/>
      <c r="BV31" s="113">
        <v>3</v>
      </c>
      <c r="BW31" s="98"/>
      <c r="BX31" s="97">
        <v>1.5</v>
      </c>
      <c r="BY31" s="98"/>
      <c r="BZ31" s="97">
        <v>11</v>
      </c>
      <c r="CA31" s="98"/>
      <c r="CB31" s="97">
        <v>7</v>
      </c>
      <c r="CC31" s="98"/>
      <c r="CD31" s="97">
        <v>0.5</v>
      </c>
      <c r="CE31" s="107"/>
      <c r="CF31" s="97">
        <v>6.8</v>
      </c>
      <c r="CG31" s="107"/>
      <c r="CH31" s="111">
        <v>-550</v>
      </c>
    </row>
    <row r="32" spans="1:87" ht="18.75" customHeight="1" x14ac:dyDescent="0.2">
      <c r="A32" s="89">
        <v>46290</v>
      </c>
      <c r="B32" s="58"/>
      <c r="C32" s="76"/>
      <c r="D32" s="90"/>
      <c r="E32" s="77"/>
      <c r="F32" s="104">
        <v>28</v>
      </c>
      <c r="G32" s="105"/>
      <c r="H32" s="106">
        <v>48</v>
      </c>
      <c r="I32" s="105"/>
      <c r="J32" s="111">
        <v>248</v>
      </c>
      <c r="K32" s="105"/>
      <c r="L32" s="111">
        <v>251</v>
      </c>
      <c r="M32" s="112"/>
      <c r="N32" s="111">
        <v>250</v>
      </c>
      <c r="O32" s="105"/>
      <c r="P32" s="111">
        <v>250</v>
      </c>
      <c r="Q32" s="105"/>
      <c r="R32" s="111">
        <v>249</v>
      </c>
      <c r="S32" s="105"/>
      <c r="T32" s="111">
        <v>250</v>
      </c>
      <c r="U32" s="105"/>
      <c r="V32" s="111">
        <v>250</v>
      </c>
      <c r="W32" s="105"/>
      <c r="X32" s="97">
        <v>93</v>
      </c>
      <c r="Y32" s="105"/>
      <c r="Z32" s="97">
        <v>102</v>
      </c>
      <c r="AA32" s="105"/>
      <c r="AB32" s="97">
        <v>255</v>
      </c>
      <c r="AC32" s="105"/>
      <c r="AD32" s="97">
        <v>262</v>
      </c>
      <c r="AE32" s="98"/>
      <c r="AF32" s="114">
        <v>260</v>
      </c>
      <c r="AG32" s="98"/>
      <c r="AH32" s="114">
        <v>261</v>
      </c>
      <c r="AI32" s="98"/>
      <c r="AJ32" s="113">
        <v>280</v>
      </c>
      <c r="AK32" s="98"/>
      <c r="AL32" s="113">
        <v>280</v>
      </c>
      <c r="AM32" s="98"/>
      <c r="AN32" s="113">
        <v>280</v>
      </c>
      <c r="AO32" s="98"/>
      <c r="AP32" s="97">
        <v>77</v>
      </c>
      <c r="AQ32" s="98"/>
      <c r="AR32" s="97">
        <v>271</v>
      </c>
      <c r="AS32" s="98"/>
      <c r="AT32" s="97">
        <v>309</v>
      </c>
      <c r="AU32" s="98"/>
      <c r="AV32" s="97">
        <v>309</v>
      </c>
      <c r="AW32" s="98"/>
      <c r="AX32" s="97">
        <v>412</v>
      </c>
      <c r="AY32" s="98"/>
      <c r="AZ32" s="97">
        <v>19</v>
      </c>
      <c r="BA32" s="98"/>
      <c r="BB32" s="97">
        <v>90</v>
      </c>
      <c r="BC32" s="98"/>
      <c r="BD32" s="113">
        <v>15</v>
      </c>
      <c r="BE32" s="98"/>
      <c r="BF32" s="97">
        <v>0.9</v>
      </c>
      <c r="BG32" s="98"/>
      <c r="BH32" s="97">
        <v>95</v>
      </c>
      <c r="BI32" s="98"/>
      <c r="BJ32" s="97">
        <v>11</v>
      </c>
      <c r="BK32" s="98"/>
      <c r="BL32" s="97">
        <v>35</v>
      </c>
      <c r="BM32" s="98"/>
      <c r="BN32" s="113">
        <v>2</v>
      </c>
      <c r="BO32" s="98"/>
      <c r="BP32" s="97">
        <v>0.1</v>
      </c>
      <c r="BQ32" s="98"/>
      <c r="BR32" s="97">
        <v>5</v>
      </c>
      <c r="BS32" s="98"/>
      <c r="BT32" s="114">
        <v>30</v>
      </c>
      <c r="BU32" s="98"/>
      <c r="BV32" s="113">
        <v>3</v>
      </c>
      <c r="BW32" s="98"/>
      <c r="BX32" s="97">
        <v>1.5</v>
      </c>
      <c r="BY32" s="98"/>
      <c r="BZ32" s="97">
        <v>11</v>
      </c>
      <c r="CA32" s="98"/>
      <c r="CB32" s="97">
        <v>7</v>
      </c>
      <c r="CC32" s="98"/>
      <c r="CD32" s="97">
        <v>0.5</v>
      </c>
      <c r="CE32" s="107"/>
      <c r="CF32" s="97">
        <v>6.6</v>
      </c>
      <c r="CG32" s="107"/>
      <c r="CH32" s="113">
        <v>-570</v>
      </c>
    </row>
    <row r="33" spans="1:86" ht="18.75" customHeight="1" x14ac:dyDescent="0.2">
      <c r="A33" s="89">
        <v>46294</v>
      </c>
      <c r="B33" s="58"/>
      <c r="C33" s="76"/>
      <c r="D33" s="90"/>
      <c r="E33" s="77"/>
      <c r="F33" s="104">
        <v>25</v>
      </c>
      <c r="G33" s="105"/>
      <c r="H33" s="106">
        <v>49</v>
      </c>
      <c r="I33" s="105"/>
      <c r="J33" s="111">
        <v>250</v>
      </c>
      <c r="K33" s="105"/>
      <c r="L33" s="111">
        <v>252</v>
      </c>
      <c r="M33" s="112"/>
      <c r="N33" s="111">
        <v>250</v>
      </c>
      <c r="O33" s="105"/>
      <c r="P33" s="111">
        <v>250</v>
      </c>
      <c r="Q33" s="105"/>
      <c r="R33" s="111">
        <v>249</v>
      </c>
      <c r="S33" s="105"/>
      <c r="T33" s="111">
        <v>250</v>
      </c>
      <c r="U33" s="105"/>
      <c r="V33" s="111">
        <v>250</v>
      </c>
      <c r="W33" s="105"/>
      <c r="X33" s="97">
        <v>91</v>
      </c>
      <c r="Y33" s="105"/>
      <c r="Z33" s="97">
        <v>101</v>
      </c>
      <c r="AA33" s="105"/>
      <c r="AB33" s="97">
        <v>255</v>
      </c>
      <c r="AC33" s="105"/>
      <c r="AD33" s="97">
        <v>261</v>
      </c>
      <c r="AE33" s="98"/>
      <c r="AF33" s="114">
        <v>260</v>
      </c>
      <c r="AG33" s="98"/>
      <c r="AH33" s="114">
        <v>261</v>
      </c>
      <c r="AI33" s="98"/>
      <c r="AJ33" s="113">
        <v>280</v>
      </c>
      <c r="AK33" s="98"/>
      <c r="AL33" s="113">
        <v>280</v>
      </c>
      <c r="AM33" s="98"/>
      <c r="AN33" s="113">
        <v>280</v>
      </c>
      <c r="AO33" s="98"/>
      <c r="AP33" s="97">
        <v>77</v>
      </c>
      <c r="AQ33" s="98"/>
      <c r="AR33" s="97">
        <v>269</v>
      </c>
      <c r="AS33" s="98"/>
      <c r="AT33" s="97">
        <v>307</v>
      </c>
      <c r="AU33" s="98"/>
      <c r="AV33" s="97">
        <v>307</v>
      </c>
      <c r="AW33" s="98"/>
      <c r="AX33" s="97">
        <v>412</v>
      </c>
      <c r="AY33" s="98"/>
      <c r="AZ33" s="97">
        <v>19</v>
      </c>
      <c r="BA33" s="98"/>
      <c r="BB33" s="97">
        <v>85</v>
      </c>
      <c r="BC33" s="98"/>
      <c r="BD33" s="113">
        <v>15</v>
      </c>
      <c r="BE33" s="98"/>
      <c r="BF33" s="97">
        <v>0.9</v>
      </c>
      <c r="BG33" s="98"/>
      <c r="BH33" s="97">
        <v>90</v>
      </c>
      <c r="BI33" s="98"/>
      <c r="BJ33" s="97">
        <v>11</v>
      </c>
      <c r="BK33" s="98"/>
      <c r="BL33" s="97">
        <v>35</v>
      </c>
      <c r="BM33" s="98"/>
      <c r="BN33" s="113">
        <v>2</v>
      </c>
      <c r="BO33" s="98"/>
      <c r="BP33" s="97">
        <v>0.1</v>
      </c>
      <c r="BQ33" s="98"/>
      <c r="BR33" s="97">
        <v>5</v>
      </c>
      <c r="BS33" s="98"/>
      <c r="BT33" s="114">
        <v>30</v>
      </c>
      <c r="BU33" s="98"/>
      <c r="BV33" s="113">
        <v>3</v>
      </c>
      <c r="BW33" s="98"/>
      <c r="BX33" s="97">
        <v>1.5</v>
      </c>
      <c r="BY33" s="98"/>
      <c r="BZ33" s="97">
        <v>11</v>
      </c>
      <c r="CA33" s="98"/>
      <c r="CB33" s="97">
        <v>7</v>
      </c>
      <c r="CC33" s="98"/>
      <c r="CD33" s="97">
        <v>0.5</v>
      </c>
      <c r="CE33" s="107"/>
      <c r="CF33" s="97">
        <v>6.6</v>
      </c>
      <c r="CG33" s="107"/>
      <c r="CH33" s="113">
        <v>-550</v>
      </c>
    </row>
    <row r="34" spans="1:86" ht="18.75" customHeight="1" x14ac:dyDescent="0.2">
      <c r="A34" s="89"/>
      <c r="B34" s="58"/>
      <c r="C34" s="76"/>
      <c r="D34" s="90"/>
      <c r="E34" s="77"/>
      <c r="F34" s="104"/>
      <c r="G34" s="105"/>
      <c r="H34" s="106"/>
      <c r="I34" s="105"/>
      <c r="J34" s="111"/>
      <c r="K34" s="105"/>
      <c r="L34" s="111"/>
      <c r="M34" s="112"/>
      <c r="N34" s="111"/>
      <c r="O34" s="105"/>
      <c r="P34" s="111"/>
      <c r="Q34" s="105"/>
      <c r="R34" s="111"/>
      <c r="S34" s="105"/>
      <c r="T34" s="111"/>
      <c r="U34" s="105"/>
      <c r="V34" s="111"/>
      <c r="W34" s="105"/>
      <c r="X34" s="97"/>
      <c r="Y34" s="105"/>
      <c r="Z34" s="97"/>
      <c r="AA34" s="105"/>
      <c r="AB34" s="97"/>
      <c r="AC34" s="105"/>
      <c r="AD34" s="97"/>
      <c r="AE34" s="98"/>
      <c r="AF34" s="114"/>
      <c r="AG34" s="98"/>
      <c r="AH34" s="114"/>
      <c r="AI34" s="98"/>
      <c r="AJ34" s="113"/>
      <c r="AK34" s="98"/>
      <c r="AL34" s="113"/>
      <c r="AM34" s="98"/>
      <c r="AN34" s="113"/>
      <c r="AO34" s="98"/>
      <c r="AP34" s="97"/>
      <c r="AQ34" s="98"/>
      <c r="AR34" s="97"/>
      <c r="AS34" s="98"/>
      <c r="AT34" s="97"/>
      <c r="AU34" s="98"/>
      <c r="AV34" s="97"/>
      <c r="AW34" s="98"/>
      <c r="AX34" s="97"/>
      <c r="AY34" s="98"/>
      <c r="AZ34" s="97"/>
      <c r="BA34" s="98"/>
      <c r="BB34" s="97"/>
      <c r="BC34" s="98"/>
      <c r="BD34" s="113"/>
      <c r="BE34" s="98"/>
      <c r="BF34" s="97"/>
      <c r="BG34" s="98"/>
      <c r="BH34" s="97"/>
      <c r="BI34" s="98"/>
      <c r="BJ34" s="97"/>
      <c r="BK34" s="98"/>
      <c r="BL34" s="97"/>
      <c r="BM34" s="98"/>
      <c r="BN34" s="113"/>
      <c r="BO34" s="98"/>
      <c r="BP34" s="97"/>
      <c r="BQ34" s="98"/>
      <c r="BR34" s="97"/>
      <c r="BS34" s="98"/>
      <c r="BT34" s="114"/>
      <c r="BU34" s="98"/>
      <c r="BV34" s="113"/>
      <c r="BW34" s="98"/>
      <c r="BX34" s="97"/>
      <c r="BY34" s="98"/>
      <c r="BZ34" s="97"/>
      <c r="CA34" s="98"/>
      <c r="CB34" s="97"/>
      <c r="CC34" s="98"/>
      <c r="CD34" s="97"/>
      <c r="CE34" s="107"/>
      <c r="CF34" s="97"/>
      <c r="CG34" s="107"/>
      <c r="CH34" s="113"/>
    </row>
    <row r="35" spans="1:86" ht="18.75" customHeight="1" x14ac:dyDescent="0.2">
      <c r="A35" s="89"/>
      <c r="B35" s="58"/>
      <c r="C35" s="76"/>
      <c r="D35" s="90"/>
      <c r="E35" s="77"/>
      <c r="F35" s="104"/>
      <c r="G35" s="105"/>
      <c r="H35" s="106"/>
      <c r="I35" s="105"/>
      <c r="J35" s="111"/>
      <c r="K35" s="105"/>
      <c r="L35" s="111"/>
      <c r="M35" s="112"/>
      <c r="N35" s="111"/>
      <c r="O35" s="105"/>
      <c r="P35" s="111"/>
      <c r="Q35" s="105"/>
      <c r="R35" s="111"/>
      <c r="S35" s="105"/>
      <c r="T35" s="111"/>
      <c r="U35" s="105"/>
      <c r="V35" s="111"/>
      <c r="W35" s="105"/>
      <c r="X35" s="97"/>
      <c r="Y35" s="105"/>
      <c r="Z35" s="97"/>
      <c r="AA35" s="105"/>
      <c r="AB35" s="97"/>
      <c r="AC35" s="105"/>
      <c r="AD35" s="97"/>
      <c r="AE35" s="98"/>
      <c r="AF35" s="114"/>
      <c r="AG35" s="98"/>
      <c r="AH35" s="114"/>
      <c r="AI35" s="98"/>
      <c r="AJ35" s="113"/>
      <c r="AK35" s="98"/>
      <c r="AL35" s="113"/>
      <c r="AM35" s="98"/>
      <c r="AN35" s="113"/>
      <c r="AO35" s="98"/>
      <c r="AP35" s="97"/>
      <c r="AQ35" s="98"/>
      <c r="AR35" s="97"/>
      <c r="AS35" s="98"/>
      <c r="AT35" s="97"/>
      <c r="AU35" s="98"/>
      <c r="AV35" s="97"/>
      <c r="AW35" s="98"/>
      <c r="AX35" s="97"/>
      <c r="AY35" s="98"/>
      <c r="AZ35" s="97"/>
      <c r="BA35" s="98"/>
      <c r="BB35" s="97"/>
      <c r="BC35" s="98"/>
      <c r="BD35" s="113"/>
      <c r="BE35" s="98"/>
      <c r="BF35" s="97"/>
      <c r="BG35" s="98"/>
      <c r="BH35" s="97"/>
      <c r="BI35" s="98"/>
      <c r="BJ35" s="97"/>
      <c r="BK35" s="98"/>
      <c r="BL35" s="97"/>
      <c r="BM35" s="98"/>
      <c r="BN35" s="113"/>
      <c r="BO35" s="98"/>
      <c r="BP35" s="97"/>
      <c r="BQ35" s="98"/>
      <c r="BR35" s="97"/>
      <c r="BS35" s="98"/>
      <c r="BT35" s="114"/>
      <c r="BU35" s="98"/>
      <c r="BV35" s="113"/>
      <c r="BW35" s="98"/>
      <c r="BX35" s="97"/>
      <c r="BY35" s="98"/>
      <c r="BZ35" s="97"/>
      <c r="CA35" s="98"/>
      <c r="CB35" s="97"/>
      <c r="CC35" s="98"/>
      <c r="CD35" s="97"/>
      <c r="CE35" s="107"/>
      <c r="CF35" s="97"/>
      <c r="CG35" s="107"/>
      <c r="CH35" s="113"/>
    </row>
    <row r="36" spans="1:86" ht="18.75" customHeight="1" x14ac:dyDescent="0.2">
      <c r="A36" s="89"/>
      <c r="B36" s="58"/>
      <c r="C36" s="76"/>
      <c r="D36" s="90"/>
      <c r="E36" s="77"/>
      <c r="F36" s="104"/>
      <c r="G36" s="105"/>
      <c r="H36" s="106"/>
      <c r="I36" s="105"/>
      <c r="J36" s="111"/>
      <c r="K36" s="105"/>
      <c r="L36" s="111"/>
      <c r="M36" s="112"/>
      <c r="N36" s="111"/>
      <c r="O36" s="105"/>
      <c r="P36" s="111"/>
      <c r="Q36" s="105"/>
      <c r="R36" s="111"/>
      <c r="S36" s="105"/>
      <c r="T36" s="111"/>
      <c r="U36" s="105"/>
      <c r="V36" s="111"/>
      <c r="W36" s="105"/>
      <c r="X36" s="97"/>
      <c r="Y36" s="105"/>
      <c r="Z36" s="97"/>
      <c r="AA36" s="105"/>
      <c r="AB36" s="97"/>
      <c r="AC36" s="105"/>
      <c r="AD36" s="97"/>
      <c r="AE36" s="98"/>
      <c r="AF36" s="114"/>
      <c r="AG36" s="98"/>
      <c r="AH36" s="114"/>
      <c r="AI36" s="98"/>
      <c r="AJ36" s="113"/>
      <c r="AK36" s="98"/>
      <c r="AL36" s="113"/>
      <c r="AM36" s="98"/>
      <c r="AN36" s="113"/>
      <c r="AO36" s="98"/>
      <c r="AP36" s="97"/>
      <c r="AQ36" s="98"/>
      <c r="AR36" s="97"/>
      <c r="AS36" s="98"/>
      <c r="AT36" s="97"/>
      <c r="AU36" s="98"/>
      <c r="AV36" s="97"/>
      <c r="AW36" s="98"/>
      <c r="AX36" s="97"/>
      <c r="AY36" s="98"/>
      <c r="AZ36" s="97"/>
      <c r="BA36" s="98"/>
      <c r="BB36" s="97"/>
      <c r="BC36" s="98"/>
      <c r="BD36" s="113"/>
      <c r="BE36" s="98"/>
      <c r="BF36" s="97"/>
      <c r="BG36" s="98"/>
      <c r="BH36" s="97"/>
      <c r="BI36" s="98"/>
      <c r="BJ36" s="97"/>
      <c r="BK36" s="98"/>
      <c r="BL36" s="97"/>
      <c r="BM36" s="98"/>
      <c r="BN36" s="113"/>
      <c r="BO36" s="98"/>
      <c r="BP36" s="97"/>
      <c r="BQ36" s="98"/>
      <c r="BR36" s="97"/>
      <c r="BS36" s="98"/>
      <c r="BT36" s="114"/>
      <c r="BU36" s="98"/>
      <c r="BV36" s="113"/>
      <c r="BW36" s="98"/>
      <c r="BX36" s="97"/>
      <c r="BY36" s="98"/>
      <c r="BZ36" s="97"/>
      <c r="CA36" s="98"/>
      <c r="CB36" s="97"/>
      <c r="CC36" s="98"/>
      <c r="CD36" s="97"/>
      <c r="CE36" s="107"/>
      <c r="CF36" s="97"/>
      <c r="CG36" s="107"/>
      <c r="CH36" s="113"/>
    </row>
    <row r="37" spans="1:86" ht="18.75" customHeight="1" x14ac:dyDescent="0.2">
      <c r="A37" s="89"/>
      <c r="B37" s="58"/>
      <c r="C37" s="76"/>
      <c r="D37" s="90"/>
      <c r="E37" s="77"/>
      <c r="F37" s="104"/>
      <c r="G37" s="105"/>
      <c r="H37" s="106"/>
      <c r="I37" s="105"/>
      <c r="J37" s="111"/>
      <c r="K37" s="105"/>
      <c r="L37" s="111"/>
      <c r="M37" s="112"/>
      <c r="N37" s="111"/>
      <c r="O37" s="105"/>
      <c r="P37" s="111"/>
      <c r="Q37" s="105"/>
      <c r="R37" s="111"/>
      <c r="S37" s="105"/>
      <c r="T37" s="111"/>
      <c r="U37" s="105"/>
      <c r="V37" s="111"/>
      <c r="W37" s="105"/>
      <c r="X37" s="97"/>
      <c r="Y37" s="105"/>
      <c r="Z37" s="97"/>
      <c r="AA37" s="105"/>
      <c r="AB37" s="97"/>
      <c r="AC37" s="105"/>
      <c r="AD37" s="97"/>
      <c r="AE37" s="98"/>
      <c r="AF37" s="114"/>
      <c r="AG37" s="98"/>
      <c r="AH37" s="114"/>
      <c r="AI37" s="98"/>
      <c r="AJ37" s="113"/>
      <c r="AK37" s="98"/>
      <c r="AL37" s="113"/>
      <c r="AM37" s="98"/>
      <c r="AN37" s="113"/>
      <c r="AO37" s="98"/>
      <c r="AP37" s="97"/>
      <c r="AQ37" s="98"/>
      <c r="AR37" s="97"/>
      <c r="AS37" s="98"/>
      <c r="AT37" s="97"/>
      <c r="AU37" s="98"/>
      <c r="AV37" s="97"/>
      <c r="AW37" s="98"/>
      <c r="AX37" s="97"/>
      <c r="AY37" s="98"/>
      <c r="AZ37" s="97"/>
      <c r="BA37" s="98"/>
      <c r="BB37" s="97"/>
      <c r="BC37" s="98"/>
      <c r="BD37" s="113"/>
      <c r="BE37" s="98"/>
      <c r="BF37" s="97"/>
      <c r="BG37" s="98"/>
      <c r="BH37" s="97"/>
      <c r="BI37" s="98"/>
      <c r="BJ37" s="97"/>
      <c r="BK37" s="98"/>
      <c r="BL37" s="97"/>
      <c r="BM37" s="98"/>
      <c r="BN37" s="113"/>
      <c r="BO37" s="98"/>
      <c r="BP37" s="97"/>
      <c r="BQ37" s="98"/>
      <c r="BR37" s="97"/>
      <c r="BS37" s="98"/>
      <c r="BT37" s="114"/>
      <c r="BU37" s="98"/>
      <c r="BV37" s="113"/>
      <c r="BW37" s="98"/>
      <c r="BX37" s="97"/>
      <c r="BY37" s="98"/>
      <c r="BZ37" s="97"/>
      <c r="CA37" s="98"/>
      <c r="CB37" s="97"/>
      <c r="CC37" s="98"/>
      <c r="CD37" s="97"/>
      <c r="CE37" s="107"/>
      <c r="CF37" s="97"/>
      <c r="CG37" s="107"/>
      <c r="CH37" s="113"/>
    </row>
    <row r="38" spans="1:86" ht="18.75" customHeight="1" x14ac:dyDescent="0.2">
      <c r="A38" s="89"/>
      <c r="B38" s="58"/>
      <c r="C38" s="76"/>
      <c r="D38" s="90"/>
      <c r="E38" s="77"/>
      <c r="F38" s="104"/>
      <c r="G38" s="105"/>
      <c r="H38" s="106"/>
      <c r="I38" s="105"/>
      <c r="J38" s="111"/>
      <c r="K38" s="105"/>
      <c r="L38" s="111"/>
      <c r="M38" s="112"/>
      <c r="N38" s="111"/>
      <c r="O38" s="105"/>
      <c r="P38" s="111"/>
      <c r="Q38" s="105"/>
      <c r="R38" s="111"/>
      <c r="S38" s="105"/>
      <c r="T38" s="111"/>
      <c r="U38" s="105"/>
      <c r="V38" s="111"/>
      <c r="W38" s="105"/>
      <c r="X38" s="97"/>
      <c r="Y38" s="105"/>
      <c r="Z38" s="97"/>
      <c r="AA38" s="105"/>
      <c r="AB38" s="97"/>
      <c r="AC38" s="105"/>
      <c r="AD38" s="97"/>
      <c r="AE38" s="98"/>
      <c r="AF38" s="114"/>
      <c r="AG38" s="98"/>
      <c r="AH38" s="114"/>
      <c r="AI38" s="98"/>
      <c r="AJ38" s="113"/>
      <c r="AK38" s="98"/>
      <c r="AL38" s="113"/>
      <c r="AM38" s="98"/>
      <c r="AN38" s="113"/>
      <c r="AO38" s="98"/>
      <c r="AP38" s="97"/>
      <c r="AQ38" s="98"/>
      <c r="AR38" s="97"/>
      <c r="AS38" s="98"/>
      <c r="AT38" s="97"/>
      <c r="AU38" s="98"/>
      <c r="AV38" s="97"/>
      <c r="AW38" s="98"/>
      <c r="AX38" s="97"/>
      <c r="AY38" s="98"/>
      <c r="AZ38" s="97"/>
      <c r="BA38" s="98"/>
      <c r="BB38" s="97"/>
      <c r="BC38" s="98"/>
      <c r="BD38" s="113"/>
      <c r="BE38" s="98"/>
      <c r="BF38" s="97"/>
      <c r="BG38" s="98"/>
      <c r="BH38" s="97"/>
      <c r="BI38" s="98"/>
      <c r="BJ38" s="97"/>
      <c r="BK38" s="98"/>
      <c r="BL38" s="97"/>
      <c r="BM38" s="98"/>
      <c r="BN38" s="113"/>
      <c r="BO38" s="98"/>
      <c r="BP38" s="97"/>
      <c r="BQ38" s="98"/>
      <c r="BR38" s="97"/>
      <c r="BS38" s="98"/>
      <c r="BT38" s="114"/>
      <c r="BU38" s="98"/>
      <c r="BV38" s="113"/>
      <c r="BW38" s="98"/>
      <c r="BX38" s="97"/>
      <c r="BY38" s="98"/>
      <c r="BZ38" s="97"/>
      <c r="CA38" s="98"/>
      <c r="CB38" s="97"/>
      <c r="CC38" s="98"/>
      <c r="CD38" s="97"/>
      <c r="CE38" s="107"/>
      <c r="CF38" s="97"/>
      <c r="CG38" s="107"/>
      <c r="CH38" s="113"/>
    </row>
    <row r="39" spans="1:86" ht="18.75" customHeight="1" x14ac:dyDescent="0.2">
      <c r="A39" s="89"/>
      <c r="B39" s="58"/>
      <c r="C39" s="76"/>
      <c r="D39" s="90"/>
      <c r="E39" s="77"/>
      <c r="F39" s="104"/>
      <c r="G39" s="105"/>
      <c r="H39" s="106"/>
      <c r="I39" s="105"/>
      <c r="J39" s="111"/>
      <c r="K39" s="105"/>
      <c r="L39" s="111"/>
      <c r="M39" s="112"/>
      <c r="N39" s="111"/>
      <c r="O39" s="105"/>
      <c r="P39" s="111"/>
      <c r="Q39" s="105"/>
      <c r="R39" s="111"/>
      <c r="S39" s="105"/>
      <c r="T39" s="111"/>
      <c r="U39" s="105"/>
      <c r="V39" s="111"/>
      <c r="W39" s="105"/>
      <c r="X39" s="97"/>
      <c r="Y39" s="105"/>
      <c r="Z39" s="97"/>
      <c r="AA39" s="105"/>
      <c r="AB39" s="97"/>
      <c r="AC39" s="105"/>
      <c r="AD39" s="97"/>
      <c r="AE39" s="98"/>
      <c r="AF39" s="114"/>
      <c r="AG39" s="98"/>
      <c r="AH39" s="114"/>
      <c r="AI39" s="98"/>
      <c r="AJ39" s="113"/>
      <c r="AK39" s="98"/>
      <c r="AL39" s="113"/>
      <c r="AM39" s="98"/>
      <c r="AN39" s="113"/>
      <c r="AO39" s="98"/>
      <c r="AP39" s="97"/>
      <c r="AQ39" s="98"/>
      <c r="AR39" s="97"/>
      <c r="AS39" s="98"/>
      <c r="AT39" s="97"/>
      <c r="AU39" s="98"/>
      <c r="AV39" s="97"/>
      <c r="AW39" s="98"/>
      <c r="AX39" s="97"/>
      <c r="AY39" s="98"/>
      <c r="AZ39" s="97"/>
      <c r="BA39" s="98"/>
      <c r="BB39" s="97"/>
      <c r="BC39" s="98"/>
      <c r="BD39" s="113"/>
      <c r="BE39" s="98"/>
      <c r="BF39" s="97"/>
      <c r="BG39" s="98"/>
      <c r="BH39" s="97"/>
      <c r="BI39" s="98"/>
      <c r="BJ39" s="97"/>
      <c r="BK39" s="98"/>
      <c r="BL39" s="97"/>
      <c r="BM39" s="98"/>
      <c r="BN39" s="113"/>
      <c r="BO39" s="98"/>
      <c r="BP39" s="97"/>
      <c r="BQ39" s="98"/>
      <c r="BR39" s="97"/>
      <c r="BS39" s="98"/>
      <c r="BT39" s="114"/>
      <c r="BU39" s="98"/>
      <c r="BV39" s="113"/>
      <c r="BW39" s="98"/>
      <c r="BX39" s="97"/>
      <c r="BY39" s="98"/>
      <c r="BZ39" s="97"/>
      <c r="CA39" s="98"/>
      <c r="CB39" s="97"/>
      <c r="CC39" s="98"/>
      <c r="CD39" s="97"/>
      <c r="CE39" s="107"/>
      <c r="CF39" s="97"/>
      <c r="CG39" s="107"/>
      <c r="CH39" s="113"/>
    </row>
    <row r="40" spans="1:86" ht="18.75" customHeight="1" x14ac:dyDescent="0.2">
      <c r="A40" s="89"/>
      <c r="B40" s="58"/>
      <c r="C40" s="76"/>
      <c r="D40" s="90"/>
      <c r="E40" s="77"/>
      <c r="F40" s="104"/>
      <c r="G40" s="105"/>
      <c r="H40" s="106"/>
      <c r="I40" s="105"/>
      <c r="J40" s="111"/>
      <c r="K40" s="105"/>
      <c r="L40" s="111"/>
      <c r="M40" s="112"/>
      <c r="N40" s="111"/>
      <c r="O40" s="105"/>
      <c r="P40" s="111"/>
      <c r="Q40" s="105"/>
      <c r="R40" s="111"/>
      <c r="S40" s="105"/>
      <c r="T40" s="111"/>
      <c r="U40" s="105"/>
      <c r="V40" s="111"/>
      <c r="W40" s="105"/>
      <c r="X40" s="97"/>
      <c r="Y40" s="105"/>
      <c r="Z40" s="97"/>
      <c r="AA40" s="105"/>
      <c r="AB40" s="97"/>
      <c r="AC40" s="105"/>
      <c r="AD40" s="97"/>
      <c r="AE40" s="98"/>
      <c r="AF40" s="114"/>
      <c r="AG40" s="98"/>
      <c r="AH40" s="114"/>
      <c r="AI40" s="98"/>
      <c r="AJ40" s="113"/>
      <c r="AK40" s="98"/>
      <c r="AL40" s="113"/>
      <c r="AM40" s="98"/>
      <c r="AN40" s="113"/>
      <c r="AO40" s="98"/>
      <c r="AP40" s="97"/>
      <c r="AQ40" s="98"/>
      <c r="AR40" s="97"/>
      <c r="AS40" s="98"/>
      <c r="AT40" s="97"/>
      <c r="AU40" s="98"/>
      <c r="AV40" s="97"/>
      <c r="AW40" s="98"/>
      <c r="AX40" s="97"/>
      <c r="AY40" s="98"/>
      <c r="AZ40" s="97"/>
      <c r="BA40" s="98"/>
      <c r="BB40" s="97"/>
      <c r="BC40" s="98"/>
      <c r="BD40" s="113"/>
      <c r="BE40" s="98"/>
      <c r="BF40" s="97"/>
      <c r="BG40" s="98"/>
      <c r="BH40" s="97"/>
      <c r="BI40" s="98"/>
      <c r="BJ40" s="97"/>
      <c r="BK40" s="98"/>
      <c r="BL40" s="97"/>
      <c r="BM40" s="98"/>
      <c r="BN40" s="113"/>
      <c r="BO40" s="98"/>
      <c r="BP40" s="97"/>
      <c r="BQ40" s="98"/>
      <c r="BR40" s="97"/>
      <c r="BS40" s="98"/>
      <c r="BT40" s="114"/>
      <c r="BU40" s="98"/>
      <c r="BV40" s="113"/>
      <c r="BW40" s="98"/>
      <c r="BX40" s="97"/>
      <c r="BY40" s="98"/>
      <c r="BZ40" s="97"/>
      <c r="CA40" s="98"/>
      <c r="CB40" s="97"/>
      <c r="CC40" s="98"/>
      <c r="CD40" s="97"/>
      <c r="CE40" s="107"/>
      <c r="CF40" s="97"/>
      <c r="CG40" s="107"/>
      <c r="CH40" s="113"/>
    </row>
    <row r="41" spans="1:86" ht="18.75" customHeight="1" x14ac:dyDescent="0.2">
      <c r="A41" s="44"/>
      <c r="B41" s="57"/>
      <c r="C41" s="57"/>
      <c r="D41" s="57"/>
      <c r="E41" s="48"/>
      <c r="F41" s="47"/>
      <c r="G41" s="1"/>
      <c r="H41" s="24"/>
      <c r="I41" s="1"/>
      <c r="J41" s="24"/>
      <c r="K41" s="1"/>
      <c r="L41" s="24"/>
      <c r="M41" s="1"/>
      <c r="N41" s="24"/>
      <c r="O41" s="1"/>
      <c r="P41" s="24"/>
      <c r="Q41" s="1"/>
      <c r="R41" s="24"/>
      <c r="S41" s="1"/>
      <c r="T41" s="24"/>
      <c r="U41" s="1"/>
      <c r="V41" s="24"/>
      <c r="W41" s="1"/>
      <c r="X41" s="24"/>
      <c r="Y41" s="1"/>
      <c r="Z41" s="24"/>
      <c r="AA41" s="1"/>
      <c r="AB41" s="24"/>
      <c r="AC41" s="1"/>
      <c r="AD41" s="24"/>
      <c r="AF41" s="24"/>
      <c r="AH41" s="24"/>
      <c r="AJ41" s="24"/>
      <c r="AL41" s="24"/>
      <c r="AN41" s="24"/>
      <c r="AP41" s="24"/>
      <c r="AR41" s="24"/>
      <c r="AT41" s="24"/>
      <c r="AV41" s="24"/>
      <c r="AX41" s="24"/>
      <c r="AZ41" s="24"/>
      <c r="BB41" s="24"/>
      <c r="BD41" s="24"/>
      <c r="BF41" s="24"/>
      <c r="BH41" s="24"/>
      <c r="BJ41" s="24"/>
      <c r="BL41" s="24"/>
      <c r="BN41" s="24"/>
      <c r="BP41" s="24"/>
      <c r="BR41" s="24"/>
      <c r="BT41" s="24"/>
      <c r="BV41" s="24"/>
      <c r="BX41" s="24"/>
      <c r="BZ41" s="24"/>
      <c r="CB41" s="24"/>
      <c r="CD41" s="24"/>
      <c r="CF41" s="24"/>
      <c r="CH41" s="24"/>
    </row>
    <row r="42" spans="1:86" ht="18.75" customHeight="1" x14ac:dyDescent="0.2">
      <c r="A42" s="44"/>
      <c r="B42" s="57"/>
      <c r="C42" s="57"/>
      <c r="D42" s="57"/>
      <c r="E42" s="48"/>
      <c r="F42" s="47"/>
      <c r="G42" s="1"/>
      <c r="H42" s="24"/>
      <c r="I42" s="1"/>
      <c r="J42" s="24"/>
      <c r="K42" s="1"/>
      <c r="L42" s="24"/>
      <c r="M42" s="1"/>
      <c r="N42" s="24"/>
      <c r="O42" s="1"/>
      <c r="P42" s="24"/>
      <c r="Q42" s="1"/>
      <c r="R42" s="24"/>
      <c r="S42" s="1"/>
      <c r="T42" s="24"/>
      <c r="U42" s="1"/>
      <c r="V42" s="24"/>
      <c r="W42" s="1"/>
      <c r="X42" s="24"/>
      <c r="Y42" s="1"/>
      <c r="Z42" s="24"/>
      <c r="AA42" s="1"/>
      <c r="AB42" s="24"/>
      <c r="AC42" s="1"/>
      <c r="AD42" s="24"/>
      <c r="AF42" s="24"/>
      <c r="AH42" s="24"/>
      <c r="AJ42" s="24"/>
      <c r="AL42" s="24"/>
      <c r="AN42" s="24"/>
      <c r="AP42" s="24"/>
      <c r="AR42" s="24"/>
      <c r="AT42" s="24"/>
      <c r="AV42" s="24"/>
      <c r="AX42" s="24"/>
      <c r="AZ42" s="24"/>
      <c r="BB42" s="24"/>
      <c r="BD42" s="24"/>
      <c r="BF42" s="24"/>
      <c r="BH42" s="24"/>
      <c r="BJ42" s="24"/>
      <c r="BL42" s="24"/>
      <c r="BN42" s="24"/>
      <c r="BP42" s="24"/>
      <c r="BR42" s="24"/>
      <c r="BT42" s="24"/>
      <c r="BV42" s="24"/>
      <c r="BX42" s="24"/>
      <c r="BZ42" s="24"/>
      <c r="CB42" s="24"/>
      <c r="CD42" s="24"/>
      <c r="CF42" s="24"/>
      <c r="CH42" s="24"/>
    </row>
    <row r="43" spans="1:86" ht="18.75" customHeight="1" x14ac:dyDescent="0.2">
      <c r="A43" s="44"/>
      <c r="B43" s="57"/>
      <c r="C43" s="57"/>
      <c r="D43" s="57"/>
      <c r="E43" s="48"/>
      <c r="F43" s="47"/>
      <c r="G43" s="1"/>
      <c r="H43" s="24"/>
      <c r="I43" s="1"/>
      <c r="J43" s="24"/>
      <c r="K43" s="1"/>
      <c r="L43" s="24"/>
      <c r="M43" s="1"/>
      <c r="N43" s="24"/>
      <c r="O43" s="1"/>
      <c r="P43" s="24"/>
      <c r="Q43" s="1"/>
      <c r="R43" s="24"/>
      <c r="S43" s="1"/>
      <c r="T43" s="24"/>
      <c r="U43" s="1"/>
      <c r="V43" s="24"/>
      <c r="W43" s="1"/>
      <c r="X43" s="24"/>
      <c r="Y43" s="1"/>
      <c r="Z43" s="24"/>
      <c r="AA43" s="1"/>
      <c r="AB43" s="24"/>
      <c r="AC43" s="1"/>
      <c r="AD43" s="24"/>
      <c r="AF43" s="24"/>
      <c r="AH43" s="24"/>
      <c r="AJ43" s="24"/>
      <c r="AL43" s="24"/>
      <c r="AN43" s="24"/>
      <c r="AP43" s="24"/>
      <c r="AR43" s="24"/>
      <c r="AT43" s="24"/>
      <c r="AV43" s="24"/>
      <c r="AX43" s="24"/>
      <c r="AZ43" s="24"/>
      <c r="BB43" s="24"/>
      <c r="BD43" s="24"/>
      <c r="BF43" s="24"/>
      <c r="BH43" s="24"/>
      <c r="BJ43" s="24"/>
      <c r="BL43" s="24"/>
      <c r="BN43" s="24"/>
      <c r="BP43" s="24"/>
      <c r="BR43" s="24"/>
      <c r="BT43" s="24"/>
      <c r="BV43" s="24"/>
      <c r="BX43" s="24"/>
      <c r="BZ43" s="24"/>
      <c r="CB43" s="24"/>
      <c r="CD43" s="24"/>
      <c r="CF43" s="24"/>
      <c r="CH43" s="24"/>
    </row>
    <row r="44" spans="1:86" ht="18.75" customHeight="1" x14ac:dyDescent="0.2">
      <c r="A44" s="44"/>
      <c r="B44" s="57"/>
      <c r="C44" s="57"/>
      <c r="D44" s="57"/>
      <c r="E44" s="48"/>
      <c r="F44" s="47"/>
      <c r="G44" s="1"/>
      <c r="H44" s="24"/>
      <c r="I44" s="1"/>
      <c r="J44" s="24"/>
      <c r="K44" s="1"/>
      <c r="L44" s="24"/>
      <c r="M44" s="1"/>
      <c r="N44" s="24"/>
      <c r="O44" s="1"/>
      <c r="P44" s="24"/>
      <c r="Q44" s="1"/>
      <c r="R44" s="24"/>
      <c r="S44" s="1"/>
      <c r="T44" s="24"/>
      <c r="U44" s="1"/>
      <c r="V44" s="24"/>
      <c r="W44" s="1"/>
      <c r="X44" s="24"/>
      <c r="Y44" s="1"/>
      <c r="Z44" s="24"/>
      <c r="AA44" s="1"/>
      <c r="AB44" s="24"/>
      <c r="AC44" s="1"/>
      <c r="AD44" s="24"/>
      <c r="AF44" s="24"/>
      <c r="AH44" s="24"/>
      <c r="AJ44" s="24"/>
      <c r="AL44" s="24"/>
      <c r="AN44" s="24"/>
      <c r="AP44" s="24"/>
      <c r="AR44" s="24"/>
      <c r="AT44" s="24"/>
      <c r="AV44" s="24"/>
      <c r="AX44" s="24"/>
      <c r="AZ44" s="24"/>
      <c r="BB44" s="24"/>
      <c r="BD44" s="24"/>
      <c r="BF44" s="24"/>
      <c r="BH44" s="24"/>
      <c r="BJ44" s="24"/>
      <c r="BL44" s="24"/>
      <c r="BN44" s="24"/>
      <c r="BP44" s="24"/>
      <c r="BR44" s="24"/>
      <c r="BT44" s="24"/>
      <c r="BV44" s="24"/>
      <c r="BX44" s="24"/>
      <c r="BZ44" s="24"/>
      <c r="CB44" s="24"/>
      <c r="CD44" s="24"/>
      <c r="CF44" s="24"/>
      <c r="CH44" s="24"/>
    </row>
    <row r="45" spans="1:86" ht="18.75" customHeight="1" x14ac:dyDescent="0.2">
      <c r="A45" s="44"/>
      <c r="B45" s="57"/>
      <c r="C45" s="57"/>
      <c r="D45" s="57"/>
      <c r="E45" s="48"/>
      <c r="F45" s="47"/>
      <c r="G45" s="1"/>
      <c r="H45" s="24"/>
      <c r="I45" s="1"/>
      <c r="J45" s="24"/>
      <c r="K45" s="1"/>
      <c r="L45" s="24"/>
      <c r="M45" s="1"/>
      <c r="N45" s="24"/>
      <c r="O45" s="1"/>
      <c r="P45" s="24"/>
      <c r="Q45" s="1"/>
      <c r="R45" s="24"/>
      <c r="S45" s="1"/>
      <c r="T45" s="24"/>
      <c r="U45" s="1"/>
      <c r="V45" s="24"/>
      <c r="W45" s="1"/>
      <c r="X45" s="24"/>
      <c r="Y45" s="1"/>
      <c r="Z45" s="24"/>
      <c r="AA45" s="1"/>
      <c r="AB45" s="24"/>
      <c r="AC45" s="1"/>
      <c r="AD45" s="24"/>
      <c r="AF45" s="24"/>
      <c r="AH45" s="24"/>
      <c r="AJ45" s="24"/>
      <c r="AL45" s="24"/>
      <c r="AN45" s="24"/>
      <c r="AP45" s="24"/>
      <c r="AR45" s="24"/>
      <c r="AT45" s="24"/>
      <c r="AV45" s="24"/>
      <c r="AX45" s="24"/>
      <c r="AZ45" s="24"/>
      <c r="BB45" s="24"/>
      <c r="BD45" s="24"/>
      <c r="BF45" s="24"/>
      <c r="BH45" s="24"/>
      <c r="BJ45" s="24"/>
      <c r="BL45" s="24"/>
      <c r="BN45" s="24"/>
      <c r="BP45" s="24"/>
      <c r="BR45" s="24"/>
      <c r="BT45" s="24"/>
      <c r="BV45" s="24"/>
      <c r="BX45" s="24"/>
      <c r="BZ45" s="24"/>
      <c r="CB45" s="24"/>
      <c r="CD45" s="24"/>
      <c r="CF45" s="24"/>
      <c r="CH45" s="24"/>
    </row>
    <row r="46" spans="1:86" ht="18.75" customHeight="1" x14ac:dyDescent="0.2">
      <c r="A46" s="44"/>
      <c r="B46" s="57"/>
      <c r="C46" s="57"/>
      <c r="D46" s="57"/>
      <c r="E46" s="48"/>
      <c r="F46" s="47"/>
      <c r="G46" s="1"/>
      <c r="H46" s="24"/>
      <c r="I46" s="1"/>
      <c r="J46" s="24"/>
      <c r="K46" s="1"/>
      <c r="L46" s="24"/>
      <c r="M46" s="1"/>
      <c r="N46" s="24"/>
      <c r="O46" s="1"/>
      <c r="P46" s="24"/>
      <c r="Q46" s="1"/>
      <c r="R46" s="24"/>
      <c r="S46" s="1"/>
      <c r="T46" s="24"/>
      <c r="U46" s="1"/>
      <c r="V46" s="24"/>
      <c r="W46" s="1"/>
      <c r="X46" s="24"/>
      <c r="Y46" s="1"/>
      <c r="Z46" s="24"/>
      <c r="AA46" s="1"/>
      <c r="AB46" s="24"/>
      <c r="AC46" s="1"/>
      <c r="AD46" s="24"/>
      <c r="AF46" s="24"/>
      <c r="AH46" s="24"/>
      <c r="AJ46" s="24"/>
      <c r="AL46" s="24"/>
      <c r="AN46" s="24"/>
      <c r="AP46" s="24"/>
      <c r="AR46" s="24"/>
      <c r="AT46" s="24"/>
      <c r="AV46" s="24"/>
      <c r="AX46" s="24"/>
      <c r="AZ46" s="24"/>
      <c r="BB46" s="24"/>
      <c r="BD46" s="24"/>
      <c r="BF46" s="24"/>
      <c r="BH46" s="24"/>
      <c r="BJ46" s="24"/>
      <c r="BL46" s="24"/>
      <c r="BN46" s="24"/>
      <c r="BP46" s="24"/>
      <c r="BR46" s="24"/>
      <c r="BT46" s="24"/>
      <c r="BV46" s="24"/>
      <c r="BX46" s="24"/>
      <c r="BZ46" s="24"/>
      <c r="CB46" s="24"/>
      <c r="CD46" s="24"/>
      <c r="CF46" s="24"/>
      <c r="CH46" s="24"/>
    </row>
    <row r="47" spans="1:86" ht="18.75" customHeight="1" x14ac:dyDescent="0.2">
      <c r="A47" s="44"/>
      <c r="B47" s="57"/>
      <c r="C47" s="57"/>
      <c r="D47" s="57"/>
      <c r="E47" s="48"/>
      <c r="F47" s="47"/>
      <c r="G47" s="1"/>
      <c r="H47" s="24"/>
      <c r="I47" s="1"/>
      <c r="J47" s="24"/>
      <c r="K47" s="1"/>
      <c r="L47" s="24"/>
      <c r="M47" s="1"/>
      <c r="N47" s="24"/>
      <c r="O47" s="1"/>
      <c r="P47" s="24"/>
      <c r="Q47" s="1"/>
      <c r="R47" s="24"/>
      <c r="S47" s="1"/>
      <c r="T47" s="24"/>
      <c r="U47" s="1"/>
      <c r="V47" s="24"/>
      <c r="W47" s="1"/>
      <c r="X47" s="24"/>
      <c r="Y47" s="1"/>
      <c r="Z47" s="24"/>
      <c r="AA47" s="1"/>
      <c r="AB47" s="24"/>
      <c r="AC47" s="1"/>
      <c r="AD47" s="24"/>
      <c r="AF47" s="24"/>
      <c r="AH47" s="24"/>
      <c r="AJ47" s="24"/>
      <c r="AL47" s="24"/>
      <c r="AN47" s="24"/>
      <c r="AP47" s="24"/>
      <c r="AR47" s="24"/>
      <c r="AT47" s="24"/>
      <c r="AV47" s="24"/>
      <c r="AX47" s="24"/>
      <c r="AZ47" s="24"/>
      <c r="BB47" s="24"/>
      <c r="BD47" s="24"/>
      <c r="BF47" s="24"/>
      <c r="BH47" s="24"/>
      <c r="BJ47" s="24"/>
      <c r="BL47" s="24"/>
      <c r="BN47" s="24"/>
      <c r="BP47" s="24"/>
      <c r="BR47" s="24"/>
      <c r="BT47" s="24"/>
      <c r="BV47" s="24"/>
      <c r="BX47" s="24"/>
      <c r="BZ47" s="24"/>
      <c r="CB47" s="24"/>
      <c r="CD47" s="24"/>
      <c r="CF47" s="24"/>
      <c r="CH47" s="24"/>
    </row>
    <row r="48" spans="1:86" ht="18.75" customHeight="1" x14ac:dyDescent="0.2">
      <c r="A48" s="44"/>
      <c r="B48" s="57"/>
      <c r="C48" s="57"/>
      <c r="D48" s="57"/>
      <c r="E48" s="48"/>
      <c r="F48" s="47"/>
      <c r="G48" s="1"/>
      <c r="H48" s="24"/>
      <c r="I48" s="1"/>
      <c r="J48" s="24"/>
      <c r="K48" s="1"/>
      <c r="L48" s="24"/>
      <c r="M48" s="1"/>
      <c r="N48" s="24"/>
      <c r="O48" s="1"/>
      <c r="P48" s="24"/>
      <c r="Q48" s="1"/>
      <c r="R48" s="24"/>
      <c r="S48" s="1"/>
      <c r="T48" s="24"/>
      <c r="U48" s="1"/>
      <c r="V48" s="24"/>
      <c r="W48" s="1"/>
      <c r="X48" s="24"/>
      <c r="Y48" s="1"/>
      <c r="Z48" s="24"/>
      <c r="AA48" s="1"/>
      <c r="AB48" s="24"/>
      <c r="AC48" s="1"/>
      <c r="AD48" s="24"/>
      <c r="AF48" s="24"/>
      <c r="AH48" s="24"/>
      <c r="AJ48" s="24"/>
      <c r="AL48" s="24"/>
      <c r="AN48" s="24"/>
      <c r="AP48" s="24"/>
      <c r="AR48" s="24"/>
      <c r="AT48" s="24"/>
      <c r="AV48" s="24"/>
      <c r="AX48" s="24"/>
      <c r="AZ48" s="24"/>
      <c r="BB48" s="24"/>
      <c r="BD48" s="24"/>
      <c r="BF48" s="24"/>
      <c r="BH48" s="24"/>
      <c r="BJ48" s="24"/>
      <c r="BL48" s="24"/>
      <c r="BN48" s="24"/>
      <c r="BP48" s="24"/>
      <c r="BR48" s="24"/>
      <c r="BT48" s="24"/>
      <c r="BV48" s="24"/>
      <c r="BX48" s="24"/>
      <c r="BZ48" s="24"/>
      <c r="CB48" s="24"/>
      <c r="CD48" s="24"/>
      <c r="CF48" s="24"/>
      <c r="CH48" s="24"/>
    </row>
    <row r="49" spans="1:86" ht="18.75" customHeight="1" x14ac:dyDescent="0.2">
      <c r="A49" s="44"/>
      <c r="B49" s="57"/>
      <c r="C49" s="57"/>
      <c r="D49" s="57"/>
      <c r="E49" s="48"/>
      <c r="F49" s="47"/>
      <c r="G49" s="1"/>
      <c r="H49" s="24"/>
      <c r="I49" s="1"/>
      <c r="J49" s="24"/>
      <c r="K49" s="1"/>
      <c r="L49" s="24"/>
      <c r="M49" s="1"/>
      <c r="N49" s="24"/>
      <c r="O49" s="1"/>
      <c r="P49" s="24"/>
      <c r="Q49" s="1"/>
      <c r="R49" s="24"/>
      <c r="S49" s="1"/>
      <c r="T49" s="24"/>
      <c r="U49" s="1"/>
      <c r="V49" s="24"/>
      <c r="W49" s="1"/>
      <c r="X49" s="24"/>
      <c r="Y49" s="1"/>
      <c r="Z49" s="24"/>
      <c r="AA49" s="1"/>
      <c r="AB49" s="24"/>
      <c r="AC49" s="1"/>
      <c r="AD49" s="24"/>
      <c r="AF49" s="24"/>
      <c r="AH49" s="24"/>
      <c r="AJ49" s="24"/>
      <c r="AL49" s="24"/>
      <c r="AN49" s="24"/>
      <c r="AP49" s="24"/>
      <c r="AR49" s="24"/>
      <c r="AT49" s="24"/>
      <c r="AV49" s="24"/>
      <c r="AX49" s="24"/>
      <c r="AZ49" s="24"/>
      <c r="BB49" s="24"/>
      <c r="BD49" s="24"/>
      <c r="BF49" s="24"/>
      <c r="BH49" s="24"/>
      <c r="BJ49" s="24"/>
      <c r="BL49" s="24"/>
      <c r="BN49" s="24"/>
      <c r="BP49" s="24"/>
      <c r="BR49" s="24"/>
      <c r="BT49" s="24"/>
      <c r="BV49" s="24"/>
      <c r="BX49" s="24"/>
      <c r="BZ49" s="24"/>
      <c r="CB49" s="24"/>
      <c r="CD49" s="24"/>
      <c r="CF49" s="24"/>
      <c r="CH49" s="24"/>
    </row>
    <row r="50" spans="1:86" ht="18.75" customHeight="1" x14ac:dyDescent="0.2">
      <c r="A50" s="44"/>
      <c r="B50" s="57"/>
      <c r="C50" s="57"/>
      <c r="D50" s="57"/>
      <c r="E50" s="48"/>
      <c r="F50" s="47"/>
      <c r="G50" s="1"/>
      <c r="H50" s="24"/>
      <c r="I50" s="1"/>
      <c r="J50" s="24"/>
      <c r="K50" s="1"/>
      <c r="L50" s="24"/>
      <c r="M50" s="1"/>
      <c r="N50" s="24"/>
      <c r="O50" s="1"/>
      <c r="P50" s="24"/>
      <c r="Q50" s="1"/>
      <c r="R50" s="24"/>
      <c r="S50" s="1"/>
      <c r="T50" s="24"/>
      <c r="U50" s="1"/>
      <c r="V50" s="24"/>
      <c r="W50" s="1"/>
      <c r="X50" s="24"/>
      <c r="Y50" s="1"/>
      <c r="Z50" s="24"/>
      <c r="AA50" s="1"/>
      <c r="AB50" s="24"/>
      <c r="AC50" s="1"/>
      <c r="AD50" s="24"/>
      <c r="AF50" s="24"/>
      <c r="AH50" s="24"/>
      <c r="AJ50" s="24"/>
      <c r="AL50" s="24"/>
      <c r="AN50" s="24"/>
      <c r="AP50" s="24"/>
      <c r="AR50" s="24"/>
      <c r="AT50" s="24"/>
      <c r="AV50" s="24"/>
      <c r="AX50" s="24"/>
      <c r="AZ50" s="24"/>
      <c r="BB50" s="24"/>
      <c r="BD50" s="24"/>
      <c r="BF50" s="24"/>
      <c r="BH50" s="24"/>
      <c r="BJ50" s="24"/>
      <c r="BL50" s="24"/>
      <c r="BN50" s="24"/>
      <c r="BP50" s="24"/>
      <c r="BR50" s="24"/>
      <c r="BT50" s="24"/>
      <c r="BV50" s="24"/>
      <c r="BX50" s="24"/>
      <c r="BZ50" s="24"/>
      <c r="CB50" s="24"/>
      <c r="CD50" s="24"/>
      <c r="CF50" s="24"/>
      <c r="CH50" s="24"/>
    </row>
    <row r="51" spans="1:86" ht="18.75" customHeight="1" x14ac:dyDescent="0.2">
      <c r="A51" s="44"/>
      <c r="B51" s="57"/>
      <c r="C51" s="57"/>
      <c r="D51" s="57"/>
      <c r="E51" s="48"/>
      <c r="F51" s="47"/>
      <c r="G51" s="1"/>
      <c r="H51" s="24"/>
      <c r="I51" s="1"/>
      <c r="J51" s="24"/>
      <c r="K51" s="1"/>
      <c r="L51" s="24"/>
      <c r="M51" s="1"/>
      <c r="N51" s="24"/>
      <c r="O51" s="1"/>
      <c r="P51" s="24"/>
      <c r="Q51" s="1"/>
      <c r="R51" s="24"/>
      <c r="S51" s="1"/>
      <c r="T51" s="24"/>
      <c r="U51" s="1"/>
      <c r="V51" s="24"/>
      <c r="W51" s="1"/>
      <c r="X51" s="24"/>
      <c r="Y51" s="1"/>
      <c r="Z51" s="24"/>
      <c r="AA51" s="1"/>
      <c r="AB51" s="24"/>
      <c r="AC51" s="1"/>
      <c r="AD51" s="24"/>
      <c r="AF51" s="24"/>
      <c r="AH51" s="24"/>
      <c r="AJ51" s="24"/>
      <c r="AL51" s="24"/>
      <c r="AN51" s="24"/>
      <c r="AP51" s="24"/>
      <c r="AR51" s="24"/>
      <c r="AT51" s="24"/>
      <c r="AV51" s="24"/>
      <c r="AX51" s="24"/>
      <c r="AZ51" s="24"/>
      <c r="BB51" s="24"/>
      <c r="BD51" s="24"/>
      <c r="BF51" s="24"/>
      <c r="BH51" s="24"/>
      <c r="BJ51" s="24"/>
      <c r="BL51" s="24"/>
      <c r="BN51" s="24"/>
      <c r="BP51" s="24"/>
      <c r="BR51" s="24"/>
      <c r="BT51" s="24"/>
      <c r="BV51" s="24"/>
      <c r="BX51" s="24"/>
      <c r="BZ51" s="24"/>
      <c r="CB51" s="24"/>
      <c r="CD51" s="24"/>
      <c r="CF51" s="24"/>
      <c r="CH51" s="24"/>
    </row>
    <row r="52" spans="1:86" ht="18.75" customHeight="1" x14ac:dyDescent="0.2">
      <c r="A52" s="44"/>
      <c r="B52" s="57"/>
      <c r="C52" s="57"/>
      <c r="D52" s="57"/>
      <c r="E52" s="48"/>
      <c r="F52" s="47"/>
      <c r="G52" s="1"/>
      <c r="H52" s="24"/>
      <c r="I52" s="1"/>
      <c r="J52" s="24"/>
      <c r="K52" s="1"/>
      <c r="L52" s="24"/>
      <c r="M52" s="1"/>
      <c r="N52" s="24"/>
      <c r="O52" s="1"/>
      <c r="P52" s="24"/>
      <c r="Q52" s="1"/>
      <c r="R52" s="24"/>
      <c r="S52" s="1"/>
      <c r="T52" s="24"/>
      <c r="U52" s="1"/>
      <c r="V52" s="24"/>
      <c r="W52" s="1"/>
      <c r="X52" s="24"/>
      <c r="Y52" s="1"/>
      <c r="Z52" s="24"/>
      <c r="AA52" s="1"/>
      <c r="AB52" s="24"/>
      <c r="AC52" s="1"/>
      <c r="AD52" s="24"/>
      <c r="AF52" s="24"/>
      <c r="AH52" s="24"/>
      <c r="AJ52" s="24"/>
      <c r="AL52" s="24"/>
      <c r="AN52" s="24"/>
      <c r="AP52" s="24"/>
      <c r="AR52" s="24"/>
      <c r="AT52" s="24"/>
      <c r="AV52" s="24"/>
      <c r="AX52" s="24"/>
      <c r="AZ52" s="24"/>
      <c r="BB52" s="24"/>
      <c r="BD52" s="24"/>
      <c r="BF52" s="24"/>
      <c r="BH52" s="24"/>
      <c r="BJ52" s="24"/>
      <c r="BL52" s="24"/>
      <c r="BN52" s="24"/>
      <c r="BP52" s="24"/>
      <c r="BR52" s="24"/>
      <c r="BT52" s="24"/>
      <c r="BV52" s="24"/>
      <c r="BX52" s="24"/>
      <c r="BZ52" s="24"/>
      <c r="CB52" s="24"/>
      <c r="CD52" s="24"/>
      <c r="CF52" s="24"/>
      <c r="CH52" s="24"/>
    </row>
    <row r="53" spans="1:86" ht="18.75" customHeight="1" x14ac:dyDescent="0.2">
      <c r="A53" s="44"/>
      <c r="B53" s="57"/>
      <c r="C53" s="57"/>
      <c r="D53" s="57"/>
      <c r="E53" s="48"/>
      <c r="F53" s="47"/>
      <c r="G53" s="1"/>
      <c r="H53" s="24"/>
      <c r="I53" s="1"/>
      <c r="J53" s="24"/>
      <c r="K53" s="1"/>
      <c r="L53" s="24"/>
      <c r="M53" s="1"/>
      <c r="N53" s="24"/>
      <c r="O53" s="1"/>
      <c r="P53" s="24"/>
      <c r="Q53" s="1"/>
      <c r="R53" s="24"/>
      <c r="S53" s="1"/>
      <c r="T53" s="24"/>
      <c r="U53" s="1"/>
      <c r="V53" s="24"/>
      <c r="W53" s="1"/>
      <c r="X53" s="24"/>
      <c r="Y53" s="1"/>
      <c r="Z53" s="24"/>
      <c r="AA53" s="1"/>
      <c r="AB53" s="24"/>
      <c r="AC53" s="1"/>
      <c r="AD53" s="24"/>
      <c r="AF53" s="24"/>
      <c r="AH53" s="24"/>
      <c r="AJ53" s="24"/>
      <c r="AL53" s="24"/>
      <c r="AN53" s="24"/>
      <c r="AP53" s="24"/>
      <c r="AR53" s="24"/>
      <c r="AT53" s="24"/>
      <c r="AV53" s="24"/>
      <c r="AX53" s="24"/>
      <c r="AZ53" s="24"/>
      <c r="BB53" s="24"/>
      <c r="BD53" s="24"/>
      <c r="BF53" s="24"/>
      <c r="BH53" s="24"/>
      <c r="BJ53" s="24"/>
      <c r="BL53" s="24"/>
      <c r="BN53" s="24"/>
      <c r="BP53" s="24"/>
      <c r="BR53" s="24"/>
      <c r="BT53" s="24"/>
      <c r="BV53" s="24"/>
      <c r="BX53" s="24"/>
      <c r="BZ53" s="24"/>
      <c r="CB53" s="24"/>
      <c r="CD53" s="24"/>
      <c r="CF53" s="24"/>
      <c r="CH53" s="24"/>
    </row>
    <row r="54" spans="1:86" ht="18.75" customHeight="1" x14ac:dyDescent="0.2">
      <c r="A54" s="44"/>
      <c r="B54" s="57"/>
      <c r="C54" s="57"/>
      <c r="D54" s="57"/>
      <c r="E54" s="48"/>
      <c r="F54" s="47"/>
      <c r="G54" s="1"/>
      <c r="H54" s="24"/>
      <c r="I54" s="1"/>
      <c r="J54" s="24"/>
      <c r="K54" s="1"/>
      <c r="L54" s="24"/>
      <c r="M54" s="1"/>
      <c r="N54" s="24"/>
      <c r="O54" s="1"/>
      <c r="P54" s="24"/>
      <c r="Q54" s="1"/>
      <c r="R54" s="24"/>
      <c r="S54" s="1"/>
      <c r="T54" s="24"/>
      <c r="U54" s="1"/>
      <c r="V54" s="24"/>
      <c r="W54" s="1"/>
      <c r="X54" s="24"/>
      <c r="Y54" s="1"/>
      <c r="Z54" s="24"/>
      <c r="AA54" s="1"/>
      <c r="AB54" s="24"/>
      <c r="AC54" s="1"/>
      <c r="AD54" s="24"/>
      <c r="AF54" s="24"/>
      <c r="AH54" s="24"/>
      <c r="AJ54" s="24"/>
      <c r="AL54" s="24"/>
      <c r="AN54" s="24"/>
      <c r="AP54" s="24"/>
      <c r="AR54" s="24"/>
      <c r="AT54" s="24"/>
      <c r="AV54" s="24"/>
      <c r="AX54" s="24"/>
      <c r="AZ54" s="24"/>
      <c r="BB54" s="24"/>
      <c r="BD54" s="24"/>
      <c r="BF54" s="24"/>
      <c r="BH54" s="24"/>
      <c r="BJ54" s="24"/>
      <c r="BL54" s="24"/>
      <c r="BN54" s="24"/>
      <c r="BP54" s="24"/>
      <c r="BR54" s="24"/>
      <c r="BT54" s="24"/>
      <c r="BV54" s="24"/>
      <c r="BX54" s="24"/>
      <c r="BZ54" s="24"/>
      <c r="CB54" s="24"/>
      <c r="CD54" s="24"/>
      <c r="CF54" s="24"/>
      <c r="CH54" s="24"/>
    </row>
    <row r="55" spans="1:86" ht="18.75" customHeight="1" x14ac:dyDescent="0.2">
      <c r="A55" s="44"/>
      <c r="B55" s="57"/>
      <c r="C55" s="57"/>
      <c r="D55" s="57"/>
      <c r="E55" s="48"/>
      <c r="F55" s="47"/>
      <c r="G55" s="1"/>
      <c r="H55" s="24"/>
      <c r="I55" s="1"/>
      <c r="J55" s="24"/>
      <c r="K55" s="1"/>
      <c r="L55" s="24"/>
      <c r="M55" s="1"/>
      <c r="N55" s="24"/>
      <c r="O55" s="1"/>
      <c r="P55" s="24"/>
      <c r="Q55" s="1"/>
      <c r="R55" s="24"/>
      <c r="S55" s="1"/>
      <c r="T55" s="24"/>
      <c r="U55" s="1"/>
      <c r="V55" s="24"/>
      <c r="W55" s="1"/>
      <c r="X55" s="24"/>
      <c r="Y55" s="1"/>
      <c r="Z55" s="24"/>
      <c r="AA55" s="1"/>
      <c r="AB55" s="24"/>
      <c r="AC55" s="1"/>
      <c r="AD55" s="24"/>
      <c r="AF55" s="24"/>
      <c r="AH55" s="24"/>
      <c r="AJ55" s="24"/>
      <c r="AL55" s="24"/>
      <c r="AN55" s="24"/>
      <c r="AP55" s="24"/>
      <c r="AR55" s="24"/>
      <c r="AT55" s="24"/>
      <c r="AV55" s="24"/>
      <c r="AX55" s="24"/>
      <c r="AZ55" s="24"/>
      <c r="BB55" s="24"/>
      <c r="BD55" s="24"/>
      <c r="BF55" s="24"/>
      <c r="BH55" s="24"/>
      <c r="BJ55" s="24"/>
      <c r="BL55" s="24"/>
      <c r="BN55" s="24"/>
      <c r="BP55" s="24"/>
      <c r="BR55" s="24"/>
      <c r="BT55" s="24"/>
      <c r="BV55" s="24"/>
      <c r="BX55" s="24"/>
      <c r="BZ55" s="24"/>
      <c r="CB55" s="24"/>
      <c r="CD55" s="24"/>
      <c r="CF55" s="24"/>
      <c r="CH55" s="24"/>
    </row>
    <row r="56" spans="1:86" ht="18.75" customHeight="1" x14ac:dyDescent="0.2">
      <c r="A56" s="44"/>
      <c r="B56" s="57"/>
      <c r="C56" s="57"/>
      <c r="D56" s="57"/>
      <c r="E56" s="48"/>
      <c r="F56" s="47"/>
      <c r="G56" s="1"/>
      <c r="H56" s="24"/>
      <c r="I56" s="1"/>
      <c r="J56" s="24"/>
      <c r="K56" s="1"/>
      <c r="L56" s="24"/>
      <c r="M56" s="1"/>
      <c r="N56" s="24"/>
      <c r="O56" s="1"/>
      <c r="P56" s="24"/>
      <c r="Q56" s="1"/>
      <c r="R56" s="24"/>
      <c r="S56" s="1"/>
      <c r="T56" s="24"/>
      <c r="U56" s="1"/>
      <c r="V56" s="24"/>
      <c r="W56" s="1"/>
      <c r="X56" s="24"/>
      <c r="Y56" s="1"/>
      <c r="Z56" s="24"/>
      <c r="AA56" s="1"/>
      <c r="AB56" s="24"/>
      <c r="AC56" s="1"/>
      <c r="AD56" s="24"/>
      <c r="AF56" s="24"/>
      <c r="AH56" s="24"/>
      <c r="AJ56" s="24"/>
      <c r="AL56" s="24"/>
      <c r="AN56" s="24"/>
      <c r="AP56" s="24"/>
      <c r="AR56" s="24"/>
      <c r="AT56" s="24"/>
      <c r="AV56" s="24"/>
      <c r="AX56" s="24"/>
      <c r="AZ56" s="24"/>
      <c r="BB56" s="24"/>
      <c r="BD56" s="24"/>
      <c r="BF56" s="24"/>
      <c r="BH56" s="24"/>
      <c r="BJ56" s="24"/>
      <c r="BL56" s="24"/>
      <c r="BN56" s="24"/>
      <c r="BP56" s="24"/>
      <c r="BR56" s="24"/>
      <c r="BT56" s="24"/>
      <c r="BV56" s="24"/>
      <c r="BX56" s="24"/>
      <c r="BZ56" s="24"/>
      <c r="CB56" s="24"/>
      <c r="CD56" s="24"/>
      <c r="CF56" s="24"/>
      <c r="CH56" s="24"/>
    </row>
    <row r="57" spans="1:86" ht="18.75" customHeight="1" x14ac:dyDescent="0.2">
      <c r="A57" s="44"/>
      <c r="B57" s="57"/>
      <c r="C57" s="57"/>
      <c r="D57" s="57"/>
      <c r="E57" s="48"/>
      <c r="F57" s="47"/>
      <c r="G57" s="1"/>
      <c r="H57" s="24"/>
      <c r="I57" s="1"/>
      <c r="J57" s="24"/>
      <c r="K57" s="1"/>
      <c r="L57" s="24"/>
      <c r="M57" s="1"/>
      <c r="N57" s="24"/>
      <c r="O57" s="1"/>
      <c r="P57" s="24"/>
      <c r="Q57" s="1"/>
      <c r="R57" s="24"/>
      <c r="S57" s="1"/>
      <c r="T57" s="24"/>
      <c r="U57" s="1"/>
      <c r="V57" s="24"/>
      <c r="W57" s="1"/>
      <c r="X57" s="24"/>
      <c r="Y57" s="1"/>
      <c r="Z57" s="24"/>
      <c r="AA57" s="1"/>
      <c r="AB57" s="24"/>
      <c r="AC57" s="1"/>
      <c r="AD57" s="24"/>
      <c r="AF57" s="24"/>
      <c r="AH57" s="24"/>
      <c r="AJ57" s="24"/>
      <c r="AL57" s="24"/>
      <c r="AN57" s="24"/>
      <c r="AP57" s="24"/>
      <c r="AR57" s="24"/>
      <c r="AT57" s="24"/>
      <c r="AV57" s="24"/>
      <c r="AX57" s="24"/>
      <c r="AZ57" s="24"/>
      <c r="BB57" s="24"/>
      <c r="BD57" s="24"/>
      <c r="BF57" s="24"/>
      <c r="BH57" s="24"/>
      <c r="BJ57" s="24"/>
      <c r="BL57" s="24"/>
      <c r="BN57" s="24"/>
      <c r="BP57" s="24"/>
      <c r="BR57" s="24"/>
      <c r="BT57" s="24"/>
      <c r="BV57" s="24"/>
      <c r="BX57" s="24"/>
      <c r="BZ57" s="24"/>
      <c r="CB57" s="24"/>
      <c r="CD57" s="24"/>
      <c r="CF57" s="24"/>
      <c r="CH57" s="24"/>
    </row>
    <row r="58" spans="1:86" ht="18.75" customHeight="1" x14ac:dyDescent="0.2">
      <c r="A58" s="44"/>
      <c r="B58" s="57"/>
      <c r="C58" s="57"/>
      <c r="D58" s="57"/>
      <c r="E58" s="48"/>
      <c r="F58" s="47"/>
      <c r="G58" s="1"/>
      <c r="H58" s="24"/>
      <c r="I58" s="1"/>
      <c r="J58" s="24"/>
      <c r="K58" s="1"/>
      <c r="L58" s="24"/>
      <c r="M58" s="1"/>
      <c r="N58" s="24"/>
      <c r="O58" s="1"/>
      <c r="P58" s="24"/>
      <c r="Q58" s="1"/>
      <c r="R58" s="24"/>
      <c r="S58" s="1"/>
      <c r="T58" s="24"/>
      <c r="U58" s="1"/>
      <c r="V58" s="24"/>
      <c r="W58" s="1"/>
      <c r="X58" s="24"/>
      <c r="Y58" s="1"/>
      <c r="Z58" s="24"/>
      <c r="AA58" s="1"/>
      <c r="AB58" s="24"/>
      <c r="AC58" s="1"/>
      <c r="AD58" s="24"/>
      <c r="AF58" s="24"/>
      <c r="AH58" s="24"/>
      <c r="AJ58" s="24"/>
      <c r="AL58" s="24"/>
      <c r="AN58" s="24"/>
      <c r="AP58" s="24"/>
      <c r="AR58" s="24"/>
      <c r="AT58" s="24"/>
      <c r="AV58" s="24"/>
      <c r="AX58" s="24"/>
      <c r="AZ58" s="24"/>
      <c r="BB58" s="24"/>
      <c r="BD58" s="24"/>
      <c r="BF58" s="24"/>
      <c r="BH58" s="24"/>
      <c r="BJ58" s="24"/>
      <c r="BL58" s="24"/>
      <c r="BN58" s="24"/>
      <c r="BP58" s="24"/>
      <c r="BR58" s="24"/>
      <c r="BT58" s="24"/>
      <c r="BV58" s="24"/>
      <c r="BX58" s="24"/>
      <c r="BZ58" s="24"/>
      <c r="CB58" s="24"/>
      <c r="CD58" s="24"/>
      <c r="CF58" s="24"/>
      <c r="CH58" s="24"/>
    </row>
    <row r="59" spans="1:86" ht="18.75" customHeight="1" x14ac:dyDescent="0.2">
      <c r="A59" s="44"/>
      <c r="B59" s="57"/>
      <c r="C59" s="57"/>
      <c r="D59" s="57"/>
      <c r="E59" s="48"/>
      <c r="F59" s="47"/>
      <c r="G59" s="1"/>
      <c r="H59" s="24"/>
      <c r="I59" s="1"/>
      <c r="J59" s="24"/>
      <c r="K59" s="1"/>
      <c r="L59" s="24"/>
      <c r="M59" s="1"/>
      <c r="N59" s="24"/>
      <c r="O59" s="1"/>
      <c r="P59" s="24"/>
      <c r="Q59" s="1"/>
      <c r="R59" s="24"/>
      <c r="S59" s="1"/>
      <c r="T59" s="24"/>
      <c r="U59" s="1"/>
      <c r="V59" s="24"/>
      <c r="W59" s="1"/>
      <c r="X59" s="24"/>
      <c r="Y59" s="1"/>
      <c r="Z59" s="24"/>
      <c r="AA59" s="1"/>
      <c r="AB59" s="24"/>
      <c r="AC59" s="1"/>
      <c r="AD59" s="24"/>
      <c r="AF59" s="24"/>
      <c r="AH59" s="24"/>
      <c r="AJ59" s="24"/>
      <c r="AL59" s="24"/>
      <c r="AN59" s="24"/>
      <c r="AP59" s="24"/>
      <c r="AR59" s="24"/>
      <c r="AT59" s="24"/>
      <c r="AV59" s="24"/>
      <c r="AX59" s="24"/>
      <c r="AZ59" s="24"/>
      <c r="BB59" s="24"/>
      <c r="BD59" s="24"/>
      <c r="BF59" s="24"/>
      <c r="BH59" s="24"/>
      <c r="BJ59" s="24"/>
      <c r="BL59" s="24"/>
      <c r="BN59" s="24"/>
      <c r="BP59" s="24"/>
      <c r="BR59" s="24"/>
      <c r="BT59" s="24"/>
      <c r="BV59" s="24"/>
      <c r="BX59" s="24"/>
      <c r="BZ59" s="24"/>
      <c r="CB59" s="24"/>
      <c r="CD59" s="24"/>
      <c r="CF59" s="24"/>
      <c r="CH59" s="24"/>
    </row>
    <row r="60" spans="1:86" ht="18.75" customHeight="1" x14ac:dyDescent="0.2">
      <c r="A60" s="44"/>
      <c r="B60" s="57"/>
      <c r="C60" s="57"/>
      <c r="D60" s="57"/>
      <c r="E60" s="48"/>
      <c r="F60" s="47"/>
      <c r="G60" s="1"/>
      <c r="H60" s="24"/>
      <c r="I60" s="1"/>
      <c r="J60" s="24"/>
      <c r="K60" s="1"/>
      <c r="L60" s="24"/>
      <c r="M60" s="1"/>
      <c r="N60" s="24"/>
      <c r="O60" s="1"/>
      <c r="P60" s="24"/>
      <c r="Q60" s="1"/>
      <c r="R60" s="24"/>
      <c r="S60" s="1"/>
      <c r="T60" s="24"/>
      <c r="U60" s="1"/>
      <c r="V60" s="24"/>
      <c r="W60" s="1"/>
      <c r="X60" s="24"/>
      <c r="Y60" s="1"/>
      <c r="Z60" s="24"/>
      <c r="AA60" s="1"/>
      <c r="AB60" s="24"/>
      <c r="AC60" s="1"/>
      <c r="AD60" s="24"/>
      <c r="AF60" s="24"/>
      <c r="AH60" s="24"/>
      <c r="AJ60" s="24"/>
      <c r="AL60" s="24"/>
      <c r="AN60" s="24"/>
      <c r="AP60" s="24"/>
      <c r="AR60" s="24"/>
      <c r="AT60" s="24"/>
      <c r="AV60" s="24"/>
      <c r="AX60" s="24"/>
      <c r="AZ60" s="24"/>
      <c r="BB60" s="24"/>
      <c r="BD60" s="24"/>
      <c r="BF60" s="24"/>
      <c r="BH60" s="24"/>
      <c r="BJ60" s="24"/>
      <c r="BL60" s="24"/>
      <c r="BN60" s="24"/>
      <c r="BP60" s="24"/>
      <c r="BR60" s="24"/>
      <c r="BT60" s="24"/>
      <c r="BV60" s="24"/>
      <c r="BX60" s="24"/>
      <c r="BZ60" s="24"/>
      <c r="CB60" s="24"/>
      <c r="CD60" s="24"/>
      <c r="CF60" s="24"/>
      <c r="CH60" s="24"/>
    </row>
    <row r="61" spans="1:86" ht="18.75" customHeight="1" x14ac:dyDescent="0.2">
      <c r="A61" s="44"/>
      <c r="B61" s="57"/>
      <c r="C61" s="57"/>
      <c r="D61" s="57"/>
      <c r="E61" s="48"/>
      <c r="F61" s="47"/>
      <c r="G61" s="1"/>
      <c r="H61" s="24"/>
      <c r="I61" s="1"/>
      <c r="J61" s="24"/>
      <c r="K61" s="1"/>
      <c r="L61" s="24"/>
      <c r="M61" s="1"/>
      <c r="N61" s="24"/>
      <c r="O61" s="1"/>
      <c r="P61" s="24"/>
      <c r="Q61" s="1"/>
      <c r="R61" s="24"/>
      <c r="S61" s="1"/>
      <c r="T61" s="24"/>
      <c r="U61" s="1"/>
      <c r="V61" s="24"/>
      <c r="W61" s="1"/>
      <c r="X61" s="24"/>
      <c r="Y61" s="1"/>
      <c r="Z61" s="24"/>
      <c r="AA61" s="1"/>
      <c r="AB61" s="24"/>
      <c r="AC61" s="1"/>
      <c r="AD61" s="24"/>
      <c r="AF61" s="24"/>
      <c r="AH61" s="24"/>
      <c r="AJ61" s="24"/>
      <c r="AL61" s="24"/>
      <c r="AN61" s="24"/>
      <c r="AP61" s="24"/>
      <c r="AR61" s="24"/>
      <c r="AT61" s="24"/>
      <c r="AV61" s="24"/>
      <c r="AX61" s="24"/>
      <c r="AZ61" s="24"/>
      <c r="BB61" s="24"/>
      <c r="BD61" s="24"/>
      <c r="BF61" s="24"/>
      <c r="BH61" s="24"/>
      <c r="BJ61" s="24"/>
      <c r="BL61" s="24"/>
      <c r="BN61" s="24"/>
      <c r="BP61" s="24"/>
      <c r="BR61" s="24"/>
      <c r="BT61" s="24"/>
      <c r="BV61" s="24"/>
      <c r="BX61" s="24"/>
      <c r="BZ61" s="24"/>
      <c r="CB61" s="24"/>
      <c r="CD61" s="24"/>
      <c r="CF61" s="24"/>
      <c r="CH61" s="24"/>
    </row>
    <row r="62" spans="1:86" ht="18.75" customHeight="1" x14ac:dyDescent="0.2">
      <c r="A62" s="44"/>
      <c r="B62" s="57"/>
      <c r="C62" s="57"/>
      <c r="D62" s="57"/>
      <c r="E62" s="48"/>
      <c r="F62" s="47"/>
      <c r="G62" s="1"/>
      <c r="H62" s="24"/>
      <c r="I62" s="1"/>
      <c r="J62" s="24"/>
      <c r="K62" s="1"/>
      <c r="L62" s="24"/>
      <c r="M62" s="1"/>
      <c r="N62" s="24"/>
      <c r="O62" s="1"/>
      <c r="P62" s="24"/>
      <c r="Q62" s="1"/>
      <c r="R62" s="24"/>
      <c r="S62" s="1"/>
      <c r="T62" s="24"/>
      <c r="U62" s="1"/>
      <c r="V62" s="24"/>
      <c r="W62" s="1"/>
      <c r="X62" s="24"/>
      <c r="Y62" s="1"/>
      <c r="Z62" s="24"/>
      <c r="AA62" s="1"/>
      <c r="AB62" s="24"/>
      <c r="AC62" s="1"/>
      <c r="AD62" s="24"/>
      <c r="AF62" s="24"/>
      <c r="AH62" s="24"/>
      <c r="AJ62" s="24"/>
      <c r="AL62" s="24"/>
      <c r="AN62" s="24"/>
      <c r="AP62" s="24"/>
      <c r="AR62" s="24"/>
      <c r="AT62" s="24"/>
      <c r="AV62" s="24"/>
      <c r="AX62" s="24"/>
      <c r="AZ62" s="24"/>
      <c r="BB62" s="24"/>
      <c r="BD62" s="24"/>
      <c r="BF62" s="24"/>
      <c r="BH62" s="24"/>
      <c r="BJ62" s="24"/>
      <c r="BL62" s="24"/>
      <c r="BN62" s="24"/>
      <c r="BP62" s="24"/>
      <c r="BR62" s="24"/>
      <c r="BT62" s="24"/>
      <c r="BV62" s="24"/>
      <c r="BX62" s="24"/>
      <c r="BZ62" s="24"/>
      <c r="CB62" s="24"/>
      <c r="CD62" s="24"/>
      <c r="CF62" s="24"/>
      <c r="CH62" s="24"/>
    </row>
    <row r="63" spans="1:86" ht="18.75" customHeight="1" x14ac:dyDescent="0.2">
      <c r="A63" s="44"/>
      <c r="B63" s="57"/>
      <c r="C63" s="57"/>
      <c r="D63" s="57"/>
      <c r="E63" s="48"/>
      <c r="F63" s="47"/>
      <c r="G63" s="1"/>
      <c r="H63" s="24"/>
      <c r="I63" s="1"/>
      <c r="J63" s="24"/>
      <c r="K63" s="1"/>
      <c r="L63" s="24"/>
      <c r="M63" s="1"/>
      <c r="N63" s="24"/>
      <c r="O63" s="1"/>
      <c r="P63" s="24"/>
      <c r="Q63" s="1"/>
      <c r="R63" s="24"/>
      <c r="S63" s="1"/>
      <c r="T63" s="24"/>
      <c r="U63" s="1"/>
      <c r="V63" s="24"/>
      <c r="W63" s="1"/>
      <c r="X63" s="24"/>
      <c r="Y63" s="1"/>
      <c r="Z63" s="24"/>
      <c r="AA63" s="1"/>
      <c r="AB63" s="24"/>
      <c r="AC63" s="1"/>
      <c r="AD63" s="24"/>
      <c r="AF63" s="24"/>
      <c r="AH63" s="24"/>
      <c r="AJ63" s="24"/>
      <c r="AL63" s="24"/>
      <c r="AN63" s="24"/>
      <c r="AP63" s="24"/>
      <c r="AR63" s="24"/>
      <c r="AT63" s="24"/>
      <c r="AV63" s="24"/>
      <c r="AX63" s="24"/>
      <c r="AZ63" s="24"/>
      <c r="BB63" s="24"/>
      <c r="BD63" s="24"/>
      <c r="BF63" s="24"/>
      <c r="BH63" s="24"/>
      <c r="BJ63" s="24"/>
      <c r="BL63" s="24"/>
      <c r="BN63" s="24"/>
      <c r="BP63" s="24"/>
      <c r="BR63" s="24"/>
      <c r="BT63" s="24"/>
      <c r="BV63" s="24"/>
      <c r="BX63" s="24"/>
      <c r="BZ63" s="24"/>
      <c r="CB63" s="24"/>
      <c r="CD63" s="24"/>
      <c r="CF63" s="24"/>
      <c r="CH63" s="24"/>
    </row>
    <row r="64" spans="1:86" ht="18.75" customHeight="1" x14ac:dyDescent="0.2">
      <c r="A64" s="44"/>
      <c r="B64" s="57"/>
      <c r="C64" s="57"/>
      <c r="D64" s="57"/>
      <c r="E64" s="48"/>
      <c r="F64" s="47"/>
      <c r="G64" s="1"/>
      <c r="H64" s="24"/>
      <c r="I64" s="1"/>
      <c r="J64" s="24"/>
      <c r="K64" s="1"/>
      <c r="L64" s="24"/>
      <c r="M64" s="1"/>
      <c r="N64" s="24"/>
      <c r="O64" s="1"/>
      <c r="P64" s="24"/>
      <c r="Q64" s="1"/>
      <c r="R64" s="24"/>
      <c r="S64" s="1"/>
      <c r="T64" s="24"/>
      <c r="U64" s="1"/>
      <c r="V64" s="24"/>
      <c r="W64" s="1"/>
      <c r="X64" s="24"/>
      <c r="Y64" s="1"/>
      <c r="Z64" s="24"/>
      <c r="AA64" s="1"/>
      <c r="AB64" s="24"/>
      <c r="AC64" s="1"/>
      <c r="AD64" s="24"/>
      <c r="AF64" s="24"/>
      <c r="AH64" s="24"/>
      <c r="AJ64" s="24"/>
      <c r="AL64" s="24"/>
      <c r="AN64" s="24"/>
      <c r="AP64" s="24"/>
      <c r="AR64" s="24"/>
      <c r="AT64" s="24"/>
      <c r="AV64" s="24"/>
      <c r="AX64" s="24"/>
      <c r="AZ64" s="24"/>
      <c r="BB64" s="24"/>
      <c r="BD64" s="24"/>
      <c r="BF64" s="24"/>
      <c r="BH64" s="24"/>
      <c r="BJ64" s="24"/>
      <c r="BL64" s="24"/>
      <c r="BN64" s="24"/>
      <c r="BP64" s="24"/>
      <c r="BR64" s="24"/>
      <c r="BT64" s="24"/>
      <c r="BV64" s="24"/>
      <c r="BX64" s="24"/>
      <c r="BZ64" s="24"/>
      <c r="CB64" s="24"/>
      <c r="CD64" s="24"/>
      <c r="CF64" s="24"/>
      <c r="CH64" s="24"/>
    </row>
    <row r="65" spans="1:86" ht="18.75" customHeight="1" x14ac:dyDescent="0.2">
      <c r="A65" s="44"/>
      <c r="B65" s="57"/>
      <c r="C65" s="57"/>
      <c r="D65" s="57"/>
      <c r="E65" s="48"/>
      <c r="F65" s="47"/>
      <c r="G65" s="1"/>
      <c r="H65" s="24"/>
      <c r="I65" s="1"/>
      <c r="J65" s="24"/>
      <c r="K65" s="1"/>
      <c r="L65" s="24"/>
      <c r="M65" s="1"/>
      <c r="N65" s="24"/>
      <c r="O65" s="1"/>
      <c r="P65" s="24"/>
      <c r="Q65" s="1"/>
      <c r="R65" s="24"/>
      <c r="S65" s="1"/>
      <c r="T65" s="24"/>
      <c r="U65" s="1"/>
      <c r="V65" s="24"/>
      <c r="W65" s="1"/>
      <c r="X65" s="24"/>
      <c r="Y65" s="1"/>
      <c r="Z65" s="24"/>
      <c r="AA65" s="1"/>
      <c r="AB65" s="24"/>
      <c r="AC65" s="1"/>
      <c r="AD65" s="24"/>
      <c r="AF65" s="24"/>
      <c r="AH65" s="24"/>
      <c r="AJ65" s="24"/>
      <c r="AL65" s="24"/>
      <c r="AN65" s="24"/>
      <c r="AP65" s="24"/>
      <c r="AR65" s="24"/>
      <c r="AT65" s="24"/>
      <c r="AV65" s="24"/>
      <c r="AX65" s="24"/>
      <c r="AZ65" s="24"/>
      <c r="BB65" s="24"/>
      <c r="BD65" s="24"/>
      <c r="BF65" s="24"/>
      <c r="BH65" s="24"/>
      <c r="BJ65" s="24"/>
      <c r="BL65" s="24"/>
      <c r="BN65" s="24"/>
      <c r="BP65" s="24"/>
      <c r="BR65" s="24"/>
      <c r="BT65" s="24"/>
      <c r="BV65" s="24"/>
      <c r="BX65" s="24"/>
      <c r="BZ65" s="24"/>
      <c r="CB65" s="24"/>
      <c r="CD65" s="24"/>
      <c r="CF65" s="24"/>
      <c r="CH65" s="24"/>
    </row>
    <row r="66" spans="1:86" ht="18.75" customHeight="1" x14ac:dyDescent="0.2">
      <c r="A66" s="44"/>
      <c r="B66" s="57"/>
      <c r="C66" s="57"/>
      <c r="D66" s="57"/>
      <c r="E66" s="48"/>
      <c r="F66" s="47"/>
      <c r="G66" s="1"/>
      <c r="H66" s="24"/>
      <c r="I66" s="1"/>
      <c r="J66" s="24"/>
      <c r="K66" s="1"/>
      <c r="L66" s="24"/>
      <c r="M66" s="1"/>
      <c r="N66" s="24"/>
      <c r="O66" s="1"/>
      <c r="P66" s="24"/>
      <c r="Q66" s="1"/>
      <c r="R66" s="24"/>
      <c r="S66" s="1"/>
      <c r="T66" s="24"/>
      <c r="U66" s="1"/>
      <c r="V66" s="24"/>
      <c r="W66" s="1"/>
      <c r="X66" s="24"/>
      <c r="Y66" s="1"/>
      <c r="Z66" s="24"/>
      <c r="AA66" s="1"/>
      <c r="AB66" s="24"/>
      <c r="AC66" s="1"/>
      <c r="AD66" s="24"/>
      <c r="AF66" s="24"/>
      <c r="AH66" s="24"/>
      <c r="AJ66" s="24"/>
      <c r="AL66" s="24"/>
      <c r="AN66" s="24"/>
      <c r="AP66" s="24"/>
      <c r="AR66" s="24"/>
      <c r="AT66" s="24"/>
      <c r="AV66" s="24"/>
      <c r="AX66" s="24"/>
      <c r="AZ66" s="24"/>
      <c r="BB66" s="24"/>
      <c r="BD66" s="24"/>
      <c r="BF66" s="24"/>
      <c r="BH66" s="24"/>
      <c r="BJ66" s="24"/>
      <c r="BL66" s="24"/>
      <c r="BN66" s="24"/>
      <c r="BP66" s="24"/>
      <c r="BR66" s="24"/>
      <c r="BT66" s="24"/>
      <c r="BV66" s="24"/>
      <c r="BX66" s="24"/>
      <c r="BZ66" s="24"/>
      <c r="CB66" s="24"/>
      <c r="CD66" s="24"/>
      <c r="CF66" s="24"/>
      <c r="CH66" s="24"/>
    </row>
    <row r="67" spans="1:86" ht="18.75" customHeight="1" x14ac:dyDescent="0.2">
      <c r="A67" s="44"/>
      <c r="B67" s="57"/>
      <c r="C67" s="57"/>
      <c r="D67" s="57"/>
      <c r="E67" s="48"/>
      <c r="F67" s="47"/>
      <c r="G67" s="1"/>
      <c r="H67" s="24"/>
      <c r="I67" s="1"/>
      <c r="J67" s="24"/>
      <c r="K67" s="1"/>
      <c r="L67" s="24"/>
      <c r="M67" s="1"/>
      <c r="N67" s="24"/>
      <c r="O67" s="1"/>
      <c r="P67" s="24"/>
      <c r="Q67" s="1"/>
      <c r="R67" s="24"/>
      <c r="S67" s="1"/>
      <c r="T67" s="24"/>
      <c r="U67" s="1"/>
      <c r="V67" s="24"/>
      <c r="W67" s="1"/>
      <c r="X67" s="24"/>
      <c r="Y67" s="1"/>
      <c r="Z67" s="24"/>
      <c r="AA67" s="1"/>
      <c r="AB67" s="24"/>
      <c r="AC67" s="1"/>
      <c r="AD67" s="24"/>
      <c r="AF67" s="24"/>
      <c r="AH67" s="24"/>
      <c r="AJ67" s="24"/>
      <c r="AL67" s="24"/>
      <c r="AN67" s="24"/>
      <c r="AP67" s="24"/>
      <c r="AR67" s="24"/>
      <c r="AT67" s="24"/>
      <c r="AV67" s="24"/>
      <c r="AX67" s="24"/>
      <c r="AZ67" s="24"/>
      <c r="BB67" s="24"/>
      <c r="BD67" s="24"/>
      <c r="BF67" s="24"/>
      <c r="BH67" s="24"/>
      <c r="BJ67" s="24"/>
      <c r="BL67" s="24"/>
      <c r="BN67" s="24"/>
      <c r="BP67" s="24"/>
      <c r="BR67" s="24"/>
      <c r="BT67" s="24"/>
      <c r="BV67" s="24"/>
      <c r="BX67" s="24"/>
      <c r="BZ67" s="24"/>
      <c r="CB67" s="24"/>
      <c r="CD67" s="24"/>
      <c r="CF67" s="24"/>
      <c r="CH67" s="24"/>
    </row>
    <row r="68" spans="1:86" ht="5.25" customHeight="1" x14ac:dyDescent="0.2">
      <c r="A68" s="1"/>
      <c r="B68" s="1"/>
      <c r="C68" s="1"/>
      <c r="D68" s="1"/>
      <c r="E68" s="52"/>
      <c r="F68" s="28"/>
      <c r="G68" s="52"/>
      <c r="H68" s="28"/>
      <c r="I68" s="52"/>
      <c r="J68" s="28"/>
      <c r="K68" s="52"/>
      <c r="L68" s="28"/>
      <c r="M68" s="52"/>
      <c r="N68" s="28"/>
      <c r="O68" s="52"/>
      <c r="P68" s="28"/>
      <c r="Q68" s="52"/>
      <c r="R68" s="28"/>
      <c r="S68" s="52"/>
      <c r="T68" s="28"/>
      <c r="U68" s="52"/>
      <c r="V68" s="28"/>
      <c r="W68" s="52"/>
      <c r="X68" s="28"/>
      <c r="Y68" s="1"/>
      <c r="Z68" s="28"/>
      <c r="AA68" s="1"/>
      <c r="AB68" s="28"/>
      <c r="AC68" s="1"/>
      <c r="AD68" s="28"/>
      <c r="AF68" s="28"/>
      <c r="AH68" s="28"/>
      <c r="AJ68" s="28"/>
      <c r="AL68" s="28"/>
      <c r="AN68" s="28"/>
      <c r="AP68" s="28"/>
      <c r="AR68" s="28"/>
      <c r="AT68" s="28"/>
      <c r="AV68" s="28"/>
      <c r="AX68" s="28"/>
      <c r="AZ68" s="28"/>
      <c r="BB68" s="28"/>
      <c r="BD68" s="28"/>
      <c r="BF68" s="28"/>
      <c r="BH68" s="28"/>
      <c r="BJ68" s="28"/>
      <c r="BL68" s="28"/>
      <c r="BN68" s="28"/>
      <c r="BP68" s="28"/>
      <c r="BR68" s="28"/>
      <c r="BT68" s="28"/>
      <c r="BV68" s="28"/>
      <c r="BX68" s="28"/>
      <c r="BZ68" s="28"/>
      <c r="CB68" s="28"/>
      <c r="CD68" s="28"/>
      <c r="CF68" s="28"/>
      <c r="CH68" s="28"/>
    </row>
    <row r="69" spans="1:86" ht="18.75" customHeight="1" x14ac:dyDescent="0.2">
      <c r="A69" s="10" t="s">
        <v>129</v>
      </c>
      <c r="B69" s="51"/>
      <c r="C69" s="51"/>
      <c r="D69" s="51"/>
      <c r="E69" s="52"/>
      <c r="F69" s="29">
        <f>IF(F17="","",MIN(F17:F67))</f>
        <v>14</v>
      </c>
      <c r="G69" s="1"/>
      <c r="H69" s="29">
        <f>IF(H17="","",MIN(H17:H67))</f>
        <v>33</v>
      </c>
      <c r="I69" s="1"/>
      <c r="J69" s="29">
        <f>IF(J17="","",MIN(J17:J67))</f>
        <v>215</v>
      </c>
      <c r="K69" s="1"/>
      <c r="L69" s="29">
        <f>IF(L17="","",MIN(L17:L67))</f>
        <v>235</v>
      </c>
      <c r="M69" s="1"/>
      <c r="N69" s="29">
        <f>IF(N17="","",MIN(N17:N67))</f>
        <v>235</v>
      </c>
      <c r="O69" s="1"/>
      <c r="P69" s="29">
        <f>IF(P17="","",MIN(P17:P67))</f>
        <v>235</v>
      </c>
      <c r="Q69" s="1"/>
      <c r="R69" s="29">
        <f>IF(R17="","",MIN(R17:R67))</f>
        <v>235</v>
      </c>
      <c r="S69" s="1"/>
      <c r="T69" s="29">
        <f>IF(T17="","",MIN(T17:T67))</f>
        <v>240</v>
      </c>
      <c r="U69" s="1"/>
      <c r="V69" s="29">
        <f>IF(V17="","",MIN(V17:V67))</f>
        <v>238</v>
      </c>
      <c r="W69" s="1"/>
      <c r="X69" s="29">
        <f>IF(X17="","",MIN(X17:X67))</f>
        <v>76</v>
      </c>
      <c r="Y69" s="1"/>
      <c r="Z69" s="29">
        <f>IF(Z17="","",MIN(Z17:Z67))</f>
        <v>87</v>
      </c>
      <c r="AA69" s="1"/>
      <c r="AB69" s="29">
        <f>IF(AB17="","",MIN(AB17:AB67))</f>
        <v>239</v>
      </c>
      <c r="AC69" s="1"/>
      <c r="AD69" s="29">
        <f>IF(AD17="","",MIN(AD17:AD67))</f>
        <v>248</v>
      </c>
      <c r="AF69" s="29">
        <f>IF(AF17="","",MIN(AF17:AF67))</f>
        <v>94</v>
      </c>
      <c r="AH69" s="29">
        <f>IF(AH17="","",MIN(AH17:AH67))</f>
        <v>101</v>
      </c>
      <c r="AJ69" s="29">
        <f>IF(AJ17="","",MIN(AJ17:AJ67))</f>
        <v>251</v>
      </c>
      <c r="AL69" s="29">
        <f>IF(AL17="","",MIN(AL17:AL67))</f>
        <v>248</v>
      </c>
      <c r="AN69" s="29">
        <f>IF(AN17="","",MIN(AN17:AN67))</f>
        <v>244</v>
      </c>
      <c r="AP69" s="29">
        <f>IF(AP17="","",MIN(AP17:AP67))</f>
        <v>72</v>
      </c>
      <c r="AR69" s="29">
        <f>IF(AR17="","",MIN(AR17:AR67))</f>
        <v>262</v>
      </c>
      <c r="AT69" s="29">
        <f>IF(AT17="","",MIN(AT17:AT67))</f>
        <v>278</v>
      </c>
      <c r="AV69" s="29">
        <f>IF(AV17="","",MIN(AV17:AV67))</f>
        <v>278</v>
      </c>
      <c r="AX69" s="29">
        <f>IF(AX17="","",MIN(AX17:AX67))</f>
        <v>410</v>
      </c>
      <c r="AZ69" s="29">
        <f>IF(AZ17="","",MIN(AZ17:AZ67))</f>
        <v>19</v>
      </c>
      <c r="BB69" s="29">
        <f>IF(BB17="","",MIN(BB17:BB67))</f>
        <v>70</v>
      </c>
      <c r="BD69" s="29">
        <f>IF(BD17="","",MIN(BD17:BD67))</f>
        <v>15</v>
      </c>
      <c r="BF69" s="29">
        <f>IF(BF17="","",MIN(BF17:BF67))</f>
        <v>0.9</v>
      </c>
      <c r="BH69" s="29">
        <f>IF(BH17="","",MIN(BH17:BH67))</f>
        <v>75</v>
      </c>
      <c r="BJ69" s="29">
        <f>IF(BJ17="","",MIN(BJ17:BJ67))</f>
        <v>10</v>
      </c>
      <c r="BL69" s="29">
        <f>IF(BL17="","",MIN(BL17:BL67))</f>
        <v>28</v>
      </c>
      <c r="BN69" s="29">
        <f>IF(BN17="","",MIN(BN17:BN67))</f>
        <v>1</v>
      </c>
      <c r="BP69" s="29">
        <f>IF(BP17="","",MIN(BP17:BP67))</f>
        <v>0.1</v>
      </c>
      <c r="BR69" s="29">
        <f>IF(BR17="","",MIN(BR17:BR67))</f>
        <v>4</v>
      </c>
      <c r="BT69" s="29">
        <f>IF(BT17="","",MIN(BT17:BT67))</f>
        <v>4</v>
      </c>
      <c r="BV69" s="29">
        <f>IF(BV17="","",MIN(BV17:BV67))</f>
        <v>1</v>
      </c>
      <c r="BX69" s="29">
        <f>IF(BX17="","",MIN(BX17:BX67))</f>
        <v>1</v>
      </c>
      <c r="BZ69" s="29">
        <f>IF(BZ17="","",MIN(BZ17:BZ67))</f>
        <v>11</v>
      </c>
      <c r="CB69" s="29">
        <f>IF(CB17="","",MIN(CB17:CB67))</f>
        <v>7</v>
      </c>
      <c r="CD69" s="29">
        <f>IF(CD17="","",MIN(CD17:CD67))</f>
        <v>0.5</v>
      </c>
      <c r="CF69" s="29" t="str">
        <f>IF(CF17="","",MIN(CF17:CF67))</f>
        <v/>
      </c>
      <c r="CH69" s="29" t="str">
        <f>IF(CH17="","",MIN(CH17:CH67))</f>
        <v/>
      </c>
    </row>
    <row r="70" spans="1:86" ht="18.75" customHeight="1" x14ac:dyDescent="0.2">
      <c r="A70" s="10" t="s">
        <v>130</v>
      </c>
      <c r="B70" s="51"/>
      <c r="C70" s="51"/>
      <c r="D70" s="51"/>
      <c r="E70" s="52"/>
      <c r="F70" s="29">
        <f>IF(F17="","",MAX(F17:F67))</f>
        <v>32</v>
      </c>
      <c r="G70" s="1"/>
      <c r="H70" s="29">
        <f>IF(H17="","",MAX(H17:H67))</f>
        <v>52</v>
      </c>
      <c r="I70" s="1"/>
      <c r="J70" s="29">
        <f>IF(J17="","",MAX(J17:J67))</f>
        <v>257</v>
      </c>
      <c r="K70" s="1"/>
      <c r="L70" s="29">
        <f>IF(L17="","",MAX(L17:L67))</f>
        <v>256</v>
      </c>
      <c r="M70" s="1"/>
      <c r="N70" s="29">
        <f>IF(N17="","",MAX(N17:N67))</f>
        <v>256</v>
      </c>
      <c r="O70" s="1"/>
      <c r="P70" s="29">
        <f>IF(P17="","",MAX(P17:P67))</f>
        <v>255</v>
      </c>
      <c r="Q70" s="1"/>
      <c r="R70" s="29">
        <f>IF(R17="","",MAX(R17:R67))</f>
        <v>255</v>
      </c>
      <c r="S70" s="1"/>
      <c r="T70" s="29">
        <f>IF(T17="","",MAX(T17:T67))</f>
        <v>265</v>
      </c>
      <c r="U70" s="1"/>
      <c r="V70" s="29">
        <f>IF(V17="","",MAX(V17:V67))</f>
        <v>266</v>
      </c>
      <c r="W70" s="1"/>
      <c r="X70" s="29">
        <f>IF(X17="","",MAX(X17:X67))</f>
        <v>97</v>
      </c>
      <c r="Y70" s="1"/>
      <c r="Z70" s="29">
        <f>IF(Z17="","",MAX(Z17:Z67))</f>
        <v>116</v>
      </c>
      <c r="AA70" s="1"/>
      <c r="AB70" s="29">
        <f>IF(AB17="","",MAX(AB17:AB67))</f>
        <v>255</v>
      </c>
      <c r="AC70" s="1"/>
      <c r="AD70" s="29">
        <f>IF(AD17="","",MAX(AD17:AD67))</f>
        <v>262</v>
      </c>
      <c r="AF70" s="29">
        <f>IF(AF17="","",MAX(AF17:AF67))</f>
        <v>270</v>
      </c>
      <c r="AH70" s="29">
        <f>IF(AH17="","",MAX(AH17:AH67))</f>
        <v>270</v>
      </c>
      <c r="AJ70" s="29">
        <f>IF(AJ17="","",MAX(AJ17:AJ67))</f>
        <v>285</v>
      </c>
      <c r="AL70" s="29">
        <f>IF(AL17="","",MAX(AL17:AL67))</f>
        <v>285</v>
      </c>
      <c r="AN70" s="29">
        <f>IF(AN17="","",MAX(AN17:AN67))</f>
        <v>280</v>
      </c>
      <c r="AP70" s="29">
        <f>IF(AP17="","",MAX(AP17:AP67))</f>
        <v>79</v>
      </c>
      <c r="AR70" s="29">
        <f>IF(AR17="","",MAX(AR17:AR67))</f>
        <v>285</v>
      </c>
      <c r="AT70" s="29">
        <f>IF(AT17="","",MAX(AT17:AT67))</f>
        <v>310</v>
      </c>
      <c r="AV70" s="29">
        <f>IF(AV17="","",MAX(AV17:AV67))</f>
        <v>310</v>
      </c>
      <c r="AX70" s="29">
        <f>IF(AX17="","",MAX(AX17:AX67))</f>
        <v>415</v>
      </c>
      <c r="AZ70" s="29">
        <f>IF(AZ17="","",MAX(AZ17:AZ67))</f>
        <v>19</v>
      </c>
      <c r="BB70" s="29">
        <f>IF(BB17="","",MAX(BB17:BB67))</f>
        <v>90</v>
      </c>
      <c r="BD70" s="29">
        <f>IF(BD17="","",MAX(BD17:BD67))</f>
        <v>35</v>
      </c>
      <c r="BF70" s="29">
        <f>IF(BF17="","",MAX(BF17:BF67))</f>
        <v>0.9</v>
      </c>
      <c r="BH70" s="29">
        <f>IF(BH17="","",MAX(BH17:BH67))</f>
        <v>95</v>
      </c>
      <c r="BJ70" s="29">
        <f>IF(BJ17="","",MAX(BJ17:BJ67))</f>
        <v>11</v>
      </c>
      <c r="BL70" s="29">
        <f>IF(BL17="","",MAX(BL17:BL67))</f>
        <v>35</v>
      </c>
      <c r="BN70" s="29">
        <f>IF(BN17="","",MAX(BN17:BN67))</f>
        <v>2</v>
      </c>
      <c r="BP70" s="29">
        <f>IF(BP17="","",MAX(BP17:BP67))</f>
        <v>0.1</v>
      </c>
      <c r="BR70" s="29">
        <f>IF(BR17="","",MAX(BR17:BR67))</f>
        <v>5</v>
      </c>
      <c r="BT70" s="29">
        <f>IF(BT17="","",MAX(BT17:BT67))</f>
        <v>30</v>
      </c>
      <c r="BV70" s="29">
        <f>IF(BV17="","",MAX(BV17:BV67))</f>
        <v>3</v>
      </c>
      <c r="BX70" s="29">
        <f>IF(BX17="","",MAX(BX17:BX67))</f>
        <v>1.5</v>
      </c>
      <c r="BZ70" s="29">
        <f>IF(BZ17="","",MAX(BZ17:BZ67))</f>
        <v>11</v>
      </c>
      <c r="CB70" s="29">
        <f>IF(CB17="","",MAX(CB17:CB67))</f>
        <v>8</v>
      </c>
      <c r="CD70" s="29">
        <f>IF(CD17="","",MAX(CD17:CD67))</f>
        <v>0.5</v>
      </c>
      <c r="CF70" s="29" t="str">
        <f>IF(CF17="","",MAX(CF17:CF67))</f>
        <v/>
      </c>
      <c r="CH70" s="29" t="str">
        <f>IF(CH17="","",MAX(CH17:CH67))</f>
        <v/>
      </c>
    </row>
    <row r="71" spans="1:86" ht="18.75" customHeight="1" x14ac:dyDescent="0.2">
      <c r="A71" s="10" t="s">
        <v>131</v>
      </c>
      <c r="B71" s="51"/>
      <c r="C71" s="51"/>
      <c r="D71" s="51"/>
      <c r="E71" s="52"/>
      <c r="F71" s="29">
        <f>IF(F17="","",AVERAGE(F17:F67))</f>
        <v>20.066666666666666</v>
      </c>
      <c r="G71" s="1"/>
      <c r="H71" s="29">
        <f>IF(H17="","",AVERAGE(H17:H67))</f>
        <v>45.06666666666667</v>
      </c>
      <c r="I71" s="1"/>
      <c r="J71" s="29">
        <f>IF(J17="","",AVERAGE(J17:J67))</f>
        <v>245.6</v>
      </c>
      <c r="K71" s="1"/>
      <c r="L71" s="29">
        <f>IF(L17="","",AVERAGE(L17:L67))</f>
        <v>247.26666666666668</v>
      </c>
      <c r="M71" s="1"/>
      <c r="N71" s="29">
        <f>IF(N17="","",AVERAGE(N17:N67))</f>
        <v>246.26666666666668</v>
      </c>
      <c r="O71" s="1"/>
      <c r="P71" s="29">
        <f>IF(P17="","",AVERAGE(P17:P67))</f>
        <v>246.93333333333334</v>
      </c>
      <c r="Q71" s="1"/>
      <c r="R71" s="29">
        <f>IF(R17="","",AVERAGE(R17:R67))</f>
        <v>247.06666666666666</v>
      </c>
      <c r="S71" s="1"/>
      <c r="T71" s="29">
        <f>IF(T17="","",AVERAGE(T17:T67))</f>
        <v>250.2</v>
      </c>
      <c r="U71" s="1"/>
      <c r="V71" s="29">
        <f>IF(V17="","",AVERAGE(V17:V67))</f>
        <v>249.86666666666667</v>
      </c>
      <c r="W71" s="1"/>
      <c r="X71" s="29">
        <f>IF(X17="","",AVERAGE(X17:X67))</f>
        <v>90</v>
      </c>
      <c r="Y71" s="1"/>
      <c r="Z71" s="29">
        <f>IF(Z17="","",AVERAGE(Z17:Z67))</f>
        <v>97.666666666666671</v>
      </c>
      <c r="AA71" s="1"/>
      <c r="AB71" s="29">
        <f>IF(AB17="","",AVERAGE(AB17:AB67))</f>
        <v>251.46666666666667</v>
      </c>
      <c r="AC71" s="1"/>
      <c r="AD71" s="29">
        <f>IF(AD17="","",AVERAGE(AD17:AD67))</f>
        <v>258.26666666666665</v>
      </c>
      <c r="AF71" s="29">
        <f>IF(AF17="","",AVERAGE(AF17:AF67))</f>
        <v>248.6</v>
      </c>
      <c r="AH71" s="29">
        <f>IF(AH17="","",AVERAGE(AH17:AH67))</f>
        <v>248.2</v>
      </c>
      <c r="AJ71" s="29">
        <f>IF(AJ17="","",AVERAGE(AJ17:AJ67))</f>
        <v>270</v>
      </c>
      <c r="AL71" s="29">
        <f>IF(AL17="","",AVERAGE(AL17:AL67))</f>
        <v>269.93333333333334</v>
      </c>
      <c r="AN71" s="29">
        <f>IF(AN17="","",AVERAGE(AN17:AN67))</f>
        <v>271.13333333333333</v>
      </c>
      <c r="AP71" s="29">
        <f>IF(AP17="","",AVERAGE(AP17:AP67))</f>
        <v>75.666666666666671</v>
      </c>
      <c r="AR71" s="29">
        <f>IF(AR17="","",AVERAGE(AR17:AR67))</f>
        <v>274.13333333333333</v>
      </c>
      <c r="AT71" s="29">
        <f>IF(AT17="","",AVERAGE(AT17:AT67))</f>
        <v>303.46666666666664</v>
      </c>
      <c r="AV71" s="29">
        <f>IF(AV17="","",AVERAGE(AV17:AV67))</f>
        <v>301.93333333333334</v>
      </c>
      <c r="AX71" s="29">
        <f>IF(AX17="","",AVERAGE(AX17:AX67))</f>
        <v>412.06666666666666</v>
      </c>
      <c r="AZ71" s="29">
        <f>IF(AZ17="","",AVERAGE(AZ17:AZ67))</f>
        <v>19</v>
      </c>
      <c r="BB71" s="29">
        <f>IF(BB17="","",AVERAGE(BB17:BB67))</f>
        <v>82</v>
      </c>
      <c r="BD71" s="29">
        <f>IF(BD17="","",AVERAGE(BD17:BD67))</f>
        <v>26</v>
      </c>
      <c r="BF71" s="29">
        <f>IF(BF17="","",AVERAGE(BF17:BF67))</f>
        <v>0.90000000000000013</v>
      </c>
      <c r="BH71" s="29">
        <f>IF(BH17="","",AVERAGE(BH17:BH67))</f>
        <v>87</v>
      </c>
      <c r="BJ71" s="29">
        <f>IF(BJ17="","",AVERAGE(BJ17:BJ67))</f>
        <v>10.6</v>
      </c>
      <c r="BL71" s="29">
        <f>IF(BL17="","",AVERAGE(BL17:BL67))</f>
        <v>31.4</v>
      </c>
      <c r="BN71" s="29">
        <f>IF(BN17="","",AVERAGE(BN17:BN67))</f>
        <v>1.4666666666666666</v>
      </c>
      <c r="BP71" s="29">
        <f>IF(BP17="","",AVERAGE(BP17:BP67))</f>
        <v>9.9999999999999992E-2</v>
      </c>
      <c r="BR71" s="29">
        <f>IF(BR17="","",AVERAGE(BR17:BR67))</f>
        <v>4.5333333333333332</v>
      </c>
      <c r="BT71" s="29">
        <f>IF(BT17="","",AVERAGE(BT17:BT67))</f>
        <v>14.6</v>
      </c>
      <c r="BV71" s="29">
        <f>IF(BV17="","",AVERAGE(BV17:BV67))</f>
        <v>2.4</v>
      </c>
      <c r="BX71" s="29">
        <f>IF(BX17="","",AVERAGE(BX17:BX67))</f>
        <v>1.2142857142857142</v>
      </c>
      <c r="BZ71" s="29">
        <f>IF(BZ17="","",AVERAGE(BZ17:BZ67))</f>
        <v>11</v>
      </c>
      <c r="CB71" s="29">
        <f>IF(CB17="","",AVERAGE(CB17:CB67))</f>
        <v>7.1333333333333337</v>
      </c>
      <c r="CD71" s="29">
        <f>IF(CD17="","",AVERAGE(CD17:CD67))</f>
        <v>0.5</v>
      </c>
      <c r="CF71" s="29" t="str">
        <f>IF(CF17="","",AVERAGE(CF17:CF67))</f>
        <v/>
      </c>
      <c r="CH71" s="29" t="str">
        <f>IF(CH17="","",AVERAGE(CH17:CH67))</f>
        <v/>
      </c>
    </row>
    <row r="72" spans="1:86" ht="18.75" customHeight="1" x14ac:dyDescent="0.2">
      <c r="A72" s="10" t="s">
        <v>132</v>
      </c>
      <c r="B72" s="51"/>
      <c r="C72" s="51"/>
      <c r="D72" s="51"/>
      <c r="E72" s="52"/>
      <c r="F72" s="29">
        <f>IF(F17="","",STDEVP(F17:F67))</f>
        <v>5.2467979653202663</v>
      </c>
      <c r="G72" s="1"/>
      <c r="H72" s="29">
        <f>IF(H17="","",STDEVP(H17:H67))</f>
        <v>5.9382002511048935</v>
      </c>
      <c r="I72" s="1"/>
      <c r="J72" s="29">
        <f>IF(J17="","",STDEVP(J17:J67))</f>
        <v>10.486817121192367</v>
      </c>
      <c r="K72" s="1"/>
      <c r="L72" s="29">
        <f>IF(L17="","",STDEVP(L17:L67))</f>
        <v>5.9717855137489844</v>
      </c>
      <c r="M72" s="1"/>
      <c r="N72" s="29">
        <f>IF(N17="","",STDEVP(N17:N67))</f>
        <v>5.8476966025569039</v>
      </c>
      <c r="O72" s="1"/>
      <c r="P72" s="29">
        <f>IF(P17="","",STDEVP(P17:P67))</f>
        <v>5.0128723192286575</v>
      </c>
      <c r="Q72" s="1"/>
      <c r="R72" s="29">
        <f>IF(R17="","",STDEVP(R17:R67))</f>
        <v>5.3599336645978086</v>
      </c>
      <c r="S72" s="1"/>
      <c r="T72" s="29">
        <f>IF(T17="","",STDEVP(T17:T67))</f>
        <v>6.4725059546773158</v>
      </c>
      <c r="U72" s="1"/>
      <c r="V72" s="29">
        <f>IF(V17="","",STDEVP(V17:V67))</f>
        <v>7.1727880833668065</v>
      </c>
      <c r="W72" s="1"/>
      <c r="X72" s="29">
        <f>IF(X17="","",STDEVP(X17:X67))</f>
        <v>5.7503623074260872</v>
      </c>
      <c r="Y72" s="1"/>
      <c r="Z72" s="29">
        <f>IF(Z17="","",STDEVP(Z17:Z67))</f>
        <v>7.7517023219992707</v>
      </c>
      <c r="AA72" s="1"/>
      <c r="AB72" s="29">
        <f>IF(AB17="","",STDEVP(AB17:AB67))</f>
        <v>4.2089850980438914</v>
      </c>
      <c r="AC72" s="1"/>
      <c r="AD72" s="29">
        <f>IF(AD17="","",STDEVP(AD17:AD67))</f>
        <v>3.5490217744549772</v>
      </c>
      <c r="AF72" s="29">
        <f>IF(AF17="","",STDEVP(AF17:AF67))</f>
        <v>41.604166458020366</v>
      </c>
      <c r="AH72" s="29">
        <f>IF(AH17="","",STDEVP(AH17:AH67))</f>
        <v>40.018662313142521</v>
      </c>
      <c r="AJ72" s="29">
        <f>IF(AJ17="","",STDEVP(AJ17:AJ67))</f>
        <v>10.595596569644707</v>
      </c>
      <c r="AL72" s="29">
        <f>IF(AL17="","",STDEVP(AL17:AL67))</f>
        <v>10.859506843724024</v>
      </c>
      <c r="AN72" s="29">
        <f>IF(AN17="","",STDEVP(AN17:AN67))</f>
        <v>10.53797366142509</v>
      </c>
      <c r="AP72" s="29">
        <f>IF(AP17="","",STDEVP(AP17:AP67))</f>
        <v>2.1186998109427604</v>
      </c>
      <c r="AR72" s="29">
        <f>IF(AR17="","",STDEVP(AR17:AR67))</f>
        <v>7.0980435489099536</v>
      </c>
      <c r="AT72" s="29">
        <f>IF(AT17="","",STDEVP(AT17:AT67))</f>
        <v>7.6756469144662702</v>
      </c>
      <c r="AV72" s="29">
        <f>IF(AV17="","",STDEVP(AV17:AV67))</f>
        <v>7.6547733836839029</v>
      </c>
      <c r="AX72" s="29">
        <f>IF(AX17="","",STDEVP(AX17:AX67))</f>
        <v>0.92855921847894107</v>
      </c>
      <c r="AZ72" s="29">
        <f>IF(AZ17="","",STDEVP(AZ17:AZ67))</f>
        <v>0</v>
      </c>
      <c r="BB72" s="29">
        <f>IF(BB17="","",STDEVP(BB17:BB67))</f>
        <v>7.2571803523590805</v>
      </c>
      <c r="BD72" s="29">
        <f>IF(BD17="","",STDEVP(BD17:BD67))</f>
        <v>9.6953597148326587</v>
      </c>
      <c r="BF72" s="29">
        <f>IF(BF17="","",STDEVP(BF17:BF67))</f>
        <v>1.1102230246251565E-16</v>
      </c>
      <c r="BH72" s="29">
        <f>IF(BH17="","",STDEVP(BH17:BH67))</f>
        <v>7.2571803523590805</v>
      </c>
      <c r="BJ72" s="29">
        <f>IF(BJ17="","",STDEVP(BJ17:BJ67))</f>
        <v>0.48989794855663554</v>
      </c>
      <c r="BL72" s="29">
        <f>IF(BL17="","",STDEVP(BL17:BL67))</f>
        <v>3.4019602192461531</v>
      </c>
      <c r="BN72" s="29">
        <f>IF(BN17="","",STDEVP(BN17:BN67))</f>
        <v>0.49888765156985887</v>
      </c>
      <c r="BP72" s="29">
        <f>IF(BP17="","",STDEVP(BP17:BP67))</f>
        <v>1.3877787807814457E-17</v>
      </c>
      <c r="BR72" s="29">
        <f>IF(BR17="","",STDEVP(BR17:BR67))</f>
        <v>0.49888765156985887</v>
      </c>
      <c r="BT72" s="29">
        <f>IF(BT17="","",STDEVP(BT17:BT67))</f>
        <v>12.59523719506703</v>
      </c>
      <c r="BV72" s="29">
        <f>IF(BV17="","",STDEVP(BV17:BV67))</f>
        <v>0.61101009266077866</v>
      </c>
      <c r="BX72" s="29">
        <f>IF(BX17="","",STDEVP(BX17:BX67))</f>
        <v>0.24743582965269675</v>
      </c>
      <c r="BZ72" s="29">
        <f>IF(BZ17="","",STDEVP(BZ17:BZ67))</f>
        <v>0</v>
      </c>
      <c r="CB72" s="29">
        <f>IF(CB17="","",STDEVP(CB17:CB67))</f>
        <v>0.33993463423951903</v>
      </c>
      <c r="CD72" s="29">
        <f>IF(CD17="","",STDEVP(CD17:CD67))</f>
        <v>0</v>
      </c>
      <c r="CF72" s="29" t="str">
        <f>IF(CF17="","",STDEVP(CF17:CF67))</f>
        <v/>
      </c>
      <c r="CH72" s="29" t="str">
        <f>IF(CH17="","",STDEVP(CH17:CH67))</f>
        <v/>
      </c>
    </row>
    <row r="73" spans="1:86" ht="18.75" customHeight="1" x14ac:dyDescent="0.2">
      <c r="A73" s="10" t="s">
        <v>133</v>
      </c>
      <c r="B73" s="51"/>
      <c r="C73" s="51"/>
      <c r="D73" s="51"/>
      <c r="E73" s="52"/>
      <c r="F73" s="29">
        <f>IF(F17="","",(F11-F10)/6/F72)</f>
        <v>0.54001189907840974</v>
      </c>
      <c r="G73" s="1"/>
      <c r="H73" s="29">
        <f>IF(H17="","",(H11-H10)/6/H72)</f>
        <v>0</v>
      </c>
      <c r="I73" s="1"/>
      <c r="J73" s="29">
        <f>IF(J17="","",(J11-J10)/6/J72)</f>
        <v>0.15892969691428779</v>
      </c>
      <c r="K73" s="1"/>
      <c r="L73" s="29">
        <f>IF(L17="","",(L11-L10)/6/L72)</f>
        <v>0.27909017543069159</v>
      </c>
      <c r="M73" s="1"/>
      <c r="N73" s="29">
        <f>IF(N17="","",(N11-N10)/6/N72)</f>
        <v>0.28501250662319194</v>
      </c>
      <c r="O73" s="1"/>
      <c r="P73" s="29">
        <f>IF(P17="","",(P11-P10)/6/P72)</f>
        <v>0.33247738233299362</v>
      </c>
      <c r="Q73" s="1"/>
      <c r="R73" s="29">
        <f>IF(R17="","",(R11-R10)/6/R72)</f>
        <v>0.31094912194062158</v>
      </c>
      <c r="S73" s="1"/>
      <c r="T73" s="29">
        <f>IF(T17="","",(T11-T10)/6/T72)</f>
        <v>0.25749944122681889</v>
      </c>
      <c r="U73" s="1"/>
      <c r="V73" s="29">
        <f>IF(V17="","",(V11-V10)/6/V72)</f>
        <v>0.23235966925212109</v>
      </c>
      <c r="W73" s="1"/>
      <c r="X73" s="29">
        <f>IF(X17="","",(X11-X10)/6/X72)</f>
        <v>0</v>
      </c>
      <c r="Y73" s="1"/>
      <c r="Z73" s="29">
        <f>IF(Z17="","",(Z11-Z10)/6/Z72)</f>
        <v>0</v>
      </c>
      <c r="AA73" s="1"/>
      <c r="AB73" s="29">
        <f>IF(AB17="","",(AB11-AB10)/6/AB72)</f>
        <v>0.39597827691080284</v>
      </c>
      <c r="AC73" s="1"/>
      <c r="AD73" s="29">
        <f>IF(AD17="","",(AD11-AD10)/6/AD72)</f>
        <v>0.46961297297834037</v>
      </c>
      <c r="AF73" s="29">
        <f>IF(AF17="","",(AF11-AF10)/6/AF72)</f>
        <v>4.0060090336105511E-2</v>
      </c>
      <c r="AH73" s="29">
        <f>IF(AH17="","",(AH11-AH10)/6/AH72)</f>
        <v>4.1647235822755549E-2</v>
      </c>
      <c r="AJ73" s="29">
        <f>IF(AJ17="","",(AJ11-AJ10)/6/AJ72)</f>
        <v>0.15729804883676821</v>
      </c>
      <c r="AL73" s="29">
        <f>IF(AL17="","",(AL11-AL10)/6/AL72)</f>
        <v>0.15347535488039904</v>
      </c>
      <c r="AN73" s="29">
        <f>IF(AN17="","",(AN11-AN10)/6/AN72)</f>
        <v>0.1581581734985355</v>
      </c>
      <c r="AP73" s="29">
        <f>IF(AP17="","",(AP11-AP10)/6/AP72)</f>
        <v>0</v>
      </c>
      <c r="AR73" s="29">
        <f>IF(AR17="","",(AR11-AR10)/6/AR72)</f>
        <v>0.23480648648917021</v>
      </c>
      <c r="AT73" s="29">
        <f>IF(AT17="","",(AT11-AT10)/6/AT72)</f>
        <v>0.21713696385975034</v>
      </c>
      <c r="AV73" s="29">
        <f>IF(AV17="","",(AV11-AV10)/6/AV72)</f>
        <v>0.21772906696613062</v>
      </c>
      <c r="AX73" s="29">
        <f>IF(AX17="","",(AX11-AX10)/6/AX72)</f>
        <v>0.53846861896330367</v>
      </c>
      <c r="AZ73" s="29" t="e">
        <f>IF(AZ17="","",(AZ11-AZ10)/6/AZ72)</f>
        <v>#DIV/0!</v>
      </c>
      <c r="BB73" s="29">
        <f>IF(BB17="","",(BB11-BB10)/6/BB72)</f>
        <v>0.22965760608731267</v>
      </c>
      <c r="BD73" s="29">
        <f>IF(BD17="","",(BD11-BD10)/6/BD72)</f>
        <v>1.7190354104313223E-2</v>
      </c>
      <c r="BF73" s="29">
        <f>IF(BF17="","",(BF11-BF10)/6/BF72)</f>
        <v>150119987579016.5</v>
      </c>
      <c r="BH73" s="29">
        <f>IF(BH17="","",(BH11-BH10)/6/BH72)</f>
        <v>-0.11482880304365634</v>
      </c>
      <c r="BJ73" s="29">
        <f>IF(BJ17="","",(BJ11-BJ10)/6/BJ72)</f>
        <v>1.7010345435994296</v>
      </c>
      <c r="BL73" s="29">
        <f>IF(BL17="","",(BL11-BL10)/6/BL72)</f>
        <v>9.7982725208702548E-2</v>
      </c>
      <c r="BN73" s="29">
        <f>IF(BN17="","",(BN11-BN10)/6/BN72)</f>
        <v>0.33407655239053047</v>
      </c>
      <c r="BP73" s="29">
        <f>IF(BP17="","",(BP11-BP10)/6/BP72)</f>
        <v>1.080863910568919E+16</v>
      </c>
      <c r="BR73" s="29">
        <f>IF(BR17="","",(BR11-BR10)/6/BR72)</f>
        <v>0.33407655239053047</v>
      </c>
      <c r="BT73" s="29">
        <f>IF(BT17="","",(BT11-BT10)/6/BT72)</f>
        <v>1.3232515123410478E-2</v>
      </c>
      <c r="BV73" s="29">
        <f>IF(BV17="","",(BV11-BV10)/6/BV72)</f>
        <v>0.81831708838497141</v>
      </c>
      <c r="BX73" s="29">
        <f>IF(BX17="","",(BX11-BX10)/6/BX72)</f>
        <v>2.3575135991909719</v>
      </c>
      <c r="BZ73" s="29" t="e">
        <f>IF(BZ17="","",(BZ11-BZ10)/6/BZ72)</f>
        <v>#DIV/0!</v>
      </c>
      <c r="CB73" s="29">
        <f>IF(CB17="","",(CB11-CB10)/6/CB72)</f>
        <v>0.98058067569092</v>
      </c>
      <c r="CD73" s="29" t="e">
        <f>IF(CD17="","",(CD11-CD10)/6/CD72)</f>
        <v>#DIV/0!</v>
      </c>
      <c r="CF73" s="29" t="str">
        <f>IF(CF17="","",(CF11-CF10)/6/CF72)</f>
        <v/>
      </c>
      <c r="CH73" s="29" t="str">
        <f>IF(CH17="","",(CH11-CH10)/6/CH72)</f>
        <v/>
      </c>
    </row>
    <row r="74" spans="1:86" ht="18.75" customHeight="1" x14ac:dyDescent="0.2">
      <c r="A74" s="10" t="s">
        <v>134</v>
      </c>
      <c r="B74" s="51"/>
      <c r="C74" s="51"/>
      <c r="D74" s="51"/>
      <c r="E74" s="52"/>
      <c r="F74" s="31">
        <f>IF(F17="","",MIN(((F11-F71)/3/F72),((F71-F10)/3/F72)))</f>
        <v>0.44895106903773674</v>
      </c>
      <c r="G74" s="32"/>
      <c r="H74" s="31">
        <f>IF(H17="","",MIN(((H11-H71)/3/H72),((H71-H10)/3/H72)))</f>
        <v>-2.5297601271407291</v>
      </c>
      <c r="I74" s="32"/>
      <c r="J74" s="31">
        <f>IF(J17="","",MIN(((J11-J71)/3/J72),((J71-J10)/3/J72)))</f>
        <v>-0.29878783019886118</v>
      </c>
      <c r="K74" s="32"/>
      <c r="L74" s="31">
        <f>IF(L17="","",MIN(((L11-L71)/3/L72),((L71-L10)/3/L72)))</f>
        <v>-0.43165947133280225</v>
      </c>
      <c r="M74" s="32"/>
      <c r="N74" s="31">
        <f>IF(N17="","",MIN(((N11-N71)/3/N72),((N71-N10)/3/N72)))</f>
        <v>-0.32681434092792605</v>
      </c>
      <c r="O74" s="32"/>
      <c r="P74" s="31">
        <f>IF(P17="","",MIN(((P11-P71)/3/P72),((P71-P10)/3/P72)))</f>
        <v>-0.33691041409743322</v>
      </c>
      <c r="Q74" s="32"/>
      <c r="R74" s="31">
        <f>IF(R17="","",MIN(((R11-R71)/3/R72),((R71-R10)/3/R72)))</f>
        <v>-0.30680313364808021</v>
      </c>
      <c r="S74" s="32"/>
      <c r="T74" s="31">
        <f>IF(T17="","",MIN(((T11-T71)/3/T72),((T71-T10)/3/T72)))</f>
        <v>-0.76219834603138448</v>
      </c>
      <c r="U74" s="32"/>
      <c r="V74" s="31">
        <f>IF(V17="","",MIN(((V11-V71)/3/V72),((V71-V10)/3/V72)))</f>
        <v>-0.70327526560308606</v>
      </c>
      <c r="W74" s="32"/>
      <c r="X74" s="31">
        <f>IF(X17="","",MIN(((X11-X71)/3/X72),((X71-X10)/3/X72)))</f>
        <v>-5.2170625773018928</v>
      </c>
      <c r="Y74" s="1"/>
      <c r="Z74" s="31">
        <f>IF(Z17="","",MIN(((Z11-Z71)/3/Z72),((Z71-Z10)/3/Z72)))</f>
        <v>-4.199794342355375</v>
      </c>
      <c r="AA74" s="1"/>
      <c r="AB74" s="31">
        <f>IF(AB17="","",MIN(((AB11-AB71)/3/AB72),((AB71-AB10)/3/AB72)))</f>
        <v>0.11615362789383565</v>
      </c>
      <c r="AC74" s="1"/>
      <c r="AD74" s="31">
        <f>IF(AD17="","",MIN(((AD11-AD71)/3/AD72),((AD71-AD10)/3/AD72)))</f>
        <v>-0.16279916396582608</v>
      </c>
      <c r="AF74" s="31">
        <f>IF(AF17="","",MIN(((AF11-AF71)/3/AF72),((AF71-AF10)/3/AF72)))</f>
        <v>-9.1337005966320606E-2</v>
      </c>
      <c r="AH74" s="31">
        <f>IF(AH17="","",MIN(((AH11-AH71)/3/AH72),((AH71-AH10)/3/AH72)))</f>
        <v>-5.6640240718947646E-2</v>
      </c>
      <c r="AJ74" s="31">
        <f>IF(AJ17="","",MIN(((AJ11-AJ71)/3/AJ72),((AJ71-AJ10)/3/AJ72)))</f>
        <v>0</v>
      </c>
      <c r="AL74" s="31">
        <f>IF(AL17="","",MIN(((AL11-AL71)/3/AL72),((AL71-AL10)/3/AL72)))</f>
        <v>-2.046338065071871E-3</v>
      </c>
      <c r="AN74" s="31">
        <f>IF(AN17="","",MIN(((AN11-AN71)/3/AN72),((AN71-AN10)/3/AN72)))</f>
        <v>3.5849185993001138E-2</v>
      </c>
      <c r="AP74" s="31">
        <f>IF(AP17="","",MIN(((AP11-AP71)/3/AP72),((AP71-AP10)/3/AP72)))</f>
        <v>-11.904575670396206</v>
      </c>
      <c r="AR74" s="31">
        <f>IF(AR17="","",MIN(((AR11-AR71)/3/AR72),((AR71-AR10)/3/AR72)))</f>
        <v>-0.51031276396979697</v>
      </c>
      <c r="AT74" s="31">
        <f>IF(AT17="","",MIN(((AT11-AT71)/3/AT72),((AT71-AT10)/3/AT72)))</f>
        <v>0.15054829494275909</v>
      </c>
      <c r="AV74" s="31">
        <f>IF(AV17="","",MIN(((AV11-AV71)/3/AV72),((AV71-AV10)/3/AV72)))</f>
        <v>-0.35126956137202392</v>
      </c>
      <c r="AX74" s="31">
        <f>IF(AX17="","",MIN(((AX11-AX71)/3/AX72),((AX71-AX10)/3/AX72)))</f>
        <v>2.3931938620589916E-2</v>
      </c>
      <c r="AZ74" s="31" t="e">
        <f>IF(AZ17="","",MIN(((AZ11-AZ71)/3/AZ72),((AZ71-AZ10)/3/AZ72)))</f>
        <v>#DIV/0!</v>
      </c>
      <c r="BB74" s="31">
        <f>IF(BB17="","",MIN(((BB11-BB71)/3/BB72),((BB71-BB10)/3/BB72)))</f>
        <v>0.1377945636523876</v>
      </c>
      <c r="BD74" s="31">
        <f>IF(BD17="","",MIN(((BD11-BD71)/3/BD72),((BD71-BD10)/3/BD72)))</f>
        <v>-0.30942637387763799</v>
      </c>
      <c r="BF74" s="31">
        <f>IF(BF17="","",MIN(((BF11-BF71)/3/BF72),((BF71-BF10)/3/BF72)))</f>
        <v>-0.33333333333333331</v>
      </c>
      <c r="BH74" s="31">
        <f>IF(BH17="","",MIN(((BH11-BH71)/3/BH72),((BH71-BH10)/3/BH72)))</f>
        <v>-0.55117825460955039</v>
      </c>
      <c r="BJ74" s="31">
        <f>IF(BJ17="","",MIN(((BJ11-BJ71)/3/BJ72),((BJ71-BJ10)/3/BJ72)))</f>
        <v>0.4082482904638628</v>
      </c>
      <c r="BL74" s="31">
        <f>IF(BL17="","",MIN(((BL11-BL71)/3/BL72),((BL71-BL10)/3/BL72)))</f>
        <v>-0.13717581529218345</v>
      </c>
      <c r="BN74" s="31">
        <f>IF(BN17="","",MIN(((BN11-BN71)/3/BN72),((BN71-BN10)/3/BN72)))</f>
        <v>0.3118047822311617</v>
      </c>
      <c r="BP74" s="31">
        <f>IF(BP17="","",MIN(((BP11-BP71)/3/BP72),((BP71-BP10)/3/BP72)))</f>
        <v>-0.33333333333333331</v>
      </c>
      <c r="BR74" s="31">
        <f>IF(BR17="","",MIN(((BR11-BR71)/3/BR72),((BR71-BR10)/3/BR72)))</f>
        <v>0.31180478223116181</v>
      </c>
      <c r="BT74" s="31">
        <f>IF(BT17="","",MIN(((BT11-BT71)/3/BT72),((BT71-BT10)/3/BT72)))</f>
        <v>-0.25406429036948119</v>
      </c>
      <c r="BV74" s="31">
        <f>IF(BV17="","",MIN(((BV11-BV71)/3/BV72),((BV71-BV10)/3/BV72)))</f>
        <v>0.21821789023599233</v>
      </c>
      <c r="BX74" s="31">
        <f>IF(BX17="","",MIN(((BX11-BX71)/3/BX72),((BX71-BX10)/3/BX72)))</f>
        <v>-0.38490017945975064</v>
      </c>
      <c r="BZ74" s="31" t="e">
        <f>IF(BZ17="","",MIN(((BZ11-BZ71)/3/BZ72),((BZ71-BZ10)/3/BZ72)))</f>
        <v>#DIV/0!</v>
      </c>
      <c r="CB74" s="31">
        <f>IF(CB17="","",MIN(((CB11-CB71)/3/CB72),((CB71-CB10)/3/CB72)))</f>
        <v>0.13074409009212309</v>
      </c>
      <c r="CD74" s="31" t="e">
        <f>IF(CD17="","",MIN(((CD11-CD71)/3/CD72),((CD71-CD10)/3/CD72)))</f>
        <v>#DIV/0!</v>
      </c>
      <c r="CF74" s="31" t="str">
        <f>IF(CF17="","",MIN(((CF11-CF71)/3/CF72),((CF71-CF10)/3/CF72)))</f>
        <v/>
      </c>
      <c r="CH74" s="31" t="str">
        <f>IF(CH17="","",MIN(((CH11-CH71)/3/CH72),((CH71-CH10)/3/CH72)))</f>
        <v/>
      </c>
    </row>
    <row r="75" spans="1:86" ht="18.75" customHeight="1" x14ac:dyDescent="0.2">
      <c r="A75" s="10" t="s">
        <v>135</v>
      </c>
      <c r="B75" s="51"/>
      <c r="C75" s="51"/>
      <c r="D75" s="51"/>
      <c r="E75" s="52"/>
      <c r="F75" s="33" t="str">
        <f>IF($F$17="","",IF($U6="","NOK",IF($F$74&gt;=$U6,"OK","NOK")))</f>
        <v>NOK</v>
      </c>
      <c r="G75" s="1"/>
      <c r="H75" s="33" t="str">
        <f>IF(H17="","",IF($U6="","NOK",IF(H74&gt;=$U6,"OK","NOK")))</f>
        <v>NOK</v>
      </c>
      <c r="I75" s="1"/>
      <c r="J75" s="33" t="str">
        <f>IF(J17="","",IF($U6="","NOK",IF(J74&gt;=$U6,"OK","NOK")))</f>
        <v>NOK</v>
      </c>
      <c r="K75" s="1"/>
      <c r="L75" s="33" t="str">
        <f>IF(L17="","",IF($U6="","NOK",IF(L74&gt;=$U6,"OK","NOK")))</f>
        <v>NOK</v>
      </c>
      <c r="M75" s="1"/>
      <c r="N75" s="33" t="str">
        <f>IF(N17="","",IF($U6="","NOK",IF(N74&gt;=$U6,"OK","NOK")))</f>
        <v>NOK</v>
      </c>
      <c r="O75" s="1"/>
      <c r="P75" s="33" t="str">
        <f>IF(P17="","",IF($U6="","NOK",IF(P74&gt;=$U6,"OK","NOK")))</f>
        <v>NOK</v>
      </c>
      <c r="Q75" s="1"/>
      <c r="R75" s="33" t="str">
        <f>IF(R17="","",IF($U6="","NOK",IF(R74&gt;=$U6,"OK","NOK")))</f>
        <v>NOK</v>
      </c>
      <c r="S75" s="1"/>
      <c r="T75" s="33" t="str">
        <f>IF(T17="","",IF($U6="","NOK",IF(T74&gt;=$U6,"OK","NOK")))</f>
        <v>NOK</v>
      </c>
      <c r="U75" s="1"/>
      <c r="V75" s="33" t="str">
        <f>IF(V17="","",IF($U6="","NOK",IF(V74&gt;=$U6,"OK","NOK")))</f>
        <v>NOK</v>
      </c>
      <c r="W75" s="1"/>
      <c r="X75" s="33" t="str">
        <f>IF(X17="","",IF($U6="","NOK",IF(X74&gt;=$U6,"OK","NOK")))</f>
        <v>NOK</v>
      </c>
      <c r="Y75" s="1"/>
      <c r="Z75" s="33" t="str">
        <f>IF(Z17="","",IF($U6="","NOK",IF(Z74&gt;=$U6,"OK","NOK")))</f>
        <v>NOK</v>
      </c>
      <c r="AA75" s="1"/>
      <c r="AB75" s="33" t="str">
        <f>IF(AB17="","",IF($U6="","NOK",IF(AB74&gt;=$U6,"OK","NOK")))</f>
        <v>NOK</v>
      </c>
      <c r="AC75" s="1"/>
      <c r="AD75" s="33" t="str">
        <f>IF(AD17="","",IF($U6="","NOK",IF(AD74&gt;=$U6,"OK","NOK")))</f>
        <v>NOK</v>
      </c>
      <c r="AF75" s="33" t="str">
        <f>IF(AF17="","",IF($U6="","NOK",IF(AF74&gt;=$U6,"OK","NOK")))</f>
        <v>NOK</v>
      </c>
      <c r="AH75" s="33" t="str">
        <f>IF(AH17="","",IF($U6="","NOK",IF(AH74&gt;=$U6,"OK","NOK")))</f>
        <v>NOK</v>
      </c>
      <c r="AJ75" s="33" t="str">
        <f>IF(AJ17="","",IF($U6="","NOK",IF(AJ74&gt;=$U6,"OK","NOK")))</f>
        <v>NOK</v>
      </c>
      <c r="AL75" s="33" t="str">
        <f>IF(AL17="","",IF($U6="","NOK",IF(AL74&gt;=$U6,"OK","NOK")))</f>
        <v>NOK</v>
      </c>
      <c r="AN75" s="33" t="str">
        <f>IF(AN17="","",IF($U6="","NOK",IF(AN74&gt;=$U6,"OK","NOK")))</f>
        <v>NOK</v>
      </c>
      <c r="AP75" s="33" t="str">
        <f>IF(AP17="","",IF($U6="","NOK",IF(AP74&gt;=$U6,"OK","NOK")))</f>
        <v>NOK</v>
      </c>
      <c r="AR75" s="33" t="str">
        <f>IF(AR17="","",IF($U6="","NOK",IF(AR74&gt;=$U6,"OK","NOK")))</f>
        <v>NOK</v>
      </c>
      <c r="AT75" s="33" t="str">
        <f>IF(AT17="","",IF($U6="","NOK",IF(AT74&gt;=$U6,"OK","NOK")))</f>
        <v>NOK</v>
      </c>
      <c r="AV75" s="33" t="str">
        <f>IF(AV17="","",IF($U6="","NOK",IF(AV74&gt;=$U6,"OK","NOK")))</f>
        <v>NOK</v>
      </c>
      <c r="AX75" s="33" t="str">
        <f>IF(AX17="","",IF($U6="","NOK",IF(AX74&gt;=$U6,"OK","NOK")))</f>
        <v>NOK</v>
      </c>
      <c r="AZ75" s="33" t="e">
        <f>IF(AZ17="","",IF($U6="","NOK",IF(AZ74&gt;=$U6,"OK","NOK")))</f>
        <v>#DIV/0!</v>
      </c>
      <c r="BB75" s="33" t="str">
        <f>IF(BB17="","",IF($U6="","NOK",IF(BB74&gt;=$U6,"OK","NOK")))</f>
        <v>NOK</v>
      </c>
      <c r="BD75" s="33" t="str">
        <f>IF(BD17="","",IF($U6="","NOK",IF(BD74&gt;=$U6,"OK","NOK")))</f>
        <v>NOK</v>
      </c>
      <c r="BF75" s="33" t="str">
        <f>IF(BF17="","",IF($U6="","NOK",IF(BF74&gt;=$U6,"OK","NOK")))</f>
        <v>NOK</v>
      </c>
      <c r="BH75" s="33" t="str">
        <f>IF(BH17="","",IF($U6="","NOK",IF(BH74&gt;=$U6,"OK","NOK")))</f>
        <v>NOK</v>
      </c>
      <c r="BJ75" s="33" t="str">
        <f>IF(BJ17="","",IF($U6="","NOK",IF(BJ74&gt;=$U6,"OK","NOK")))</f>
        <v>NOK</v>
      </c>
      <c r="BL75" s="33" t="str">
        <f>IF(BL17="","",IF($U6="","NOK",IF(BL74&gt;=$U6,"OK","NOK")))</f>
        <v>NOK</v>
      </c>
      <c r="BN75" s="33" t="str">
        <f>IF(BN17="","",IF($U6="","NOK",IF(BN74&gt;=$U6,"OK","NOK")))</f>
        <v>NOK</v>
      </c>
      <c r="BP75" s="33" t="str">
        <f>IF(BP17="","",IF($U6="","NOK",IF(BP74&gt;=$U6,"OK","NOK")))</f>
        <v>NOK</v>
      </c>
      <c r="BR75" s="33" t="str">
        <f>IF(BR17="","",IF($U6="","NOK",IF(BR74&gt;=$U6,"OK","NOK")))</f>
        <v>NOK</v>
      </c>
      <c r="BT75" s="33" t="str">
        <f>IF(BT17="","",IF($U6="","NOK",IF(BT74&gt;=$U6,"OK","NOK")))</f>
        <v>NOK</v>
      </c>
      <c r="BV75" s="33" t="str">
        <f>IF(BV17="","",IF($U6="","NOK",IF(BV74&gt;=$U6,"OK","NOK")))</f>
        <v>NOK</v>
      </c>
      <c r="BX75" s="33" t="str">
        <f>IF(BX17="","",IF($U6="","NOK",IF(BX74&gt;=$U6,"OK","NOK")))</f>
        <v>NOK</v>
      </c>
      <c r="BZ75" s="33" t="e">
        <f>IF(BZ17="","",IF($U6="","NOK",IF(BZ74&gt;=$U6,"OK","NOK")))</f>
        <v>#DIV/0!</v>
      </c>
      <c r="CB75" s="33" t="str">
        <f>IF(CB17="","",IF($U6="","NOK",IF(CB74&gt;=$U6,"OK","NOK")))</f>
        <v>NOK</v>
      </c>
      <c r="CD75" s="33" t="e">
        <f>IF(CD17="","",IF($U6="","NOK",IF(CD74&gt;=$U6,"OK","NOK")))</f>
        <v>#DIV/0!</v>
      </c>
      <c r="CF75" s="33" t="str">
        <f>IF(CF17="","",IF($U6="","NOK",IF(CF74&gt;=$U6,"OK","NOK")))</f>
        <v/>
      </c>
      <c r="CH75" s="33" t="str">
        <f>IF(CH17="","",IF($U6="","NOK",IF(CH74&gt;=$U6,"OK","NOK")))</f>
        <v/>
      </c>
    </row>
    <row r="76" spans="1:86" ht="14.25" customHeight="1" thickBot="1" x14ac:dyDescent="0.25">
      <c r="A76" s="52"/>
      <c r="B76" s="52"/>
      <c r="C76" s="52"/>
      <c r="D76" s="52"/>
      <c r="E76" s="64"/>
      <c r="F76" s="52"/>
      <c r="G76" s="64"/>
      <c r="H76" s="52"/>
      <c r="I76" s="64"/>
      <c r="J76" s="52"/>
      <c r="K76" s="64"/>
      <c r="L76" s="52"/>
      <c r="M76" s="64"/>
      <c r="N76" s="52"/>
      <c r="O76" s="64"/>
      <c r="P76" s="52"/>
      <c r="Q76" s="64"/>
      <c r="R76" s="52"/>
      <c r="S76" s="64"/>
      <c r="T76" s="52"/>
      <c r="U76" s="64"/>
      <c r="V76" s="52"/>
      <c r="W76" s="64"/>
      <c r="X76" s="52"/>
      <c r="Y76" s="52"/>
      <c r="Z76" s="52"/>
      <c r="AA76" s="52"/>
      <c r="AB76" s="52"/>
      <c r="AC76" s="52"/>
      <c r="AD76" s="52"/>
      <c r="AF76" s="52"/>
      <c r="AH76" s="52"/>
      <c r="AJ76" s="52"/>
      <c r="AL76" s="52"/>
      <c r="AN76" s="52"/>
      <c r="AP76" s="52"/>
      <c r="AR76" s="52"/>
      <c r="AT76" s="52"/>
      <c r="AV76" s="52"/>
      <c r="AX76" s="52"/>
      <c r="AZ76" s="52"/>
      <c r="BB76" s="52"/>
      <c r="BD76" s="52"/>
      <c r="BF76" s="52"/>
      <c r="BH76" s="52"/>
      <c r="BJ76" s="52"/>
      <c r="BL76" s="52"/>
      <c r="BN76" s="52"/>
      <c r="BP76" s="52"/>
      <c r="BR76" s="52"/>
      <c r="BT76" s="52"/>
      <c r="BV76" s="52"/>
      <c r="BX76" s="52"/>
      <c r="BZ76" s="52"/>
      <c r="CB76" s="52"/>
      <c r="CD76" s="52"/>
      <c r="CF76" s="52"/>
      <c r="CH76" s="52"/>
    </row>
    <row r="77" spans="1:86" ht="18" customHeight="1" x14ac:dyDescent="0.8">
      <c r="A77" s="20"/>
      <c r="B77" s="20"/>
      <c r="C77" s="20"/>
      <c r="D77" s="20"/>
      <c r="E77" s="34"/>
      <c r="F77" s="21" t="s">
        <v>136</v>
      </c>
      <c r="G77" s="34"/>
      <c r="H77" s="20"/>
      <c r="I77" s="34"/>
      <c r="J77" s="20"/>
      <c r="K77" s="34"/>
      <c r="L77" s="20"/>
      <c r="M77" s="34"/>
      <c r="N77" s="20"/>
      <c r="O77" s="34"/>
      <c r="P77" s="20"/>
      <c r="Q77" s="34"/>
      <c r="R77" s="20"/>
      <c r="S77" s="34"/>
      <c r="T77" s="20"/>
      <c r="U77" s="34"/>
      <c r="V77" s="20"/>
      <c r="W77" s="34"/>
      <c r="X77" s="20"/>
      <c r="Y77" s="52"/>
      <c r="Z77" s="20"/>
      <c r="AA77" s="52"/>
      <c r="AB77" s="20"/>
      <c r="AC77" s="52"/>
      <c r="AD77" s="20"/>
      <c r="AF77" s="20"/>
      <c r="AH77" s="20"/>
      <c r="AJ77" s="20"/>
      <c r="AL77" s="20"/>
      <c r="AN77" s="20"/>
      <c r="AP77" s="20"/>
      <c r="AR77" s="20"/>
      <c r="AT77" s="20"/>
      <c r="AV77" s="20"/>
      <c r="AX77" s="20"/>
      <c r="AZ77" s="20"/>
      <c r="BB77" s="20"/>
      <c r="BD77" s="20"/>
      <c r="BF77" s="20"/>
      <c r="BH77" s="20"/>
      <c r="BJ77" s="20"/>
      <c r="BL77" s="20"/>
      <c r="BN77" s="20"/>
      <c r="BP77" s="20"/>
      <c r="BR77" s="20"/>
      <c r="BT77" s="20"/>
      <c r="BV77" s="20"/>
      <c r="BX77" s="20"/>
      <c r="BZ77" s="20"/>
      <c r="CB77" s="20"/>
      <c r="CD77" s="20"/>
      <c r="CF77" s="20"/>
      <c r="CH77" s="20"/>
    </row>
    <row r="78" spans="1:86" ht="13.5" customHeight="1" x14ac:dyDescent="0.2">
      <c r="A78" s="52"/>
      <c r="B78" s="52"/>
      <c r="C78" s="52"/>
      <c r="D78" s="52"/>
      <c r="E78" s="64">
        <f t="shared" ref="E78:E79" si="0">E$80-(E$80-E$88)/8*$A97</f>
        <v>34.25</v>
      </c>
      <c r="F78" s="52"/>
      <c r="G78" s="64">
        <f t="shared" ref="G78:G79" si="1">G$80-(G$80-G$88)/8*$A97</f>
        <v>0</v>
      </c>
      <c r="H78" s="52"/>
      <c r="I78" s="64">
        <f t="shared" ref="I78:I79" si="2">I$80-(I$80-I$88)/8*$A97</f>
        <v>267.5</v>
      </c>
      <c r="J78" s="52"/>
      <c r="K78" s="64">
        <f t="shared" ref="K78:K79" si="3">K$80-(K$80-K$88)/8*$A97</f>
        <v>267.5</v>
      </c>
      <c r="L78" s="52"/>
      <c r="M78" s="64">
        <f t="shared" ref="M78:M79" si="4">M$80-(M$80-M$88)/8*$A97</f>
        <v>264.5</v>
      </c>
      <c r="N78" s="52"/>
      <c r="O78" s="64">
        <f t="shared" ref="O78:O79" si="5">O$80-(O$80-O$88)/8*$A97</f>
        <v>264.5</v>
      </c>
      <c r="P78" s="52"/>
      <c r="Q78" s="64">
        <f t="shared" ref="Q78:Q79" si="6">Q$80-(Q$80-Q$88)/8*$A97</f>
        <v>264.5</v>
      </c>
      <c r="R78" s="52"/>
      <c r="S78" s="64">
        <f t="shared" ref="S78:S79" si="7">S$80-(S$80-S$88)/8*$A97</f>
        <v>277.5</v>
      </c>
      <c r="T78" s="52"/>
      <c r="U78" s="64">
        <f t="shared" ref="U78:U79" si="8">U$80-(U$80-U$88)/8*$A97</f>
        <v>277.5</v>
      </c>
      <c r="V78" s="52"/>
      <c r="W78" s="64">
        <f t="shared" ref="W78" si="9">W$80-(W$80-W$88)/8*$A97</f>
        <v>0</v>
      </c>
      <c r="X78" s="52"/>
      <c r="Y78" s="64">
        <f t="shared" ref="Y78" si="10">Y$80-(Y$80-Y$88)/8*$A97</f>
        <v>0</v>
      </c>
      <c r="Z78" s="52"/>
      <c r="AA78" s="64">
        <f t="shared" ref="AA78" si="11">AA$80-(AA$80-AA$88)/8*$A97</f>
        <v>262.5</v>
      </c>
      <c r="AB78" s="52"/>
      <c r="AC78" s="64">
        <f t="shared" ref="AC78" si="12">AC$80-(AC$80-AC$88)/8*$A97</f>
        <v>272.5</v>
      </c>
      <c r="AD78" s="52"/>
      <c r="AE78" s="64">
        <f t="shared" ref="AE78" si="13">AE$80-(AE$80-AE$88)/8*$A97</f>
        <v>272.5</v>
      </c>
      <c r="AF78" s="52"/>
      <c r="AG78" s="64">
        <f t="shared" ref="AG78" si="14">AG$80-(AG$80-AG$88)/8*$A97</f>
        <v>267.5</v>
      </c>
      <c r="AH78" s="52"/>
      <c r="AI78" s="64">
        <f t="shared" ref="AI78" si="15">AI$80-(AI$80-AI$88)/8*$A97</f>
        <v>282.5</v>
      </c>
      <c r="AJ78" s="52"/>
      <c r="AK78" s="64">
        <f t="shared" ref="AK78" si="16">AK$80-(AK$80-AK$88)/8*$A97</f>
        <v>282.5</v>
      </c>
      <c r="AL78" s="52"/>
      <c r="AM78" s="64">
        <f t="shared" ref="AM78" si="17">AM$80-(AM$80-AM$88)/8*$A97</f>
        <v>282.5</v>
      </c>
      <c r="AN78" s="52"/>
      <c r="AO78" s="64">
        <f t="shared" ref="AO78" si="18">AO$80-(AO$80-AO$88)/8*$A97</f>
        <v>0</v>
      </c>
      <c r="AP78" s="52"/>
      <c r="AQ78" s="64">
        <f t="shared" ref="AQ78" si="19">AQ$80-(AQ$80-AQ$88)/8*$A97</f>
        <v>297.5</v>
      </c>
      <c r="AR78" s="52"/>
      <c r="AS78" s="64">
        <f t="shared" ref="AS78" si="20">AS$80-(AS$80-AS$88)/8*$A97</f>
        <v>312.5</v>
      </c>
      <c r="AT78" s="52"/>
      <c r="AU78" s="64">
        <f t="shared" ref="AU78" si="21">AU$80-(AU$80-AU$88)/8*$A97</f>
        <v>322.5</v>
      </c>
      <c r="AV78" s="52"/>
      <c r="AW78" s="64">
        <f t="shared" ref="AW78" si="22">AW$80-(AW$80-AW$88)/8*$A97</f>
        <v>415.75</v>
      </c>
      <c r="AX78" s="52"/>
      <c r="AY78" s="64">
        <f t="shared" ref="AY78" si="23">AY$80-(AY$80-AY$88)/8*$A97</f>
        <v>20.25</v>
      </c>
      <c r="AZ78" s="52"/>
      <c r="BA78" s="64">
        <f t="shared" ref="BA78" si="24">BA$80-(BA$80-BA$88)/8*$A97</f>
        <v>87.5</v>
      </c>
      <c r="BB78" s="52"/>
      <c r="BC78" s="64">
        <f t="shared" ref="BC78" si="25">BC$80-(BC$80-BC$88)/8*$A97</f>
        <v>36.25</v>
      </c>
      <c r="BD78" s="52"/>
      <c r="BE78" s="64">
        <f t="shared" ref="BE78" si="26">BE$80-(BE$80-BE$88)/8*$A97</f>
        <v>0.92500000000000004</v>
      </c>
      <c r="BF78" s="52"/>
      <c r="BG78" s="64">
        <f t="shared" ref="BG78" si="27">BG$80-(BG$80-BG$88)/8*$A97</f>
        <v>73.75</v>
      </c>
      <c r="BH78" s="52"/>
      <c r="BI78" s="64">
        <f t="shared" ref="BI78" si="28">BI$80-(BI$80-BI$88)/8*$A97</f>
        <v>16.25</v>
      </c>
      <c r="BJ78" s="52"/>
      <c r="BK78" s="64">
        <f t="shared" ref="BK78" si="29">BK$80-(BK$80-BK$88)/8*$A97</f>
        <v>30.5</v>
      </c>
      <c r="BL78" s="52"/>
      <c r="BM78" s="64">
        <f t="shared" ref="BM78" si="30">BM$80-(BM$80-BM$88)/8*$A97</f>
        <v>2.25</v>
      </c>
      <c r="BN78" s="52"/>
      <c r="BO78" s="64">
        <f t="shared" ref="BO78" si="31">BO$80-(BO$80-BO$88)/8*$A97</f>
        <v>1.2250000000000001</v>
      </c>
      <c r="BP78" s="52"/>
      <c r="BQ78" s="64">
        <f t="shared" ref="BQ78" si="32">BQ$80-(BQ$80-BQ$88)/8*$A97</f>
        <v>5.25</v>
      </c>
      <c r="BR78" s="52"/>
      <c r="BS78" s="64">
        <f t="shared" ref="BS78" si="33">BS$80-(BS$80-BS$88)/8*$A97</f>
        <v>5.25</v>
      </c>
      <c r="BT78" s="52"/>
      <c r="BU78" s="64">
        <f t="shared" ref="BU78" si="34">BU$80-(BU$80-BU$88)/8*$A97</f>
        <v>5.75</v>
      </c>
      <c r="BV78" s="52"/>
      <c r="BW78" s="64">
        <f t="shared" ref="BW78" si="35">BW$80-(BW$80-BW$88)/8*$A97</f>
        <v>5.875</v>
      </c>
      <c r="BX78" s="52"/>
      <c r="BY78" s="64">
        <f t="shared" ref="BY78" si="36">BY$80-(BY$80-BY$88)/8*$A97</f>
        <v>16.375</v>
      </c>
      <c r="BZ78" s="52"/>
      <c r="CA78" s="64">
        <f t="shared" ref="CA78" si="37">CA$80-(CA$80-CA$88)/8*$A97</f>
        <v>9.5</v>
      </c>
      <c r="CB78" s="52"/>
      <c r="CC78" s="64">
        <f t="shared" ref="CC78" si="38">CC$80-(CC$80-CC$88)/8*$A97</f>
        <v>1.125</v>
      </c>
      <c r="CD78" s="52"/>
      <c r="CF78" s="52"/>
      <c r="CH78" s="52"/>
    </row>
    <row r="79" spans="1:86" ht="18.75" customHeight="1" x14ac:dyDescent="0.2">
      <c r="A79" s="65" t="s">
        <v>137</v>
      </c>
      <c r="B79" s="53"/>
      <c r="C79" s="53"/>
      <c r="D79" s="53"/>
      <c r="E79" s="64">
        <f t="shared" si="0"/>
        <v>32.125</v>
      </c>
      <c r="F79" s="35" t="str">
        <f t="shared" ref="F79:F90" si="39">IF(F$110=0,"",REPT("█",F98/F$110*10))</f>
        <v/>
      </c>
      <c r="G79" s="36">
        <f t="shared" si="1"/>
        <v>0</v>
      </c>
      <c r="H79" s="35" t="str">
        <f t="shared" ref="H79:H90" si="40">IF(H$110=0,"",REPT("█",H98/H$110*10))</f>
        <v/>
      </c>
      <c r="I79" s="36">
        <f t="shared" si="2"/>
        <v>266.25</v>
      </c>
      <c r="J79" s="35" t="str">
        <f t="shared" ref="J79:J90" si="41">IF(J$110=0,"",REPT("█",J98/J$110*10))</f>
        <v/>
      </c>
      <c r="K79" s="36">
        <f t="shared" si="3"/>
        <v>266.25</v>
      </c>
      <c r="L79" s="35" t="str">
        <f t="shared" ref="L79:L90" si="42">IF(L$110=0,"",REPT("█",L98/L$110*10))</f>
        <v/>
      </c>
      <c r="M79" s="36">
        <f t="shared" si="4"/>
        <v>263.25</v>
      </c>
      <c r="N79" s="35" t="str">
        <f t="shared" ref="N79:N90" si="43">IF(N$110=0,"",REPT("█",N98/N$110*10))</f>
        <v/>
      </c>
      <c r="O79" s="36">
        <f t="shared" si="5"/>
        <v>263.25</v>
      </c>
      <c r="P79" s="35" t="str">
        <f t="shared" ref="P79:P90" si="44">IF(P$110=0,"",REPT("█",P98/P$110*10))</f>
        <v/>
      </c>
      <c r="Q79" s="36">
        <f t="shared" si="6"/>
        <v>263.25</v>
      </c>
      <c r="R79" s="35" t="str">
        <f t="shared" ref="R79:R90" si="45">IF(R$110=0,"",REPT("█",R98/R$110*10))</f>
        <v/>
      </c>
      <c r="S79" s="36">
        <f t="shared" si="7"/>
        <v>276.25</v>
      </c>
      <c r="T79" s="35" t="str">
        <f t="shared" ref="T79:T90" si="46">IF(T$110=0,"",REPT("█",T98/T$110*10))</f>
        <v/>
      </c>
      <c r="U79" s="36">
        <f t="shared" si="8"/>
        <v>276.25</v>
      </c>
      <c r="V79" s="35" t="str">
        <f t="shared" ref="V79:V90" si="47">IF(V$110=0,"",REPT("█",V98/V$110*10))</f>
        <v/>
      </c>
      <c r="W79" s="36">
        <f t="shared" ref="W79" si="48">W$80-(W$80-W$88)/8*$A98</f>
        <v>0</v>
      </c>
      <c r="X79" s="35" t="str">
        <f t="shared" ref="X79" si="49">IF(X$110=0,"",REPT("█",X98/X$110*10))</f>
        <v/>
      </c>
      <c r="Y79" s="36">
        <f t="shared" ref="Y79" si="50">Y$80-(Y$80-Y$88)/8*$A98</f>
        <v>0</v>
      </c>
      <c r="Z79" s="35" t="str">
        <f t="shared" ref="Z79" si="51">IF(Z$110=0,"",REPT("█",Z98/Z$110*10))</f>
        <v/>
      </c>
      <c r="AA79" s="36">
        <f t="shared" ref="AA79" si="52">AA$80-(AA$80-AA$88)/8*$A98</f>
        <v>261.25</v>
      </c>
      <c r="AB79" s="35" t="str">
        <f t="shared" ref="AB79" si="53">IF(AB$110=0,"",REPT("█",AB98/AB$110*10))</f>
        <v/>
      </c>
      <c r="AC79" s="36">
        <f t="shared" ref="AC79" si="54">AC$80-(AC$80-AC$88)/8*$A98</f>
        <v>271.25</v>
      </c>
      <c r="AD79" s="35" t="str">
        <f t="shared" ref="AD79" si="55">IF(AD$110=0,"",REPT("█",AD98/AD$110*10))</f>
        <v/>
      </c>
      <c r="AE79" s="36">
        <f t="shared" ref="AE79" si="56">AE$80-(AE$80-AE$88)/8*$A98</f>
        <v>271.25</v>
      </c>
      <c r="AF79" s="35" t="str">
        <f t="shared" ref="AF79" si="57">IF(AF$110=0,"",REPT("█",AF98/AF$110*10))</f>
        <v/>
      </c>
      <c r="AG79" s="36">
        <f t="shared" ref="AG79" si="58">AG$80-(AG$80-AG$88)/8*$A98</f>
        <v>266.25</v>
      </c>
      <c r="AH79" s="35" t="str">
        <f t="shared" ref="AH79" si="59">IF(AH$110=0,"",REPT("█",AH98/AH$110*10))</f>
        <v>██████████</v>
      </c>
      <c r="AI79" s="36">
        <f t="shared" ref="AI79" si="60">AI$80-(AI$80-AI$88)/8*$A98</f>
        <v>281.25</v>
      </c>
      <c r="AJ79" s="35" t="str">
        <f t="shared" ref="AJ79" si="61">IF(AJ$110=0,"",REPT("█",AJ98/AJ$110*10))</f>
        <v/>
      </c>
      <c r="AK79" s="36">
        <f t="shared" ref="AK79" si="62">AK$80-(AK$80-AK$88)/8*$A98</f>
        <v>281.25</v>
      </c>
      <c r="AL79" s="35" t="str">
        <f t="shared" ref="AL79" si="63">IF(AL$110=0,"",REPT("█",AL98/AL$110*10))</f>
        <v/>
      </c>
      <c r="AM79" s="36">
        <f t="shared" ref="AM79" si="64">AM$80-(AM$80-AM$88)/8*$A98</f>
        <v>281.25</v>
      </c>
      <c r="AN79" s="35" t="str">
        <f t="shared" ref="AN79" si="65">IF(AN$110=0,"",REPT("█",AN98/AN$110*10))</f>
        <v/>
      </c>
      <c r="AO79" s="36">
        <f t="shared" ref="AO79" si="66">AO$80-(AO$80-AO$88)/8*$A98</f>
        <v>0</v>
      </c>
      <c r="AP79" s="35" t="str">
        <f t="shared" ref="AP79" si="67">IF(AP$110=0,"",REPT("█",AP98/AP$110*10))</f>
        <v/>
      </c>
      <c r="AQ79" s="36">
        <f t="shared" ref="AQ79" si="68">AQ$80-(AQ$80-AQ$88)/8*$A98</f>
        <v>296.25</v>
      </c>
      <c r="AR79" s="35" t="str">
        <f t="shared" ref="AR79" si="69">IF(AR$110=0,"",REPT("█",AR98/AR$110*10))</f>
        <v/>
      </c>
      <c r="AS79" s="36">
        <f t="shared" ref="AS79" si="70">AS$80-(AS$80-AS$88)/8*$A98</f>
        <v>311.25</v>
      </c>
      <c r="AT79" s="35" t="str">
        <f t="shared" ref="AT79" si="71">IF(AT$110=0,"",REPT("█",AT98/AT$110*10))</f>
        <v/>
      </c>
      <c r="AU79" s="36">
        <f t="shared" ref="AU79" si="72">AU$80-(AU$80-AU$88)/8*$A98</f>
        <v>321.25</v>
      </c>
      <c r="AV79" s="35" t="str">
        <f t="shared" ref="AV79" si="73">IF(AV$110=0,"",REPT("█",AV98/AV$110*10))</f>
        <v/>
      </c>
      <c r="AW79" s="36">
        <f t="shared" ref="AW79" si="74">AW$80-(AW$80-AW$88)/8*$A98</f>
        <v>415.375</v>
      </c>
      <c r="AX79" s="35" t="str">
        <f t="shared" ref="AX79" si="75">IF(AX$110=0,"",REPT("█",AX98/AX$110*10))</f>
        <v/>
      </c>
      <c r="AY79" s="36">
        <f t="shared" ref="AY79" si="76">AY$80-(AY$80-AY$88)/8*$A98</f>
        <v>20.125</v>
      </c>
      <c r="AZ79" s="35" t="str">
        <f t="shared" ref="AZ79" si="77">IF(AZ$110=0,"",REPT("█",AZ98/AZ$110*10))</f>
        <v/>
      </c>
      <c r="BA79" s="36">
        <f t="shared" ref="BA79" si="78">BA$80-(BA$80-BA$88)/8*$A98</f>
        <v>86.25</v>
      </c>
      <c r="BB79" s="35" t="str">
        <f t="shared" ref="BB79" si="79">IF(BB$110=0,"",REPT("█",BB98/BB$110*10))</f>
        <v/>
      </c>
      <c r="BC79" s="36">
        <f t="shared" ref="BC79" si="80">BC$80-(BC$80-BC$88)/8*$A98</f>
        <v>36.125</v>
      </c>
      <c r="BD79" s="35" t="str">
        <f t="shared" ref="BD79" si="81">IF(BD$110=0,"",REPT("█",BD98/BD$110*10))</f>
        <v/>
      </c>
      <c r="BE79" s="36">
        <f t="shared" ref="BE79" si="82">BE$80-(BE$80-BE$88)/8*$A98</f>
        <v>0.91249999999999998</v>
      </c>
      <c r="BF79" s="35" t="str">
        <f t="shared" ref="BF79" si="83">IF(BF$110=0,"",REPT("█",BF98/BF$110*10))</f>
        <v/>
      </c>
      <c r="BG79" s="36">
        <f t="shared" ref="BG79" si="84">BG$80-(BG$80-BG$88)/8*$A98</f>
        <v>74.375</v>
      </c>
      <c r="BH79" s="35" t="str">
        <f t="shared" ref="BH79" si="85">IF(BH$110=0,"",REPT("█",BH98/BH$110*10))</f>
        <v/>
      </c>
      <c r="BI79" s="36">
        <f t="shared" ref="BI79" si="86">BI$80-(BI$80-BI$88)/8*$A98</f>
        <v>15.625</v>
      </c>
      <c r="BJ79" s="35" t="str">
        <f t="shared" ref="BJ79" si="87">IF(BJ$110=0,"",REPT("█",BJ98/BJ$110*10))</f>
        <v/>
      </c>
      <c r="BK79" s="36">
        <f t="shared" ref="BK79" si="88">BK$80-(BK$80-BK$88)/8*$A98</f>
        <v>30.25</v>
      </c>
      <c r="BL79" s="35" t="str">
        <f t="shared" ref="BL79" si="89">IF(BL$110=0,"",REPT("█",BL98/BL$110*10))</f>
        <v/>
      </c>
      <c r="BM79" s="36">
        <f t="shared" ref="BM79" si="90">BM$80-(BM$80-BM$88)/8*$A98</f>
        <v>2.125</v>
      </c>
      <c r="BN79" s="35" t="str">
        <f t="shared" ref="BN79" si="91">IF(BN$110=0,"",REPT("█",BN98/BN$110*10))</f>
        <v/>
      </c>
      <c r="BO79" s="36">
        <f t="shared" ref="BO79" si="92">BO$80-(BO$80-BO$88)/8*$A98</f>
        <v>1.1125</v>
      </c>
      <c r="BP79" s="35" t="str">
        <f t="shared" ref="BP79" si="93">IF(BP$110=0,"",REPT("█",BP98/BP$110*10))</f>
        <v/>
      </c>
      <c r="BQ79" s="36">
        <f t="shared" ref="BQ79" si="94">BQ$80-(BQ$80-BQ$88)/8*$A98</f>
        <v>5.125</v>
      </c>
      <c r="BR79" s="35" t="str">
        <f t="shared" ref="BR79" si="95">IF(BR$110=0,"",REPT("█",BR98/BR$110*10))</f>
        <v/>
      </c>
      <c r="BS79" s="36">
        <f t="shared" ref="BS79" si="96">BS$80-(BS$80-BS$88)/8*$A98</f>
        <v>5.125</v>
      </c>
      <c r="BT79" s="35" t="str">
        <f t="shared" ref="BT79" si="97">IF(BT$110=0,"",REPT("█",BT98/BT$110*10))</f>
        <v/>
      </c>
      <c r="BU79" s="36">
        <f t="shared" ref="BU79" si="98">BU$80-(BU$80-BU$88)/8*$A98</f>
        <v>5.375</v>
      </c>
      <c r="BV79" s="35" t="str">
        <f t="shared" ref="BV79" si="99">IF(BV$110=0,"",REPT("█",BV98/BV$110*10))</f>
        <v/>
      </c>
      <c r="BW79" s="36">
        <f t="shared" ref="BW79" si="100">BW$80-(BW$80-BW$88)/8*$A98</f>
        <v>5.4375</v>
      </c>
      <c r="BX79" s="35" t="str">
        <f t="shared" ref="BX79" si="101">IF(BX$110=0,"",REPT("█",BX98/BX$110*10))</f>
        <v/>
      </c>
      <c r="BY79" s="36">
        <f t="shared" ref="BY79" si="102">BY$80-(BY$80-BY$88)/8*$A98</f>
        <v>15.6875</v>
      </c>
      <c r="BZ79" s="35" t="str">
        <f t="shared" ref="BZ79" si="103">IF(BZ$110=0,"",REPT("█",BZ98/BZ$110*10))</f>
        <v/>
      </c>
      <c r="CA79" s="36">
        <f t="shared" ref="CA79" si="104">CA$80-(CA$80-CA$88)/8*$A98</f>
        <v>9.25</v>
      </c>
      <c r="CB79" s="35" t="str">
        <f t="shared" ref="CB79" si="105">IF(CB$110=0,"",REPT("█",CB98/CB$110*10))</f>
        <v/>
      </c>
      <c r="CC79" s="36">
        <f t="shared" ref="CC79" si="106">CC$80-(CC$80-CC$88)/8*$A98</f>
        <v>1.0625</v>
      </c>
      <c r="CD79" s="35" t="str">
        <f t="shared" ref="CD79:CF79" si="107">IF(CD$110=0,"",REPT("█",CD98/CD$110*10))</f>
        <v/>
      </c>
      <c r="CF79" s="35" t="str">
        <f t="shared" si="107"/>
        <v/>
      </c>
      <c r="CH79" s="35" t="str">
        <f t="shared" ref="CH79" si="108">IF(CH$110=0,"",REPT("█",CH98/CH$110*10))</f>
        <v/>
      </c>
    </row>
    <row r="80" spans="1:86" ht="18.75" customHeight="1" x14ac:dyDescent="0.2">
      <c r="A80" s="66" t="s">
        <v>138</v>
      </c>
      <c r="B80" s="54"/>
      <c r="C80" s="54"/>
      <c r="D80" s="54"/>
      <c r="E80" s="64">
        <f>F11</f>
        <v>30</v>
      </c>
      <c r="F80" s="67" t="str">
        <f t="shared" si="39"/>
        <v>██</v>
      </c>
      <c r="G80" s="36">
        <f>H11</f>
        <v>0</v>
      </c>
      <c r="H80" s="67" t="str">
        <f t="shared" si="40"/>
        <v/>
      </c>
      <c r="I80" s="36">
        <f>J11</f>
        <v>265</v>
      </c>
      <c r="J80" s="67" t="str">
        <f t="shared" si="41"/>
        <v/>
      </c>
      <c r="K80" s="36">
        <f>L11</f>
        <v>265</v>
      </c>
      <c r="L80" s="67" t="str">
        <f t="shared" si="42"/>
        <v/>
      </c>
      <c r="M80" s="36">
        <f>N11</f>
        <v>262</v>
      </c>
      <c r="N80" s="67" t="str">
        <f t="shared" si="43"/>
        <v/>
      </c>
      <c r="O80" s="36">
        <f>P11</f>
        <v>262</v>
      </c>
      <c r="P80" s="67" t="str">
        <f t="shared" si="44"/>
        <v/>
      </c>
      <c r="Q80" s="36">
        <f>R11</f>
        <v>262</v>
      </c>
      <c r="R80" s="67" t="str">
        <f t="shared" si="45"/>
        <v/>
      </c>
      <c r="S80" s="36">
        <f>T11</f>
        <v>275</v>
      </c>
      <c r="T80" s="67" t="str">
        <f t="shared" si="46"/>
        <v/>
      </c>
      <c r="U80" s="36">
        <f>V11</f>
        <v>275</v>
      </c>
      <c r="V80" s="67" t="str">
        <f t="shared" si="47"/>
        <v/>
      </c>
      <c r="W80" s="36">
        <f t="shared" ref="W80" si="109">X11</f>
        <v>0</v>
      </c>
      <c r="X80" s="67" t="str">
        <f t="shared" ref="X80" si="110">IF(X$110=0,"",REPT("█",X99/X$110*10))</f>
        <v/>
      </c>
      <c r="Y80" s="36">
        <f t="shared" ref="Y80" si="111">Z11</f>
        <v>0</v>
      </c>
      <c r="Z80" s="67" t="str">
        <f t="shared" ref="Z80" si="112">IF(Z$110=0,"",REPT("█",Z99/Z$110*10))</f>
        <v/>
      </c>
      <c r="AA80" s="36">
        <f t="shared" ref="AA80" si="113">AB11</f>
        <v>260</v>
      </c>
      <c r="AB80" s="67" t="str">
        <f t="shared" ref="AB80" si="114">IF(AB$110=0,"",REPT("█",AB99/AB$110*10))</f>
        <v/>
      </c>
      <c r="AC80" s="36">
        <f t="shared" ref="AC80" si="115">AD11</f>
        <v>270</v>
      </c>
      <c r="AD80" s="67" t="str">
        <f t="shared" ref="AD80" si="116">IF(AD$110=0,"",REPT("█",AD99/AD$110*10))</f>
        <v/>
      </c>
      <c r="AE80" s="36">
        <f t="shared" ref="AE80" si="117">AF11</f>
        <v>270</v>
      </c>
      <c r="AF80" s="67" t="str">
        <f t="shared" ref="AF80" si="118">IF(AF$110=0,"",REPT("█",AF99/AF$110*10))</f>
        <v>██</v>
      </c>
      <c r="AG80" s="36">
        <f t="shared" ref="AG80" si="119">AH11</f>
        <v>265</v>
      </c>
      <c r="AH80" s="67" t="str">
        <f t="shared" ref="AH80" si="120">IF(AH$110=0,"",REPT("█",AH99/AH$110*10))</f>
        <v/>
      </c>
      <c r="AI80" s="36">
        <f t="shared" ref="AI80" si="121">AJ11</f>
        <v>280</v>
      </c>
      <c r="AJ80" s="67" t="str">
        <f t="shared" ref="AJ80" si="122">IF(AJ$110=0,"",REPT("█",AJ99/AJ$110*10))</f>
        <v>██████████</v>
      </c>
      <c r="AK80" s="36">
        <f t="shared" ref="AK80" si="123">AL11</f>
        <v>280</v>
      </c>
      <c r="AL80" s="67" t="str">
        <f t="shared" ref="AL80" si="124">IF(AL$110=0,"",REPT("█",AL99/AL$110*10))</f>
        <v>██████████</v>
      </c>
      <c r="AM80" s="36">
        <f t="shared" ref="AM80" si="125">AN11</f>
        <v>280</v>
      </c>
      <c r="AN80" s="67" t="str">
        <f t="shared" ref="AN80" si="126">IF(AN$110=0,"",REPT("█",AN99/AN$110*10))</f>
        <v>██████████</v>
      </c>
      <c r="AO80" s="36">
        <f t="shared" ref="AO80" si="127">AP11</f>
        <v>0</v>
      </c>
      <c r="AP80" s="67" t="str">
        <f t="shared" ref="AP80" si="128">IF(AP$110=0,"",REPT("█",AP99/AP$110*10))</f>
        <v/>
      </c>
      <c r="AQ80" s="36">
        <f t="shared" ref="AQ80" si="129">AR11</f>
        <v>295</v>
      </c>
      <c r="AR80" s="67" t="str">
        <f t="shared" ref="AR80" si="130">IF(AR$110=0,"",REPT("█",AR99/AR$110*10))</f>
        <v/>
      </c>
      <c r="AS80" s="36">
        <f t="shared" ref="AS80" si="131">AT11</f>
        <v>310</v>
      </c>
      <c r="AT80" s="67" t="str">
        <f t="shared" ref="AT80" si="132">IF(AT$110=0,"",REPT("█",AT99/AT$110*10))</f>
        <v>███</v>
      </c>
      <c r="AU80" s="36">
        <f t="shared" ref="AU80" si="133">AV11</f>
        <v>320</v>
      </c>
      <c r="AV80" s="67" t="str">
        <f t="shared" ref="AV80" si="134">IF(AV$110=0,"",REPT("█",AV99/AV$110*10))</f>
        <v/>
      </c>
      <c r="AW80" s="36">
        <f t="shared" ref="AW80" si="135">AX11</f>
        <v>415</v>
      </c>
      <c r="AX80" s="67" t="str">
        <f t="shared" ref="AX80" si="136">IF(AX$110=0,"",REPT("█",AX99/AX$110*10))</f>
        <v/>
      </c>
      <c r="AY80" s="36">
        <f t="shared" ref="AY80" si="137">AZ11</f>
        <v>20</v>
      </c>
      <c r="AZ80" s="67" t="str">
        <f t="shared" ref="AZ80" si="138">IF(AZ$110=0,"",REPT("█",AZ99/AZ$110*10))</f>
        <v/>
      </c>
      <c r="BA80" s="36">
        <f t="shared" ref="BA80" si="139">BB11</f>
        <v>85</v>
      </c>
      <c r="BB80" s="67" t="str">
        <f t="shared" ref="BB80" si="140">IF(BB$110=0,"",REPT("█",BB99/BB$110*10))</f>
        <v>██████████</v>
      </c>
      <c r="BC80" s="36">
        <f t="shared" ref="BC80" si="141">BD11</f>
        <v>36</v>
      </c>
      <c r="BD80" s="67" t="str">
        <f t="shared" ref="BD80" si="142">IF(BD$110=0,"",REPT("█",BD99/BD$110*10))</f>
        <v/>
      </c>
      <c r="BE80" s="36">
        <f t="shared" ref="BE80" si="143">BF11</f>
        <v>0.9</v>
      </c>
      <c r="BF80" s="67" t="str">
        <f t="shared" ref="BF80" si="144">IF(BF$110=0,"",REPT("█",BF99/BF$110*10))</f>
        <v>██████████</v>
      </c>
      <c r="BG80" s="36">
        <f t="shared" ref="BG80" si="145">BH11</f>
        <v>75</v>
      </c>
      <c r="BH80" s="67" t="str">
        <f t="shared" ref="BH80" si="146">IF(BH$110=0,"",REPT("█",BH99/BH$110*10))</f>
        <v/>
      </c>
      <c r="BI80" s="36">
        <f t="shared" ref="BI80" si="147">BJ11</f>
        <v>15</v>
      </c>
      <c r="BJ80" s="67" t="str">
        <f t="shared" ref="BJ80" si="148">IF(BJ$110=0,"",REPT("█",BJ99/BJ$110*10))</f>
        <v/>
      </c>
      <c r="BK80" s="36">
        <f t="shared" ref="BK80" si="149">BL11</f>
        <v>30</v>
      </c>
      <c r="BL80" s="67" t="str">
        <f t="shared" ref="BL80" si="150">IF(BL$110=0,"",REPT("█",BL99/BL$110*10))</f>
        <v>█</v>
      </c>
      <c r="BM80" s="36">
        <f t="shared" ref="BM80" si="151">BN11</f>
        <v>2</v>
      </c>
      <c r="BN80" s="67" t="str">
        <f t="shared" ref="BN80" si="152">IF(BN$110=0,"",REPT("█",BN99/BN$110*10))</f>
        <v>████████</v>
      </c>
      <c r="BO80" s="36">
        <f t="shared" ref="BO80" si="153">BP11</f>
        <v>1</v>
      </c>
      <c r="BP80" s="67" t="str">
        <f t="shared" ref="BP80" si="154">IF(BP$110=0,"",REPT("█",BP99/BP$110*10))</f>
        <v/>
      </c>
      <c r="BQ80" s="36">
        <f t="shared" ref="BQ80" si="155">BR11</f>
        <v>5</v>
      </c>
      <c r="BR80" s="67" t="str">
        <f t="shared" ref="BR80" si="156">IF(BR$110=0,"",REPT("█",BR99/BR$110*10))</f>
        <v>██████████</v>
      </c>
      <c r="BS80" s="36">
        <f t="shared" ref="BS80" si="157">BT11</f>
        <v>5</v>
      </c>
      <c r="BT80" s="67" t="str">
        <f t="shared" ref="BT80" si="158">IF(BT$110=0,"",REPT("█",BT99/BT$110*10))</f>
        <v/>
      </c>
      <c r="BU80" s="36">
        <f t="shared" ref="BU80" si="159">BV11</f>
        <v>5</v>
      </c>
      <c r="BV80" s="67" t="str">
        <f t="shared" ref="BV80" si="160">IF(BV$110=0,"",REPT("█",BV99/BV$110*10))</f>
        <v/>
      </c>
      <c r="BW80" s="36">
        <f t="shared" ref="BW80" si="161">BX11</f>
        <v>5</v>
      </c>
      <c r="BX80" s="67" t="str">
        <f t="shared" ref="BX80" si="162">IF(BX$110=0,"",REPT("█",BX99/BX$110*10))</f>
        <v/>
      </c>
      <c r="BY80" s="36">
        <f t="shared" ref="BY80" si="163">BZ11</f>
        <v>15</v>
      </c>
      <c r="BZ80" s="67" t="str">
        <f t="shared" ref="BZ80" si="164">IF(BZ$110=0,"",REPT("█",BZ99/BZ$110*10))</f>
        <v/>
      </c>
      <c r="CA80" s="36">
        <f t="shared" ref="CA80" si="165">CB11</f>
        <v>9</v>
      </c>
      <c r="CB80" s="67" t="str">
        <f t="shared" ref="CB80" si="166">IF(CB$110=0,"",REPT("█",CB99/CB$110*10))</f>
        <v/>
      </c>
      <c r="CC80" s="36">
        <f t="shared" ref="CC80" si="167">CD11</f>
        <v>1</v>
      </c>
      <c r="CD80" s="67" t="str">
        <f t="shared" ref="CD80:CF80" si="168">IF(CD$110=0,"",REPT("█",CD99/CD$110*10))</f>
        <v/>
      </c>
      <c r="CF80" s="67" t="str">
        <f t="shared" si="168"/>
        <v/>
      </c>
      <c r="CH80" s="67" t="str">
        <f t="shared" ref="CH80" si="169">IF(CH$110=0,"",REPT("█",CH99/CH$110*10))</f>
        <v/>
      </c>
    </row>
    <row r="81" spans="1:86" ht="18.75" customHeight="1" x14ac:dyDescent="0.2">
      <c r="A81" s="68"/>
      <c r="B81" s="54"/>
      <c r="C81" s="54"/>
      <c r="D81" s="54"/>
      <c r="E81" s="64">
        <f t="shared" ref="E81:E87" si="170">E$80-(E$80-E$88)/8*$A100</f>
        <v>27.875</v>
      </c>
      <c r="F81" s="37" t="str">
        <f t="shared" si="39"/>
        <v>██</v>
      </c>
      <c r="G81" s="36">
        <f t="shared" ref="G81:G87" si="171">G$80-(G$80-G$88)/8*$A100</f>
        <v>0</v>
      </c>
      <c r="H81" s="37" t="str">
        <f t="shared" si="40"/>
        <v/>
      </c>
      <c r="I81" s="36">
        <f t="shared" ref="I81:I87" si="172">I$80-(I$80-I$88)/8*$A100</f>
        <v>263.75</v>
      </c>
      <c r="J81" s="37" t="str">
        <f t="shared" si="41"/>
        <v/>
      </c>
      <c r="K81" s="36">
        <f t="shared" ref="K81:K87" si="173">K$80-(K$80-K$88)/8*$A100</f>
        <v>263.75</v>
      </c>
      <c r="L81" s="37" t="str">
        <f t="shared" si="42"/>
        <v/>
      </c>
      <c r="M81" s="36">
        <f t="shared" ref="M81:M87" si="174">M$80-(M$80-M$88)/8*$A100</f>
        <v>260.75</v>
      </c>
      <c r="N81" s="37" t="str">
        <f t="shared" si="43"/>
        <v/>
      </c>
      <c r="O81" s="36">
        <f t="shared" ref="O81:O87" si="175">O$80-(O$80-O$88)/8*$A100</f>
        <v>260.75</v>
      </c>
      <c r="P81" s="37" t="str">
        <f t="shared" si="44"/>
        <v/>
      </c>
      <c r="Q81" s="36">
        <f t="shared" ref="Q81:Q87" si="176">Q$80-(Q$80-Q$88)/8*$A100</f>
        <v>260.75</v>
      </c>
      <c r="R81" s="37" t="str">
        <f t="shared" si="45"/>
        <v/>
      </c>
      <c r="S81" s="36">
        <f t="shared" ref="S81:S87" si="177">S$80-(S$80-S$88)/8*$A100</f>
        <v>273.75</v>
      </c>
      <c r="T81" s="37" t="str">
        <f t="shared" si="46"/>
        <v/>
      </c>
      <c r="U81" s="36">
        <f t="shared" ref="U81:U87" si="178">U$80-(U$80-U$88)/8*$A100</f>
        <v>273.75</v>
      </c>
      <c r="V81" s="37" t="str">
        <f t="shared" si="47"/>
        <v/>
      </c>
      <c r="W81" s="36">
        <f t="shared" ref="W81" si="179">W$80-(W$80-W$88)/8*$A100</f>
        <v>0</v>
      </c>
      <c r="X81" s="37" t="str">
        <f t="shared" ref="X81" si="180">IF(X$110=0,"",REPT("█",X100/X$110*10))</f>
        <v/>
      </c>
      <c r="Y81" s="36">
        <f t="shared" ref="Y81" si="181">Y$80-(Y$80-Y$88)/8*$A100</f>
        <v>0</v>
      </c>
      <c r="Z81" s="37" t="str">
        <f t="shared" ref="Z81" si="182">IF(Z$110=0,"",REPT("█",Z100/Z$110*10))</f>
        <v/>
      </c>
      <c r="AA81" s="36">
        <f t="shared" ref="AA81" si="183">AA$80-(AA$80-AA$88)/8*$A100</f>
        <v>258.75</v>
      </c>
      <c r="AB81" s="37" t="str">
        <f t="shared" ref="AB81" si="184">IF(AB$110=0,"",REPT("█",AB100/AB$110*10))</f>
        <v/>
      </c>
      <c r="AC81" s="36">
        <f t="shared" ref="AC81" si="185">AC$80-(AC$80-AC$88)/8*$A100</f>
        <v>268.75</v>
      </c>
      <c r="AD81" s="37" t="str">
        <f t="shared" ref="AD81" si="186">IF(AD$110=0,"",REPT("█",AD100/AD$110*10))</f>
        <v/>
      </c>
      <c r="AE81" s="36">
        <f t="shared" ref="AE81" si="187">AE$80-(AE$80-AE$88)/8*$A100</f>
        <v>268.75</v>
      </c>
      <c r="AF81" s="37" t="str">
        <f t="shared" ref="AF81" si="188">IF(AF$110=0,"",REPT("█",AF100/AF$110*10))</f>
        <v/>
      </c>
      <c r="AG81" s="36">
        <f t="shared" ref="AG81" si="189">AG$80-(AG$80-AG$88)/8*$A100</f>
        <v>263.75</v>
      </c>
      <c r="AH81" s="37" t="str">
        <f t="shared" ref="AH81" si="190">IF(AH$110=0,"",REPT("█",AH100/AH$110*10))</f>
        <v/>
      </c>
      <c r="AI81" s="36">
        <f t="shared" ref="AI81" si="191">AI$80-(AI$80-AI$88)/8*$A100</f>
        <v>278.75</v>
      </c>
      <c r="AJ81" s="37" t="str">
        <f t="shared" ref="AJ81" si="192">IF(AJ$110=0,"",REPT("█",AJ100/AJ$110*10))</f>
        <v/>
      </c>
      <c r="AK81" s="36">
        <f t="shared" ref="AK81" si="193">AK$80-(AK$80-AK$88)/8*$A100</f>
        <v>278.75</v>
      </c>
      <c r="AL81" s="37" t="str">
        <f t="shared" ref="AL81" si="194">IF(AL$110=0,"",REPT("█",AL100/AL$110*10))</f>
        <v/>
      </c>
      <c r="AM81" s="36">
        <f t="shared" ref="AM81" si="195">AM$80-(AM$80-AM$88)/8*$A100</f>
        <v>278.75</v>
      </c>
      <c r="AN81" s="37" t="str">
        <f t="shared" ref="AN81" si="196">IF(AN$110=0,"",REPT("█",AN100/AN$110*10))</f>
        <v/>
      </c>
      <c r="AO81" s="36">
        <f t="shared" ref="AO81" si="197">AO$80-(AO$80-AO$88)/8*$A100</f>
        <v>0</v>
      </c>
      <c r="AP81" s="37" t="str">
        <f t="shared" ref="AP81" si="198">IF(AP$110=0,"",REPT("█",AP100/AP$110*10))</f>
        <v/>
      </c>
      <c r="AQ81" s="36">
        <f t="shared" ref="AQ81" si="199">AQ$80-(AQ$80-AQ$88)/8*$A100</f>
        <v>293.75</v>
      </c>
      <c r="AR81" s="37" t="str">
        <f t="shared" ref="AR81" si="200">IF(AR$110=0,"",REPT("█",AR100/AR$110*10))</f>
        <v/>
      </c>
      <c r="AS81" s="36">
        <f t="shared" ref="AS81" si="201">AS$80-(AS$80-AS$88)/8*$A100</f>
        <v>308.75</v>
      </c>
      <c r="AT81" s="37" t="str">
        <f t="shared" ref="AT81" si="202">IF(AT$110=0,"",REPT("█",AT100/AT$110*10))</f>
        <v>███</v>
      </c>
      <c r="AU81" s="36">
        <f t="shared" ref="AU81" si="203">AU$80-(AU$80-AU$88)/8*$A100</f>
        <v>318.75</v>
      </c>
      <c r="AV81" s="37" t="str">
        <f t="shared" ref="AV81" si="204">IF(AV$110=0,"",REPT("█",AV100/AV$110*10))</f>
        <v/>
      </c>
      <c r="AW81" s="36">
        <f t="shared" ref="AW81" si="205">AW$80-(AW$80-AW$88)/8*$A100</f>
        <v>414.625</v>
      </c>
      <c r="AX81" s="37" t="str">
        <f t="shared" ref="AX81" si="206">IF(AX$110=0,"",REPT("█",AX100/AX$110*10))</f>
        <v/>
      </c>
      <c r="AY81" s="36">
        <f t="shared" ref="AY81" si="207">AY$80-(AY$80-AY$88)/8*$A100</f>
        <v>19.875</v>
      </c>
      <c r="AZ81" s="37" t="str">
        <f t="shared" ref="AZ81" si="208">IF(AZ$110=0,"",REPT("█",AZ100/AZ$110*10))</f>
        <v/>
      </c>
      <c r="BA81" s="36">
        <f t="shared" ref="BA81" si="209">BA$80-(BA$80-BA$88)/8*$A100</f>
        <v>83.75</v>
      </c>
      <c r="BB81" s="37" t="str">
        <f t="shared" ref="BB81" si="210">IF(BB$110=0,"",REPT("█",BB100/BB$110*10))</f>
        <v/>
      </c>
      <c r="BC81" s="36">
        <f t="shared" ref="BC81" si="211">BC$80-(BC$80-BC$88)/8*$A100</f>
        <v>35.875</v>
      </c>
      <c r="BD81" s="37" t="str">
        <f t="shared" ref="BD81" si="212">IF(BD$110=0,"",REPT("█",BD100/BD$110*10))</f>
        <v/>
      </c>
      <c r="BE81" s="36">
        <f t="shared" ref="BE81" si="213">BE$80-(BE$80-BE$88)/8*$A100</f>
        <v>0.88750000000000007</v>
      </c>
      <c r="BF81" s="37" t="str">
        <f t="shared" ref="BF81" si="214">IF(BF$110=0,"",REPT("█",BF100/BF$110*10))</f>
        <v/>
      </c>
      <c r="BG81" s="36">
        <f t="shared" ref="BG81" si="215">BG$80-(BG$80-BG$88)/8*$A100</f>
        <v>75.625</v>
      </c>
      <c r="BH81" s="37" t="str">
        <f t="shared" ref="BH81" si="216">IF(BH$110=0,"",REPT("█",BH100/BH$110*10))</f>
        <v/>
      </c>
      <c r="BI81" s="36">
        <f t="shared" ref="BI81" si="217">BI$80-(BI$80-BI$88)/8*$A100</f>
        <v>14.375</v>
      </c>
      <c r="BJ81" s="37" t="str">
        <f t="shared" ref="BJ81" si="218">IF(BJ$110=0,"",REPT("█",BJ100/BJ$110*10))</f>
        <v/>
      </c>
      <c r="BK81" s="36">
        <f t="shared" ref="BK81" si="219">BK$80-(BK$80-BK$88)/8*$A100</f>
        <v>29.75</v>
      </c>
      <c r="BL81" s="37" t="str">
        <f t="shared" ref="BL81" si="220">IF(BL$110=0,"",REPT("█",BL100/BL$110*10))</f>
        <v/>
      </c>
      <c r="BM81" s="36">
        <f t="shared" ref="BM81" si="221">BM$80-(BM$80-BM$88)/8*$A100</f>
        <v>1.875</v>
      </c>
      <c r="BN81" s="37" t="str">
        <f t="shared" ref="BN81" si="222">IF(BN$110=0,"",REPT("█",BN100/BN$110*10))</f>
        <v/>
      </c>
      <c r="BO81" s="36">
        <f t="shared" ref="BO81" si="223">BO$80-(BO$80-BO$88)/8*$A100</f>
        <v>0.88749999999999996</v>
      </c>
      <c r="BP81" s="37" t="str">
        <f t="shared" ref="BP81" si="224">IF(BP$110=0,"",REPT("█",BP100/BP$110*10))</f>
        <v/>
      </c>
      <c r="BQ81" s="36">
        <f t="shared" ref="BQ81" si="225">BQ$80-(BQ$80-BQ$88)/8*$A100</f>
        <v>4.875</v>
      </c>
      <c r="BR81" s="37" t="str">
        <f t="shared" ref="BR81" si="226">IF(BR$110=0,"",REPT("█",BR100/BR$110*10))</f>
        <v/>
      </c>
      <c r="BS81" s="36">
        <f t="shared" ref="BS81" si="227">BS$80-(BS$80-BS$88)/8*$A100</f>
        <v>4.875</v>
      </c>
      <c r="BT81" s="37" t="str">
        <f t="shared" ref="BT81" si="228">IF(BT$110=0,"",REPT("█",BT100/BT$110*10))</f>
        <v/>
      </c>
      <c r="BU81" s="36">
        <f t="shared" ref="BU81" si="229">BU$80-(BU$80-BU$88)/8*$A100</f>
        <v>4.625</v>
      </c>
      <c r="BV81" s="37" t="str">
        <f t="shared" ref="BV81" si="230">IF(BV$110=0,"",REPT("█",BV100/BV$110*10))</f>
        <v/>
      </c>
      <c r="BW81" s="36">
        <f t="shared" ref="BW81" si="231">BW$80-(BW$80-BW$88)/8*$A100</f>
        <v>4.5625</v>
      </c>
      <c r="BX81" s="37" t="str">
        <f t="shared" ref="BX81" si="232">IF(BX$110=0,"",REPT("█",BX100/BX$110*10))</f>
        <v/>
      </c>
      <c r="BY81" s="36">
        <f t="shared" ref="BY81" si="233">BY$80-(BY$80-BY$88)/8*$A100</f>
        <v>14.3125</v>
      </c>
      <c r="BZ81" s="37" t="str">
        <f t="shared" ref="BZ81" si="234">IF(BZ$110=0,"",REPT("█",BZ100/BZ$110*10))</f>
        <v/>
      </c>
      <c r="CA81" s="36">
        <f t="shared" ref="CA81" si="235">CA$80-(CA$80-CA$88)/8*$A100</f>
        <v>8.75</v>
      </c>
      <c r="CB81" s="37" t="str">
        <f t="shared" ref="CB81" si="236">IF(CB$110=0,"",REPT("█",CB100/CB$110*10))</f>
        <v/>
      </c>
      <c r="CC81" s="36">
        <f t="shared" ref="CC81" si="237">CC$80-(CC$80-CC$88)/8*$A100</f>
        <v>0.9375</v>
      </c>
      <c r="CD81" s="37" t="str">
        <f t="shared" ref="CD81:CF81" si="238">IF(CD$110=0,"",REPT("█",CD100/CD$110*10))</f>
        <v/>
      </c>
      <c r="CF81" s="37" t="str">
        <f t="shared" si="238"/>
        <v/>
      </c>
      <c r="CH81" s="37" t="str">
        <f t="shared" ref="CH81" si="239">IF(CH$110=0,"",REPT("█",CH100/CH$110*10))</f>
        <v/>
      </c>
    </row>
    <row r="82" spans="1:86" ht="18.75" customHeight="1" x14ac:dyDescent="0.2">
      <c r="A82" s="38"/>
      <c r="B82" s="54"/>
      <c r="C82" s="54"/>
      <c r="D82" s="54"/>
      <c r="E82" s="64">
        <f t="shared" si="170"/>
        <v>25.75</v>
      </c>
      <c r="F82" s="69" t="str">
        <f t="shared" si="39"/>
        <v/>
      </c>
      <c r="G82" s="36">
        <f t="shared" si="171"/>
        <v>0</v>
      </c>
      <c r="H82" s="69" t="str">
        <f t="shared" si="40"/>
        <v/>
      </c>
      <c r="I82" s="36">
        <f t="shared" si="172"/>
        <v>262.5</v>
      </c>
      <c r="J82" s="69" t="str">
        <f t="shared" si="41"/>
        <v/>
      </c>
      <c r="K82" s="36">
        <f t="shared" si="173"/>
        <v>262.5</v>
      </c>
      <c r="L82" s="69" t="str">
        <f t="shared" si="42"/>
        <v/>
      </c>
      <c r="M82" s="36">
        <f t="shared" si="174"/>
        <v>259.5</v>
      </c>
      <c r="N82" s="69" t="str">
        <f t="shared" si="43"/>
        <v/>
      </c>
      <c r="O82" s="36">
        <f t="shared" si="175"/>
        <v>259.5</v>
      </c>
      <c r="P82" s="69" t="str">
        <f t="shared" si="44"/>
        <v/>
      </c>
      <c r="Q82" s="36">
        <f t="shared" si="176"/>
        <v>259.5</v>
      </c>
      <c r="R82" s="69" t="str">
        <f t="shared" si="45"/>
        <v/>
      </c>
      <c r="S82" s="36">
        <f t="shared" si="177"/>
        <v>272.5</v>
      </c>
      <c r="T82" s="69" t="str">
        <f t="shared" si="46"/>
        <v/>
      </c>
      <c r="U82" s="36">
        <f t="shared" si="178"/>
        <v>272.5</v>
      </c>
      <c r="V82" s="69" t="str">
        <f t="shared" si="47"/>
        <v/>
      </c>
      <c r="W82" s="36">
        <f t="shared" ref="W82" si="240">W$80-(W$80-W$88)/8*$A101</f>
        <v>0</v>
      </c>
      <c r="X82" s="69" t="str">
        <f t="shared" ref="X82" si="241">IF(X$110=0,"",REPT("█",X101/X$110*10))</f>
        <v/>
      </c>
      <c r="Y82" s="36">
        <f t="shared" ref="Y82" si="242">Y$80-(Y$80-Y$88)/8*$A101</f>
        <v>0</v>
      </c>
      <c r="Z82" s="69" t="str">
        <f t="shared" ref="Z82" si="243">IF(Z$110=0,"",REPT("█",Z101/Z$110*10))</f>
        <v/>
      </c>
      <c r="AA82" s="36">
        <f t="shared" ref="AA82" si="244">AA$80-(AA$80-AA$88)/8*$A101</f>
        <v>257.5</v>
      </c>
      <c r="AB82" s="69" t="str">
        <f t="shared" ref="AB82" si="245">IF(AB$110=0,"",REPT("█",AB101/AB$110*10))</f>
        <v/>
      </c>
      <c r="AC82" s="36">
        <f t="shared" ref="AC82" si="246">AC$80-(AC$80-AC$88)/8*$A101</f>
        <v>267.5</v>
      </c>
      <c r="AD82" s="69" t="str">
        <f t="shared" ref="AD82" si="247">IF(AD$110=0,"",REPT("█",AD101/AD$110*10))</f>
        <v/>
      </c>
      <c r="AE82" s="36">
        <f t="shared" ref="AE82" si="248">AE$80-(AE$80-AE$88)/8*$A101</f>
        <v>267.5</v>
      </c>
      <c r="AF82" s="69" t="str">
        <f t="shared" ref="AF82" si="249">IF(AF$110=0,"",REPT("█",AF101/AF$110*10))</f>
        <v/>
      </c>
      <c r="AG82" s="36">
        <f t="shared" ref="AG82" si="250">AG$80-(AG$80-AG$88)/8*$A101</f>
        <v>262.5</v>
      </c>
      <c r="AH82" s="69" t="str">
        <f t="shared" ref="AH82" si="251">IF(AH$110=0,"",REPT("█",AH101/AH$110*10))</f>
        <v>██████████</v>
      </c>
      <c r="AI82" s="36">
        <f t="shared" ref="AI82" si="252">AI$80-(AI$80-AI$88)/8*$A101</f>
        <v>277.5</v>
      </c>
      <c r="AJ82" s="69" t="str">
        <f t="shared" ref="AJ82" si="253">IF(AJ$110=0,"",REPT("█",AJ101/AJ$110*10))</f>
        <v/>
      </c>
      <c r="AK82" s="36">
        <f t="shared" ref="AK82" si="254">AK$80-(AK$80-AK$88)/8*$A101</f>
        <v>277.5</v>
      </c>
      <c r="AL82" s="69" t="str">
        <f t="shared" ref="AL82" si="255">IF(AL$110=0,"",REPT("█",AL101/AL$110*10))</f>
        <v/>
      </c>
      <c r="AM82" s="36">
        <f t="shared" ref="AM82" si="256">AM$80-(AM$80-AM$88)/8*$A101</f>
        <v>277.5</v>
      </c>
      <c r="AN82" s="69" t="str">
        <f t="shared" ref="AN82" si="257">IF(AN$110=0,"",REPT("█",AN101/AN$110*10))</f>
        <v/>
      </c>
      <c r="AO82" s="36">
        <f t="shared" ref="AO82" si="258">AO$80-(AO$80-AO$88)/8*$A101</f>
        <v>0</v>
      </c>
      <c r="AP82" s="69" t="str">
        <f t="shared" ref="AP82" si="259">IF(AP$110=0,"",REPT("█",AP101/AP$110*10))</f>
        <v/>
      </c>
      <c r="AQ82" s="36">
        <f t="shared" ref="AQ82" si="260">AQ$80-(AQ$80-AQ$88)/8*$A101</f>
        <v>292.5</v>
      </c>
      <c r="AR82" s="69" t="str">
        <f t="shared" ref="AR82" si="261">IF(AR$110=0,"",REPT("█",AR101/AR$110*10))</f>
        <v/>
      </c>
      <c r="AS82" s="36">
        <f t="shared" ref="AS82" si="262">AS$80-(AS$80-AS$88)/8*$A101</f>
        <v>307.5</v>
      </c>
      <c r="AT82" s="69" t="str">
        <f t="shared" ref="AT82" si="263">IF(AT$110=0,"",REPT("█",AT101/AT$110*10))</f>
        <v>██████</v>
      </c>
      <c r="AU82" s="36">
        <f t="shared" ref="AU82" si="264">AU$80-(AU$80-AU$88)/8*$A101</f>
        <v>317.5</v>
      </c>
      <c r="AV82" s="69" t="str">
        <f t="shared" ref="AV82" si="265">IF(AV$110=0,"",REPT("█",AV101/AV$110*10))</f>
        <v/>
      </c>
      <c r="AW82" s="36">
        <f t="shared" ref="AW82" si="266">AW$80-(AW$80-AW$88)/8*$A101</f>
        <v>414.25</v>
      </c>
      <c r="AX82" s="69" t="str">
        <f t="shared" ref="AX82" si="267">IF(AX$110=0,"",REPT("█",AX101/AX$110*10))</f>
        <v/>
      </c>
      <c r="AY82" s="36">
        <f t="shared" ref="AY82" si="268">AY$80-(AY$80-AY$88)/8*$A101</f>
        <v>19.75</v>
      </c>
      <c r="AZ82" s="69" t="str">
        <f t="shared" ref="AZ82" si="269">IF(AZ$110=0,"",REPT("█",AZ101/AZ$110*10))</f>
        <v/>
      </c>
      <c r="BA82" s="36">
        <f t="shared" ref="BA82" si="270">BA$80-(BA$80-BA$88)/8*$A101</f>
        <v>82.5</v>
      </c>
      <c r="BB82" s="69" t="str">
        <f t="shared" ref="BB82" si="271">IF(BB$110=0,"",REPT("█",BB101/BB$110*10))</f>
        <v/>
      </c>
      <c r="BC82" s="36">
        <f t="shared" ref="BC82" si="272">BC$80-(BC$80-BC$88)/8*$A101</f>
        <v>35.75</v>
      </c>
      <c r="BD82" s="69" t="str">
        <f t="shared" ref="BD82" si="273">IF(BD$110=0,"",REPT("█",BD101/BD$110*10))</f>
        <v/>
      </c>
      <c r="BE82" s="36">
        <f t="shared" ref="BE82" si="274">BE$80-(BE$80-BE$88)/8*$A101</f>
        <v>0.875</v>
      </c>
      <c r="BF82" s="69" t="str">
        <f t="shared" ref="BF82" si="275">IF(BF$110=0,"",REPT("█",BF101/BF$110*10))</f>
        <v/>
      </c>
      <c r="BG82" s="36">
        <f t="shared" ref="BG82" si="276">BG$80-(BG$80-BG$88)/8*$A101</f>
        <v>76.25</v>
      </c>
      <c r="BH82" s="69" t="str">
        <f t="shared" ref="BH82" si="277">IF(BH$110=0,"",REPT("█",BH101/BH$110*10))</f>
        <v/>
      </c>
      <c r="BI82" s="36">
        <f t="shared" ref="BI82" si="278">BI$80-(BI$80-BI$88)/8*$A101</f>
        <v>13.75</v>
      </c>
      <c r="BJ82" s="69" t="str">
        <f t="shared" ref="BJ82" si="279">IF(BJ$110=0,"",REPT("█",BJ101/BJ$110*10))</f>
        <v/>
      </c>
      <c r="BK82" s="36">
        <f t="shared" ref="BK82" si="280">BK$80-(BK$80-BK$88)/8*$A101</f>
        <v>29.5</v>
      </c>
      <c r="BL82" s="69" t="str">
        <f t="shared" ref="BL82" si="281">IF(BL$110=0,"",REPT("█",BL101/BL$110*10))</f>
        <v/>
      </c>
      <c r="BM82" s="36">
        <f t="shared" ref="BM82" si="282">BM$80-(BM$80-BM$88)/8*$A101</f>
        <v>1.75</v>
      </c>
      <c r="BN82" s="69" t="str">
        <f t="shared" ref="BN82" si="283">IF(BN$110=0,"",REPT("█",BN101/BN$110*10))</f>
        <v/>
      </c>
      <c r="BO82" s="36">
        <f t="shared" ref="BO82" si="284">BO$80-(BO$80-BO$88)/8*$A101</f>
        <v>0.77500000000000002</v>
      </c>
      <c r="BP82" s="69" t="str">
        <f t="shared" ref="BP82" si="285">IF(BP$110=0,"",REPT("█",BP101/BP$110*10))</f>
        <v/>
      </c>
      <c r="BQ82" s="36">
        <f t="shared" ref="BQ82" si="286">BQ$80-(BQ$80-BQ$88)/8*$A101</f>
        <v>4.75</v>
      </c>
      <c r="BR82" s="69" t="str">
        <f t="shared" ref="BR82" si="287">IF(BR$110=0,"",REPT("█",BR101/BR$110*10))</f>
        <v/>
      </c>
      <c r="BS82" s="36">
        <f t="shared" ref="BS82" si="288">BS$80-(BS$80-BS$88)/8*$A101</f>
        <v>4.75</v>
      </c>
      <c r="BT82" s="69" t="str">
        <f t="shared" ref="BT82" si="289">IF(BT$110=0,"",REPT("█",BT101/BT$110*10))</f>
        <v/>
      </c>
      <c r="BU82" s="36">
        <f t="shared" ref="BU82" si="290">BU$80-(BU$80-BU$88)/8*$A101</f>
        <v>4.25</v>
      </c>
      <c r="BV82" s="69" t="str">
        <f t="shared" ref="BV82" si="291">IF(BV$110=0,"",REPT("█",BV101/BV$110*10))</f>
        <v/>
      </c>
      <c r="BW82" s="36">
        <f t="shared" ref="BW82" si="292">BW$80-(BW$80-BW$88)/8*$A101</f>
        <v>4.125</v>
      </c>
      <c r="BX82" s="69" t="str">
        <f t="shared" ref="BX82" si="293">IF(BX$110=0,"",REPT("█",BX101/BX$110*10))</f>
        <v/>
      </c>
      <c r="BY82" s="36">
        <f t="shared" ref="BY82" si="294">BY$80-(BY$80-BY$88)/8*$A101</f>
        <v>13.625</v>
      </c>
      <c r="BZ82" s="69" t="str">
        <f t="shared" ref="BZ82" si="295">IF(BZ$110=0,"",REPT("█",BZ101/BZ$110*10))</f>
        <v/>
      </c>
      <c r="CA82" s="36">
        <f t="shared" ref="CA82" si="296">CA$80-(CA$80-CA$88)/8*$A101</f>
        <v>8.5</v>
      </c>
      <c r="CB82" s="69" t="str">
        <f t="shared" ref="CB82" si="297">IF(CB$110=0,"",REPT("█",CB101/CB$110*10))</f>
        <v/>
      </c>
      <c r="CC82" s="36">
        <f t="shared" ref="CC82" si="298">CC$80-(CC$80-CC$88)/8*$A101</f>
        <v>0.875</v>
      </c>
      <c r="CD82" s="69" t="str">
        <f t="shared" ref="CD82:CF82" si="299">IF(CD$110=0,"",REPT("█",CD101/CD$110*10))</f>
        <v/>
      </c>
      <c r="CF82" s="69" t="str">
        <f t="shared" si="299"/>
        <v/>
      </c>
      <c r="CH82" s="69" t="str">
        <f t="shared" ref="CH82" si="300">IF(CH$110=0,"",REPT("█",CH101/CH$110*10))</f>
        <v/>
      </c>
    </row>
    <row r="83" spans="1:86" ht="18.75" customHeight="1" x14ac:dyDescent="0.2">
      <c r="A83" s="38"/>
      <c r="B83" s="54"/>
      <c r="C83" s="54"/>
      <c r="D83" s="54"/>
      <c r="E83" s="64">
        <f t="shared" si="170"/>
        <v>23.625</v>
      </c>
      <c r="F83" s="69" t="str">
        <f t="shared" si="39"/>
        <v>███████</v>
      </c>
      <c r="G83" s="36">
        <f t="shared" si="171"/>
        <v>0</v>
      </c>
      <c r="H83" s="69" t="str">
        <f t="shared" si="40"/>
        <v/>
      </c>
      <c r="I83" s="36">
        <f t="shared" si="172"/>
        <v>261.25</v>
      </c>
      <c r="J83" s="69" t="str">
        <f t="shared" si="41"/>
        <v/>
      </c>
      <c r="K83" s="36">
        <f t="shared" si="173"/>
        <v>261.25</v>
      </c>
      <c r="L83" s="69" t="str">
        <f t="shared" si="42"/>
        <v/>
      </c>
      <c r="M83" s="36">
        <f t="shared" si="174"/>
        <v>258.25</v>
      </c>
      <c r="N83" s="69" t="str">
        <f t="shared" si="43"/>
        <v/>
      </c>
      <c r="O83" s="36">
        <f t="shared" si="175"/>
        <v>258.25</v>
      </c>
      <c r="P83" s="69" t="str">
        <f t="shared" si="44"/>
        <v/>
      </c>
      <c r="Q83" s="36">
        <f t="shared" si="176"/>
        <v>258.25</v>
      </c>
      <c r="R83" s="69" t="str">
        <f t="shared" si="45"/>
        <v/>
      </c>
      <c r="S83" s="36">
        <f t="shared" si="177"/>
        <v>271.25</v>
      </c>
      <c r="T83" s="69" t="str">
        <f t="shared" si="46"/>
        <v/>
      </c>
      <c r="U83" s="36">
        <f t="shared" si="178"/>
        <v>271.25</v>
      </c>
      <c r="V83" s="69" t="str">
        <f t="shared" si="47"/>
        <v/>
      </c>
      <c r="W83" s="36">
        <f t="shared" ref="W83" si="301">W$80-(W$80-W$88)/8*$A102</f>
        <v>0</v>
      </c>
      <c r="X83" s="69" t="str">
        <f t="shared" ref="X83" si="302">IF(X$110=0,"",REPT("█",X102/X$110*10))</f>
        <v/>
      </c>
      <c r="Y83" s="36">
        <f t="shared" ref="Y83" si="303">Y$80-(Y$80-Y$88)/8*$A102</f>
        <v>0</v>
      </c>
      <c r="Z83" s="69" t="str">
        <f t="shared" ref="Z83" si="304">IF(Z$110=0,"",REPT("█",Z102/Z$110*10))</f>
        <v/>
      </c>
      <c r="AA83" s="36">
        <f t="shared" ref="AA83" si="305">AA$80-(AA$80-AA$88)/8*$A102</f>
        <v>256.25</v>
      </c>
      <c r="AB83" s="69" t="str">
        <f t="shared" ref="AB83" si="306">IF(AB$110=0,"",REPT("█",AB102/AB$110*10))</f>
        <v/>
      </c>
      <c r="AC83" s="36">
        <f t="shared" ref="AC83" si="307">AC$80-(AC$80-AC$88)/8*$A102</f>
        <v>266.25</v>
      </c>
      <c r="AD83" s="69" t="str">
        <f t="shared" ref="AD83" si="308">IF(AD$110=0,"",REPT("█",AD102/AD$110*10))</f>
        <v/>
      </c>
      <c r="AE83" s="36">
        <f t="shared" ref="AE83" si="309">AE$80-(AE$80-AE$88)/8*$A102</f>
        <v>266.25</v>
      </c>
      <c r="AF83" s="69" t="str">
        <f t="shared" ref="AF83" si="310">IF(AF$110=0,"",REPT("█",AF102/AF$110*10))</f>
        <v/>
      </c>
      <c r="AG83" s="36">
        <f t="shared" ref="AG83" si="311">AG$80-(AG$80-AG$88)/8*$A102</f>
        <v>261.25</v>
      </c>
      <c r="AH83" s="69" t="str">
        <f t="shared" ref="AH83" si="312">IF(AH$110=0,"",REPT("█",AH102/AH$110*10))</f>
        <v>█████</v>
      </c>
      <c r="AI83" s="36">
        <f t="shared" ref="AI83" si="313">AI$80-(AI$80-AI$88)/8*$A102</f>
        <v>276.25</v>
      </c>
      <c r="AJ83" s="69" t="str">
        <f t="shared" ref="AJ83" si="314">IF(AJ$110=0,"",REPT("█",AJ102/AJ$110*10))</f>
        <v/>
      </c>
      <c r="AK83" s="36">
        <f t="shared" ref="AK83" si="315">AK$80-(AK$80-AK$88)/8*$A102</f>
        <v>276.25</v>
      </c>
      <c r="AL83" s="69" t="str">
        <f t="shared" ref="AL83" si="316">IF(AL$110=0,"",REPT("█",AL102/AL$110*10))</f>
        <v/>
      </c>
      <c r="AM83" s="36">
        <f t="shared" ref="AM83" si="317">AM$80-(AM$80-AM$88)/8*$A102</f>
        <v>276.25</v>
      </c>
      <c r="AN83" s="69" t="str">
        <f t="shared" ref="AN83" si="318">IF(AN$110=0,"",REPT("█",AN102/AN$110*10))</f>
        <v/>
      </c>
      <c r="AO83" s="36">
        <f t="shared" ref="AO83" si="319">AO$80-(AO$80-AO$88)/8*$A102</f>
        <v>0</v>
      </c>
      <c r="AP83" s="69" t="str">
        <f t="shared" ref="AP83" si="320">IF(AP$110=0,"",REPT("█",AP102/AP$110*10))</f>
        <v/>
      </c>
      <c r="AQ83" s="36">
        <f t="shared" ref="AQ83" si="321">AQ$80-(AQ$80-AQ$88)/8*$A102</f>
        <v>291.25</v>
      </c>
      <c r="AR83" s="69" t="str">
        <f t="shared" ref="AR83" si="322">IF(AR$110=0,"",REPT("█",AR102/AR$110*10))</f>
        <v/>
      </c>
      <c r="AS83" s="36">
        <f t="shared" ref="AS83" si="323">AS$80-(AS$80-AS$88)/8*$A102</f>
        <v>306.25</v>
      </c>
      <c r="AT83" s="69" t="str">
        <f t="shared" ref="AT83" si="324">IF(AT$110=0,"",REPT("█",AT102/AT$110*10))</f>
        <v>██████████</v>
      </c>
      <c r="AU83" s="36">
        <f t="shared" ref="AU83" si="325">AU$80-(AU$80-AU$88)/8*$A102</f>
        <v>316.25</v>
      </c>
      <c r="AV83" s="69" t="str">
        <f t="shared" ref="AV83" si="326">IF(AV$110=0,"",REPT("█",AV102/AV$110*10))</f>
        <v/>
      </c>
      <c r="AW83" s="36">
        <f t="shared" ref="AW83" si="327">AW$80-(AW$80-AW$88)/8*$A102</f>
        <v>413.875</v>
      </c>
      <c r="AX83" s="69" t="str">
        <f t="shared" ref="AX83" si="328">IF(AX$110=0,"",REPT("█",AX102/AX$110*10))</f>
        <v/>
      </c>
      <c r="AY83" s="36">
        <f t="shared" ref="AY83" si="329">AY$80-(AY$80-AY$88)/8*$A102</f>
        <v>19.625</v>
      </c>
      <c r="AZ83" s="69" t="str">
        <f t="shared" ref="AZ83" si="330">IF(AZ$110=0,"",REPT("█",AZ102/AZ$110*10))</f>
        <v/>
      </c>
      <c r="BA83" s="36">
        <f t="shared" ref="BA83" si="331">BA$80-(BA$80-BA$88)/8*$A102</f>
        <v>81.25</v>
      </c>
      <c r="BB83" s="69" t="str">
        <f t="shared" ref="BB83" si="332">IF(BB$110=0,"",REPT("█",BB102/BB$110*10))</f>
        <v/>
      </c>
      <c r="BC83" s="36">
        <f t="shared" ref="BC83" si="333">BC$80-(BC$80-BC$88)/8*$A102</f>
        <v>35.625</v>
      </c>
      <c r="BD83" s="69" t="str">
        <f t="shared" ref="BD83" si="334">IF(BD$110=0,"",REPT("█",BD102/BD$110*10))</f>
        <v/>
      </c>
      <c r="BE83" s="36">
        <f t="shared" ref="BE83" si="335">BE$80-(BE$80-BE$88)/8*$A102</f>
        <v>0.86250000000000004</v>
      </c>
      <c r="BF83" s="69" t="str">
        <f t="shared" ref="BF83" si="336">IF(BF$110=0,"",REPT("█",BF102/BF$110*10))</f>
        <v/>
      </c>
      <c r="BG83" s="36">
        <f t="shared" ref="BG83" si="337">BG$80-(BG$80-BG$88)/8*$A102</f>
        <v>76.875</v>
      </c>
      <c r="BH83" s="69" t="str">
        <f t="shared" ref="BH83" si="338">IF(BH$110=0,"",REPT("█",BH102/BH$110*10))</f>
        <v/>
      </c>
      <c r="BI83" s="36">
        <f t="shared" ref="BI83" si="339">BI$80-(BI$80-BI$88)/8*$A102</f>
        <v>13.125</v>
      </c>
      <c r="BJ83" s="69" t="str">
        <f t="shared" ref="BJ83" si="340">IF(BJ$110=0,"",REPT("█",BJ102/BJ$110*10))</f>
        <v/>
      </c>
      <c r="BK83" s="36">
        <f t="shared" ref="BK83" si="341">BK$80-(BK$80-BK$88)/8*$A102</f>
        <v>29.25</v>
      </c>
      <c r="BL83" s="69" t="str">
        <f t="shared" ref="BL83" si="342">IF(BL$110=0,"",REPT("█",BL102/BL$110*10))</f>
        <v/>
      </c>
      <c r="BM83" s="36">
        <f t="shared" ref="BM83" si="343">BM$80-(BM$80-BM$88)/8*$A102</f>
        <v>1.625</v>
      </c>
      <c r="BN83" s="69" t="str">
        <f t="shared" ref="BN83" si="344">IF(BN$110=0,"",REPT("█",BN102/BN$110*10))</f>
        <v/>
      </c>
      <c r="BO83" s="36">
        <f t="shared" ref="BO83" si="345">BO$80-(BO$80-BO$88)/8*$A102</f>
        <v>0.66249999999999998</v>
      </c>
      <c r="BP83" s="69" t="str">
        <f t="shared" ref="BP83" si="346">IF(BP$110=0,"",REPT("█",BP102/BP$110*10))</f>
        <v/>
      </c>
      <c r="BQ83" s="36">
        <f t="shared" ref="BQ83" si="347">BQ$80-(BQ$80-BQ$88)/8*$A102</f>
        <v>4.625</v>
      </c>
      <c r="BR83" s="69" t="str">
        <f t="shared" ref="BR83" si="348">IF(BR$110=0,"",REPT("█",BR102/BR$110*10))</f>
        <v/>
      </c>
      <c r="BS83" s="36">
        <f t="shared" ref="BS83" si="349">BS$80-(BS$80-BS$88)/8*$A102</f>
        <v>4.625</v>
      </c>
      <c r="BT83" s="69" t="str">
        <f t="shared" ref="BT83" si="350">IF(BT$110=0,"",REPT("█",BT102/BT$110*10))</f>
        <v/>
      </c>
      <c r="BU83" s="36">
        <f t="shared" ref="BU83" si="351">BU$80-(BU$80-BU$88)/8*$A102</f>
        <v>3.875</v>
      </c>
      <c r="BV83" s="69" t="str">
        <f t="shared" ref="BV83" si="352">IF(BV$110=0,"",REPT("█",BV102/BV$110*10))</f>
        <v/>
      </c>
      <c r="BW83" s="36">
        <f t="shared" ref="BW83" si="353">BW$80-(BW$80-BW$88)/8*$A102</f>
        <v>3.6875</v>
      </c>
      <c r="BX83" s="69" t="str">
        <f t="shared" ref="BX83" si="354">IF(BX$110=0,"",REPT("█",BX102/BX$110*10))</f>
        <v/>
      </c>
      <c r="BY83" s="36">
        <f t="shared" ref="BY83" si="355">BY$80-(BY$80-BY$88)/8*$A102</f>
        <v>12.9375</v>
      </c>
      <c r="BZ83" s="69" t="str">
        <f t="shared" ref="BZ83" si="356">IF(BZ$110=0,"",REPT("█",BZ102/BZ$110*10))</f>
        <v/>
      </c>
      <c r="CA83" s="36">
        <f t="shared" ref="CA83" si="357">CA$80-(CA$80-CA$88)/8*$A102</f>
        <v>8.25</v>
      </c>
      <c r="CB83" s="69" t="str">
        <f t="shared" ref="CB83" si="358">IF(CB$110=0,"",REPT("█",CB102/CB$110*10))</f>
        <v/>
      </c>
      <c r="CC83" s="36">
        <f t="shared" ref="CC83" si="359">CC$80-(CC$80-CC$88)/8*$A102</f>
        <v>0.8125</v>
      </c>
      <c r="CD83" s="69" t="str">
        <f t="shared" ref="CD83:CF83" si="360">IF(CD$110=0,"",REPT("█",CD102/CD$110*10))</f>
        <v/>
      </c>
      <c r="CF83" s="69" t="str">
        <f t="shared" si="360"/>
        <v/>
      </c>
      <c r="CH83" s="69" t="str">
        <f t="shared" ref="CH83" si="361">IF(CH$110=0,"",REPT("█",CH102/CH$110*10))</f>
        <v/>
      </c>
    </row>
    <row r="84" spans="1:86" ht="18.75" customHeight="1" x14ac:dyDescent="0.55000000000000004">
      <c r="A84" s="39" t="s">
        <v>139</v>
      </c>
      <c r="B84" s="55"/>
      <c r="C84" s="55"/>
      <c r="D84" s="55"/>
      <c r="E84" s="64">
        <f t="shared" si="170"/>
        <v>21.5</v>
      </c>
      <c r="F84" s="69" t="str">
        <f t="shared" si="39"/>
        <v/>
      </c>
      <c r="G84" s="36">
        <f t="shared" si="171"/>
        <v>0</v>
      </c>
      <c r="H84" s="69" t="str">
        <f t="shared" si="40"/>
        <v/>
      </c>
      <c r="I84" s="36">
        <f t="shared" si="172"/>
        <v>260</v>
      </c>
      <c r="J84" s="69" t="str">
        <f t="shared" si="41"/>
        <v/>
      </c>
      <c r="K84" s="36">
        <f t="shared" si="173"/>
        <v>260</v>
      </c>
      <c r="L84" s="69" t="str">
        <f t="shared" si="42"/>
        <v/>
      </c>
      <c r="M84" s="36">
        <f t="shared" si="174"/>
        <v>257</v>
      </c>
      <c r="N84" s="69" t="str">
        <f t="shared" si="43"/>
        <v/>
      </c>
      <c r="O84" s="36">
        <f t="shared" si="175"/>
        <v>257</v>
      </c>
      <c r="P84" s="69" t="str">
        <f t="shared" si="44"/>
        <v/>
      </c>
      <c r="Q84" s="36">
        <f t="shared" si="176"/>
        <v>257</v>
      </c>
      <c r="R84" s="69" t="str">
        <f t="shared" si="45"/>
        <v/>
      </c>
      <c r="S84" s="36">
        <f t="shared" si="177"/>
        <v>270</v>
      </c>
      <c r="T84" s="69" t="str">
        <f t="shared" si="46"/>
        <v/>
      </c>
      <c r="U84" s="36">
        <f t="shared" si="178"/>
        <v>270</v>
      </c>
      <c r="V84" s="69" t="str">
        <f t="shared" si="47"/>
        <v/>
      </c>
      <c r="W84" s="36">
        <f t="shared" ref="W84" si="362">W$80-(W$80-W$88)/8*$A103</f>
        <v>0</v>
      </c>
      <c r="X84" s="69" t="str">
        <f t="shared" ref="X84" si="363">IF(X$110=0,"",REPT("█",X103/X$110*10))</f>
        <v/>
      </c>
      <c r="Y84" s="36">
        <f t="shared" ref="Y84" si="364">Y$80-(Y$80-Y$88)/8*$A103</f>
        <v>0</v>
      </c>
      <c r="Z84" s="69" t="str">
        <f t="shared" ref="Z84" si="365">IF(Z$110=0,"",REPT("█",Z103/Z$110*10))</f>
        <v/>
      </c>
      <c r="AA84" s="36">
        <f t="shared" ref="AA84" si="366">AA$80-(AA$80-AA$88)/8*$A103</f>
        <v>255</v>
      </c>
      <c r="AB84" s="69" t="str">
        <f t="shared" ref="AB84" si="367">IF(AB$110=0,"",REPT("█",AB103/AB$110*10))</f>
        <v>██████████</v>
      </c>
      <c r="AC84" s="36">
        <f t="shared" ref="AC84" si="368">AC$80-(AC$80-AC$88)/8*$A103</f>
        <v>265</v>
      </c>
      <c r="AD84" s="69" t="str">
        <f t="shared" ref="AD84" si="369">IF(AD$110=0,"",REPT("█",AD103/AD$110*10))</f>
        <v/>
      </c>
      <c r="AE84" s="36">
        <f t="shared" ref="AE84" si="370">AE$80-(AE$80-AE$88)/8*$A103</f>
        <v>265</v>
      </c>
      <c r="AF84" s="69" t="str">
        <f t="shared" ref="AF84" si="371">IF(AF$110=0,"",REPT("█",AF103/AF$110*10))</f>
        <v/>
      </c>
      <c r="AG84" s="36">
        <f t="shared" ref="AG84" si="372">AG$80-(AG$80-AG$88)/8*$A103</f>
        <v>260</v>
      </c>
      <c r="AH84" s="69" t="str">
        <f t="shared" ref="AH84" si="373">IF(AH$110=0,"",REPT("█",AH103/AH$110*10))</f>
        <v>██████████</v>
      </c>
      <c r="AI84" s="36">
        <f t="shared" ref="AI84" si="374">AI$80-(AI$80-AI$88)/8*$A103</f>
        <v>275</v>
      </c>
      <c r="AJ84" s="69" t="str">
        <f t="shared" ref="AJ84" si="375">IF(AJ$110=0,"",REPT("█",AJ103/AJ$110*10))</f>
        <v/>
      </c>
      <c r="AK84" s="36">
        <f t="shared" ref="AK84" si="376">AK$80-(AK$80-AK$88)/8*$A103</f>
        <v>275</v>
      </c>
      <c r="AL84" s="69" t="str">
        <f t="shared" ref="AL84" si="377">IF(AL$110=0,"",REPT("█",AL103/AL$110*10))</f>
        <v/>
      </c>
      <c r="AM84" s="36">
        <f t="shared" ref="AM84" si="378">AM$80-(AM$80-AM$88)/8*$A103</f>
        <v>275</v>
      </c>
      <c r="AN84" s="69" t="str">
        <f t="shared" ref="AN84" si="379">IF(AN$110=0,"",REPT("█",AN103/AN$110*10))</f>
        <v>█</v>
      </c>
      <c r="AO84" s="36">
        <f t="shared" ref="AO84" si="380">AO$80-(AO$80-AO$88)/8*$A103</f>
        <v>0</v>
      </c>
      <c r="AP84" s="69" t="str">
        <f t="shared" ref="AP84" si="381">IF(AP$110=0,"",REPT("█",AP103/AP$110*10))</f>
        <v/>
      </c>
      <c r="AQ84" s="36">
        <f t="shared" ref="AQ84" si="382">AQ$80-(AQ$80-AQ$88)/8*$A103</f>
        <v>290</v>
      </c>
      <c r="AR84" s="69" t="str">
        <f t="shared" ref="AR84" si="383">IF(AR$110=0,"",REPT("█",AR103/AR$110*10))</f>
        <v/>
      </c>
      <c r="AS84" s="36">
        <f t="shared" ref="AS84" si="384">AS$80-(AS$80-AS$88)/8*$A103</f>
        <v>305</v>
      </c>
      <c r="AT84" s="69" t="str">
        <f t="shared" ref="AT84" si="385">IF(AT$110=0,"",REPT("█",AT103/AT$110*10))</f>
        <v>██████</v>
      </c>
      <c r="AU84" s="36">
        <f t="shared" ref="AU84" si="386">AU$80-(AU$80-AU$88)/8*$A103</f>
        <v>315</v>
      </c>
      <c r="AV84" s="69" t="str">
        <f t="shared" ref="AV84" si="387">IF(AV$110=0,"",REPT("█",AV103/AV$110*10))</f>
        <v/>
      </c>
      <c r="AW84" s="36">
        <f t="shared" ref="AW84" si="388">AW$80-(AW$80-AW$88)/8*$A103</f>
        <v>413.5</v>
      </c>
      <c r="AX84" s="69" t="str">
        <f t="shared" ref="AX84" si="389">IF(AX$110=0,"",REPT("█",AX103/AX$110*10))</f>
        <v/>
      </c>
      <c r="AY84" s="36">
        <f t="shared" ref="AY84" si="390">AY$80-(AY$80-AY$88)/8*$A103</f>
        <v>19.5</v>
      </c>
      <c r="AZ84" s="69" t="str">
        <f t="shared" ref="AZ84" si="391">IF(AZ$110=0,"",REPT("█",AZ103/AZ$110*10))</f>
        <v/>
      </c>
      <c r="BA84" s="36">
        <f t="shared" ref="BA84" si="392">BA$80-(BA$80-BA$88)/8*$A103</f>
        <v>80</v>
      </c>
      <c r="BB84" s="69" t="str">
        <f t="shared" ref="BB84" si="393">IF(BB$110=0,"",REPT("█",BB103/BB$110*10))</f>
        <v>██████</v>
      </c>
      <c r="BC84" s="36">
        <f t="shared" ref="BC84" si="394">BC$80-(BC$80-BC$88)/8*$A103</f>
        <v>35.5</v>
      </c>
      <c r="BD84" s="69" t="str">
        <f t="shared" ref="BD84" si="395">IF(BD$110=0,"",REPT("█",BD103/BD$110*10))</f>
        <v/>
      </c>
      <c r="BE84" s="36">
        <f t="shared" ref="BE84" si="396">BE$80-(BE$80-BE$88)/8*$A103</f>
        <v>0.85000000000000009</v>
      </c>
      <c r="BF84" s="69" t="str">
        <f t="shared" ref="BF84" si="397">IF(BF$110=0,"",REPT("█",BF103/BF$110*10))</f>
        <v/>
      </c>
      <c r="BG84" s="36">
        <f t="shared" ref="BG84" si="398">BG$80-(BG$80-BG$88)/8*$A103</f>
        <v>77.5</v>
      </c>
      <c r="BH84" s="69" t="str">
        <f t="shared" ref="BH84" si="399">IF(BH$110=0,"",REPT("█",BH103/BH$110*10))</f>
        <v/>
      </c>
      <c r="BI84" s="36">
        <f t="shared" ref="BI84" si="400">BI$80-(BI$80-BI$88)/8*$A103</f>
        <v>12.5</v>
      </c>
      <c r="BJ84" s="69" t="str">
        <f t="shared" ref="BJ84" si="401">IF(BJ$110=0,"",REPT("█",BJ103/BJ$110*10))</f>
        <v/>
      </c>
      <c r="BK84" s="36">
        <f t="shared" ref="BK84" si="402">BK$80-(BK$80-BK$88)/8*$A103</f>
        <v>29</v>
      </c>
      <c r="BL84" s="69" t="str">
        <f t="shared" ref="BL84" si="403">IF(BL$110=0,"",REPT("█",BL103/BL$110*10))</f>
        <v/>
      </c>
      <c r="BM84" s="36">
        <f t="shared" ref="BM84" si="404">BM$80-(BM$80-BM$88)/8*$A103</f>
        <v>1.5</v>
      </c>
      <c r="BN84" s="69" t="str">
        <f t="shared" ref="BN84" si="405">IF(BN$110=0,"",REPT("█",BN103/BN$110*10))</f>
        <v/>
      </c>
      <c r="BO84" s="36">
        <f t="shared" ref="BO84" si="406">BO$80-(BO$80-BO$88)/8*$A103</f>
        <v>0.55000000000000004</v>
      </c>
      <c r="BP84" s="69" t="str">
        <f t="shared" ref="BP84" si="407">IF(BP$110=0,"",REPT("█",BP103/BP$110*10))</f>
        <v/>
      </c>
      <c r="BQ84" s="36">
        <f t="shared" ref="BQ84" si="408">BQ$80-(BQ$80-BQ$88)/8*$A103</f>
        <v>4.5</v>
      </c>
      <c r="BR84" s="69" t="str">
        <f t="shared" ref="BR84" si="409">IF(BR$110=0,"",REPT("█",BR103/BR$110*10))</f>
        <v/>
      </c>
      <c r="BS84" s="36">
        <f t="shared" ref="BS84" si="410">BS$80-(BS$80-BS$88)/8*$A103</f>
        <v>4.5</v>
      </c>
      <c r="BT84" s="69" t="str">
        <f t="shared" ref="BT84" si="411">IF(BT$110=0,"",REPT("█",BT103/BT$110*10))</f>
        <v/>
      </c>
      <c r="BU84" s="36">
        <f t="shared" ref="BU84" si="412">BU$80-(BU$80-BU$88)/8*$A103</f>
        <v>3.5</v>
      </c>
      <c r="BV84" s="69" t="str">
        <f t="shared" ref="BV84" si="413">IF(BV$110=0,"",REPT("█",BV103/BV$110*10))</f>
        <v/>
      </c>
      <c r="BW84" s="36">
        <f t="shared" ref="BW84" si="414">BW$80-(BW$80-BW$88)/8*$A103</f>
        <v>3.25</v>
      </c>
      <c r="BX84" s="69" t="str">
        <f t="shared" ref="BX84" si="415">IF(BX$110=0,"",REPT("█",BX103/BX$110*10))</f>
        <v/>
      </c>
      <c r="BY84" s="36">
        <f t="shared" ref="BY84" si="416">BY$80-(BY$80-BY$88)/8*$A103</f>
        <v>12.25</v>
      </c>
      <c r="BZ84" s="69" t="str">
        <f t="shared" ref="BZ84" si="417">IF(BZ$110=0,"",REPT("█",BZ103/BZ$110*10))</f>
        <v/>
      </c>
      <c r="CA84" s="36">
        <f t="shared" ref="CA84" si="418">CA$80-(CA$80-CA$88)/8*$A103</f>
        <v>8</v>
      </c>
      <c r="CB84" s="69" t="str">
        <f t="shared" ref="CB84" si="419">IF(CB$110=0,"",REPT("█",CB103/CB$110*10))</f>
        <v>█</v>
      </c>
      <c r="CC84" s="36">
        <f t="shared" ref="CC84" si="420">CC$80-(CC$80-CC$88)/8*$A103</f>
        <v>0.75</v>
      </c>
      <c r="CD84" s="69" t="str">
        <f t="shared" ref="CD84:CF84" si="421">IF(CD$110=0,"",REPT("█",CD103/CD$110*10))</f>
        <v/>
      </c>
      <c r="CF84" s="69" t="str">
        <f t="shared" si="421"/>
        <v/>
      </c>
      <c r="CH84" s="69" t="str">
        <f t="shared" ref="CH84" si="422">IF(CH$110=0,"",REPT("█",CH103/CH$110*10))</f>
        <v/>
      </c>
    </row>
    <row r="85" spans="1:86" ht="18.75" customHeight="1" x14ac:dyDescent="0.2">
      <c r="A85" s="38"/>
      <c r="B85" s="54"/>
      <c r="C85" s="54"/>
      <c r="D85" s="54"/>
      <c r="E85" s="64">
        <f t="shared" si="170"/>
        <v>19.375</v>
      </c>
      <c r="F85" s="69" t="str">
        <f t="shared" si="39"/>
        <v>█████</v>
      </c>
      <c r="G85" s="36">
        <f t="shared" si="171"/>
        <v>0</v>
      </c>
      <c r="H85" s="69" t="str">
        <f t="shared" si="40"/>
        <v/>
      </c>
      <c r="I85" s="36">
        <f t="shared" si="172"/>
        <v>258.75</v>
      </c>
      <c r="J85" s="69" t="str">
        <f t="shared" si="41"/>
        <v/>
      </c>
      <c r="K85" s="36">
        <f t="shared" si="173"/>
        <v>258.75</v>
      </c>
      <c r="L85" s="69" t="str">
        <f t="shared" si="42"/>
        <v/>
      </c>
      <c r="M85" s="36">
        <f t="shared" si="174"/>
        <v>255.75</v>
      </c>
      <c r="N85" s="69" t="str">
        <f t="shared" si="43"/>
        <v>███</v>
      </c>
      <c r="O85" s="36">
        <f t="shared" si="175"/>
        <v>255.75</v>
      </c>
      <c r="P85" s="69" t="str">
        <f t="shared" si="44"/>
        <v/>
      </c>
      <c r="Q85" s="36">
        <f t="shared" si="176"/>
        <v>255.75</v>
      </c>
      <c r="R85" s="69" t="str">
        <f t="shared" si="45"/>
        <v/>
      </c>
      <c r="S85" s="36">
        <f t="shared" si="177"/>
        <v>268.75</v>
      </c>
      <c r="T85" s="69" t="str">
        <f t="shared" si="46"/>
        <v/>
      </c>
      <c r="U85" s="36">
        <f t="shared" si="178"/>
        <v>268.75</v>
      </c>
      <c r="V85" s="69" t="str">
        <f t="shared" si="47"/>
        <v/>
      </c>
      <c r="W85" s="36">
        <f t="shared" ref="W85" si="423">W$80-(W$80-W$88)/8*$A104</f>
        <v>0</v>
      </c>
      <c r="X85" s="69" t="str">
        <f t="shared" ref="X85" si="424">IF(X$110=0,"",REPT("█",X104/X$110*10))</f>
        <v/>
      </c>
      <c r="Y85" s="36">
        <f t="shared" ref="Y85" si="425">Y$80-(Y$80-Y$88)/8*$A104</f>
        <v>0</v>
      </c>
      <c r="Z85" s="69" t="str">
        <f t="shared" ref="Z85" si="426">IF(Z$110=0,"",REPT("█",Z104/Z$110*10))</f>
        <v/>
      </c>
      <c r="AA85" s="36">
        <f t="shared" ref="AA85" si="427">AA$80-(AA$80-AA$88)/8*$A104</f>
        <v>253.75</v>
      </c>
      <c r="AB85" s="69" t="str">
        <f t="shared" ref="AB85" si="428">IF(AB$110=0,"",REPT("█",AB104/AB$110*10))</f>
        <v/>
      </c>
      <c r="AC85" s="36">
        <f t="shared" ref="AC85" si="429">AC$80-(AC$80-AC$88)/8*$A104</f>
        <v>263.75</v>
      </c>
      <c r="AD85" s="69" t="str">
        <f t="shared" ref="AD85" si="430">IF(AD$110=0,"",REPT("█",AD104/AD$110*10))</f>
        <v/>
      </c>
      <c r="AE85" s="36">
        <f t="shared" ref="AE85" si="431">AE$80-(AE$80-AE$88)/8*$A104</f>
        <v>263.75</v>
      </c>
      <c r="AF85" s="69" t="str">
        <f t="shared" ref="AF85" si="432">IF(AF$110=0,"",REPT("█",AF104/AF$110*10))</f>
        <v/>
      </c>
      <c r="AG85" s="36">
        <f t="shared" ref="AG85" si="433">AG$80-(AG$80-AG$88)/8*$A104</f>
        <v>258.75</v>
      </c>
      <c r="AH85" s="69" t="str">
        <f t="shared" ref="AH85" si="434">IF(AH$110=0,"",REPT("█",AH104/AH$110*10))</f>
        <v/>
      </c>
      <c r="AI85" s="36">
        <f t="shared" ref="AI85" si="435">AI$80-(AI$80-AI$88)/8*$A104</f>
        <v>273.75</v>
      </c>
      <c r="AJ85" s="69" t="str">
        <f t="shared" ref="AJ85" si="436">IF(AJ$110=0,"",REPT("█",AJ104/AJ$110*10))</f>
        <v/>
      </c>
      <c r="AK85" s="36">
        <f t="shared" ref="AK85" si="437">AK$80-(AK$80-AK$88)/8*$A104</f>
        <v>273.75</v>
      </c>
      <c r="AL85" s="69" t="str">
        <f t="shared" ref="AL85" si="438">IF(AL$110=0,"",REPT("█",AL104/AL$110*10))</f>
        <v/>
      </c>
      <c r="AM85" s="36">
        <f t="shared" ref="AM85" si="439">AM$80-(AM$80-AM$88)/8*$A104</f>
        <v>273.75</v>
      </c>
      <c r="AN85" s="69" t="str">
        <f t="shared" ref="AN85" si="440">IF(AN$110=0,"",REPT("█",AN104/AN$110*10))</f>
        <v>███</v>
      </c>
      <c r="AO85" s="36">
        <f t="shared" ref="AO85" si="441">AO$80-(AO$80-AO$88)/8*$A104</f>
        <v>0</v>
      </c>
      <c r="AP85" s="69" t="str">
        <f t="shared" ref="AP85" si="442">IF(AP$110=0,"",REPT("█",AP104/AP$110*10))</f>
        <v/>
      </c>
      <c r="AQ85" s="36">
        <f t="shared" ref="AQ85" si="443">AQ$80-(AQ$80-AQ$88)/8*$A104</f>
        <v>288.75</v>
      </c>
      <c r="AR85" s="69" t="str">
        <f t="shared" ref="AR85" si="444">IF(AR$110=0,"",REPT("█",AR104/AR$110*10))</f>
        <v/>
      </c>
      <c r="AS85" s="36">
        <f t="shared" ref="AS85" si="445">AS$80-(AS$80-AS$88)/8*$A104</f>
        <v>303.75</v>
      </c>
      <c r="AT85" s="69" t="str">
        <f t="shared" ref="AT85" si="446">IF(AT$110=0,"",REPT("█",AT104/AT$110*10))</f>
        <v>██████</v>
      </c>
      <c r="AU85" s="36">
        <f t="shared" ref="AU85" si="447">AU$80-(AU$80-AU$88)/8*$A104</f>
        <v>313.75</v>
      </c>
      <c r="AV85" s="69" t="str">
        <f t="shared" ref="AV85" si="448">IF(AV$110=0,"",REPT("█",AV104/AV$110*10))</f>
        <v/>
      </c>
      <c r="AW85" s="36">
        <f t="shared" ref="AW85" si="449">AW$80-(AW$80-AW$88)/8*$A104</f>
        <v>413.125</v>
      </c>
      <c r="AX85" s="69" t="str">
        <f t="shared" ref="AX85" si="450">IF(AX$110=0,"",REPT("█",AX104/AX$110*10))</f>
        <v/>
      </c>
      <c r="AY85" s="36">
        <f t="shared" ref="AY85" si="451">AY$80-(AY$80-AY$88)/8*$A104</f>
        <v>19.375</v>
      </c>
      <c r="AZ85" s="69" t="str">
        <f t="shared" ref="AZ85" si="452">IF(AZ$110=0,"",REPT("█",AZ104/AZ$110*10))</f>
        <v/>
      </c>
      <c r="BA85" s="36">
        <f t="shared" ref="BA85" si="453">BA$80-(BA$80-BA$88)/8*$A104</f>
        <v>78.75</v>
      </c>
      <c r="BB85" s="69" t="str">
        <f t="shared" ref="BB85" si="454">IF(BB$110=0,"",REPT("█",BB104/BB$110*10))</f>
        <v/>
      </c>
      <c r="BC85" s="36">
        <f t="shared" ref="BC85" si="455">BC$80-(BC$80-BC$88)/8*$A104</f>
        <v>35.375</v>
      </c>
      <c r="BD85" s="69" t="str">
        <f t="shared" ref="BD85" si="456">IF(BD$110=0,"",REPT("█",BD104/BD$110*10))</f>
        <v/>
      </c>
      <c r="BE85" s="36">
        <f t="shared" ref="BE85" si="457">BE$80-(BE$80-BE$88)/8*$A104</f>
        <v>0.83750000000000002</v>
      </c>
      <c r="BF85" s="69" t="str">
        <f t="shared" ref="BF85" si="458">IF(BF$110=0,"",REPT("█",BF104/BF$110*10))</f>
        <v/>
      </c>
      <c r="BG85" s="36">
        <f t="shared" ref="BG85" si="459">BG$80-(BG$80-BG$88)/8*$A104</f>
        <v>78.125</v>
      </c>
      <c r="BH85" s="69" t="str">
        <f t="shared" ref="BH85" si="460">IF(BH$110=0,"",REPT("█",BH104/BH$110*10))</f>
        <v/>
      </c>
      <c r="BI85" s="36">
        <f t="shared" ref="BI85" si="461">BI$80-(BI$80-BI$88)/8*$A104</f>
        <v>11.875</v>
      </c>
      <c r="BJ85" s="69" t="str">
        <f t="shared" ref="BJ85" si="462">IF(BJ$110=0,"",REPT("█",BJ104/BJ$110*10))</f>
        <v/>
      </c>
      <c r="BK85" s="36">
        <f t="shared" ref="BK85" si="463">BK$80-(BK$80-BK$88)/8*$A104</f>
        <v>28.75</v>
      </c>
      <c r="BL85" s="69" t="str">
        <f t="shared" ref="BL85" si="464">IF(BL$110=0,"",REPT("█",BL104/BL$110*10))</f>
        <v/>
      </c>
      <c r="BM85" s="36">
        <f t="shared" ref="BM85" si="465">BM$80-(BM$80-BM$88)/8*$A104</f>
        <v>1.375</v>
      </c>
      <c r="BN85" s="69" t="str">
        <f t="shared" ref="BN85" si="466">IF(BN$110=0,"",REPT("█",BN104/BN$110*10))</f>
        <v/>
      </c>
      <c r="BO85" s="36">
        <f t="shared" ref="BO85" si="467">BO$80-(BO$80-BO$88)/8*$A104</f>
        <v>0.4375</v>
      </c>
      <c r="BP85" s="69" t="str">
        <f t="shared" ref="BP85" si="468">IF(BP$110=0,"",REPT("█",BP104/BP$110*10))</f>
        <v/>
      </c>
      <c r="BQ85" s="36">
        <f t="shared" ref="BQ85" si="469">BQ$80-(BQ$80-BQ$88)/8*$A104</f>
        <v>4.375</v>
      </c>
      <c r="BR85" s="69" t="str">
        <f t="shared" ref="BR85" si="470">IF(BR$110=0,"",REPT("█",BR104/BR$110*10))</f>
        <v/>
      </c>
      <c r="BS85" s="36">
        <f t="shared" ref="BS85" si="471">BS$80-(BS$80-BS$88)/8*$A104</f>
        <v>4.375</v>
      </c>
      <c r="BT85" s="69" t="str">
        <f t="shared" ref="BT85" si="472">IF(BT$110=0,"",REPT("█",BT104/BT$110*10))</f>
        <v/>
      </c>
      <c r="BU85" s="36">
        <f t="shared" ref="BU85" si="473">BU$80-(BU$80-BU$88)/8*$A104</f>
        <v>3.125</v>
      </c>
      <c r="BV85" s="69" t="str">
        <f t="shared" ref="BV85" si="474">IF(BV$110=0,"",REPT("█",BV104/BV$110*10))</f>
        <v/>
      </c>
      <c r="BW85" s="36">
        <f t="shared" ref="BW85" si="475">BW$80-(BW$80-BW$88)/8*$A104</f>
        <v>2.8125</v>
      </c>
      <c r="BX85" s="69" t="str">
        <f t="shared" ref="BX85" si="476">IF(BX$110=0,"",REPT("█",BX104/BX$110*10))</f>
        <v/>
      </c>
      <c r="BY85" s="36">
        <f t="shared" ref="BY85" si="477">BY$80-(BY$80-BY$88)/8*$A104</f>
        <v>11.5625</v>
      </c>
      <c r="BZ85" s="69" t="str">
        <f t="shared" ref="BZ85" si="478">IF(BZ$110=0,"",REPT("█",BZ104/BZ$110*10))</f>
        <v/>
      </c>
      <c r="CA85" s="36">
        <f t="shared" ref="CA85" si="479">CA$80-(CA$80-CA$88)/8*$A104</f>
        <v>7.75</v>
      </c>
      <c r="CB85" s="69" t="str">
        <f t="shared" ref="CB85" si="480">IF(CB$110=0,"",REPT("█",CB104/CB$110*10))</f>
        <v/>
      </c>
      <c r="CC85" s="36">
        <f t="shared" ref="CC85" si="481">CC$80-(CC$80-CC$88)/8*$A104</f>
        <v>0.6875</v>
      </c>
      <c r="CD85" s="69" t="str">
        <f t="shared" ref="CD85:CF85" si="482">IF(CD$110=0,"",REPT("█",CD104/CD$110*10))</f>
        <v/>
      </c>
      <c r="CF85" s="69" t="str">
        <f t="shared" si="482"/>
        <v/>
      </c>
      <c r="CH85" s="69" t="str">
        <f t="shared" ref="CH85" si="483">IF(CH$110=0,"",REPT("█",CH104/CH$110*10))</f>
        <v/>
      </c>
    </row>
    <row r="86" spans="1:86" ht="18.75" customHeight="1" x14ac:dyDescent="0.2">
      <c r="A86" s="38"/>
      <c r="B86" s="54"/>
      <c r="C86" s="54"/>
      <c r="D86" s="54"/>
      <c r="E86" s="64">
        <f t="shared" si="170"/>
        <v>17.25</v>
      </c>
      <c r="F86" s="69" t="str">
        <f t="shared" si="39"/>
        <v>██</v>
      </c>
      <c r="G86" s="36">
        <f t="shared" si="171"/>
        <v>0</v>
      </c>
      <c r="H86" s="69" t="str">
        <f t="shared" si="40"/>
        <v/>
      </c>
      <c r="I86" s="36">
        <f t="shared" si="172"/>
        <v>257.5</v>
      </c>
      <c r="J86" s="69" t="str">
        <f t="shared" si="41"/>
        <v/>
      </c>
      <c r="K86" s="36">
        <f t="shared" si="173"/>
        <v>257.5</v>
      </c>
      <c r="L86" s="69" t="str">
        <f t="shared" si="42"/>
        <v/>
      </c>
      <c r="M86" s="36">
        <f t="shared" si="174"/>
        <v>254.5</v>
      </c>
      <c r="N86" s="69" t="str">
        <f t="shared" si="43"/>
        <v/>
      </c>
      <c r="O86" s="36">
        <f t="shared" si="175"/>
        <v>254.5</v>
      </c>
      <c r="P86" s="69" t="str">
        <f t="shared" si="44"/>
        <v>█</v>
      </c>
      <c r="Q86" s="36">
        <f t="shared" si="176"/>
        <v>254.5</v>
      </c>
      <c r="R86" s="69" t="str">
        <f t="shared" si="45"/>
        <v>█████</v>
      </c>
      <c r="S86" s="36">
        <f t="shared" si="177"/>
        <v>267.5</v>
      </c>
      <c r="T86" s="69" t="str">
        <f t="shared" si="46"/>
        <v/>
      </c>
      <c r="U86" s="36">
        <f t="shared" si="178"/>
        <v>267.5</v>
      </c>
      <c r="V86" s="69" t="str">
        <f t="shared" si="47"/>
        <v/>
      </c>
      <c r="W86" s="36">
        <f t="shared" ref="W86" si="484">W$80-(W$80-W$88)/8*$A105</f>
        <v>0</v>
      </c>
      <c r="X86" s="69" t="str">
        <f t="shared" ref="X86" si="485">IF(X$110=0,"",REPT("█",X105/X$110*10))</f>
        <v/>
      </c>
      <c r="Y86" s="36">
        <f t="shared" ref="Y86" si="486">Y$80-(Y$80-Y$88)/8*$A105</f>
        <v>0</v>
      </c>
      <c r="Z86" s="69" t="str">
        <f t="shared" ref="Z86" si="487">IF(Z$110=0,"",REPT("█",Z105/Z$110*10))</f>
        <v/>
      </c>
      <c r="AA86" s="36">
        <f t="shared" ref="AA86" si="488">AA$80-(AA$80-AA$88)/8*$A105</f>
        <v>252.5</v>
      </c>
      <c r="AB86" s="69" t="str">
        <f t="shared" ref="AB86" si="489">IF(AB$110=0,"",REPT("█",AB105/AB$110*10))</f>
        <v/>
      </c>
      <c r="AC86" s="36">
        <f t="shared" ref="AC86" si="490">AC$80-(AC$80-AC$88)/8*$A105</f>
        <v>262.5</v>
      </c>
      <c r="AD86" s="69" t="str">
        <f t="shared" ref="AD86" si="491">IF(AD$110=0,"",REPT("█",AD105/AD$110*10))</f>
        <v/>
      </c>
      <c r="AE86" s="36">
        <f t="shared" ref="AE86" si="492">AE$80-(AE$80-AE$88)/8*$A105</f>
        <v>262.5</v>
      </c>
      <c r="AF86" s="69" t="str">
        <f t="shared" ref="AF86" si="493">IF(AF$110=0,"",REPT("█",AF105/AF$110*10))</f>
        <v/>
      </c>
      <c r="AG86" s="36">
        <f t="shared" ref="AG86" si="494">AG$80-(AG$80-AG$88)/8*$A105</f>
        <v>257.5</v>
      </c>
      <c r="AH86" s="69" t="str">
        <f t="shared" ref="AH86" si="495">IF(AH$110=0,"",REPT("█",AH105/AH$110*10))</f>
        <v>█████</v>
      </c>
      <c r="AI86" s="36">
        <f t="shared" ref="AI86" si="496">AI$80-(AI$80-AI$88)/8*$A105</f>
        <v>272.5</v>
      </c>
      <c r="AJ86" s="69" t="str">
        <f t="shared" ref="AJ86" si="497">IF(AJ$110=0,"",REPT("█",AJ105/AJ$110*10))</f>
        <v/>
      </c>
      <c r="AK86" s="36">
        <f t="shared" ref="AK86" si="498">AK$80-(AK$80-AK$88)/8*$A105</f>
        <v>272.5</v>
      </c>
      <c r="AL86" s="69" t="str">
        <f t="shared" ref="AL86" si="499">IF(AL$110=0,"",REPT("█",AL105/AL$110*10))</f>
        <v>██</v>
      </c>
      <c r="AM86" s="36">
        <f t="shared" ref="AM86" si="500">AM$80-(AM$80-AM$88)/8*$A105</f>
        <v>272.5</v>
      </c>
      <c r="AN86" s="69" t="str">
        <f t="shared" ref="AN86" si="501">IF(AN$110=0,"",REPT("█",AN105/AN$110*10))</f>
        <v/>
      </c>
      <c r="AO86" s="36">
        <f t="shared" ref="AO86" si="502">AO$80-(AO$80-AO$88)/8*$A105</f>
        <v>0</v>
      </c>
      <c r="AP86" s="69" t="str">
        <f t="shared" ref="AP86" si="503">IF(AP$110=0,"",REPT("█",AP105/AP$110*10))</f>
        <v/>
      </c>
      <c r="AQ86" s="36">
        <f t="shared" ref="AQ86" si="504">AQ$80-(AQ$80-AQ$88)/8*$A105</f>
        <v>287.5</v>
      </c>
      <c r="AR86" s="69" t="str">
        <f t="shared" ref="AR86" si="505">IF(AR$110=0,"",REPT("█",AR105/AR$110*10))</f>
        <v/>
      </c>
      <c r="AS86" s="36">
        <f t="shared" ref="AS86" si="506">AS$80-(AS$80-AS$88)/8*$A105</f>
        <v>302.5</v>
      </c>
      <c r="AT86" s="69" t="str">
        <f t="shared" ref="AT86" si="507">IF(AT$110=0,"",REPT("█",AT105/AT$110*10))</f>
        <v/>
      </c>
      <c r="AU86" s="36">
        <f t="shared" ref="AU86" si="508">AU$80-(AU$80-AU$88)/8*$A105</f>
        <v>312.5</v>
      </c>
      <c r="AV86" s="69" t="str">
        <f t="shared" ref="AV86" si="509">IF(AV$110=0,"",REPT("█",AV105/AV$110*10))</f>
        <v/>
      </c>
      <c r="AW86" s="36">
        <f t="shared" ref="AW86" si="510">AW$80-(AW$80-AW$88)/8*$A105</f>
        <v>412.75</v>
      </c>
      <c r="AX86" s="69" t="str">
        <f t="shared" ref="AX86" si="511">IF(AX$110=0,"",REPT("█",AX105/AX$110*10))</f>
        <v/>
      </c>
      <c r="AY86" s="36">
        <f t="shared" ref="AY86" si="512">AY$80-(AY$80-AY$88)/8*$A105</f>
        <v>19.25</v>
      </c>
      <c r="AZ86" s="69" t="str">
        <f t="shared" ref="AZ86" si="513">IF(AZ$110=0,"",REPT("█",AZ105/AZ$110*10))</f>
        <v/>
      </c>
      <c r="BA86" s="36">
        <f t="shared" ref="BA86" si="514">BA$80-(BA$80-BA$88)/8*$A105</f>
        <v>77.5</v>
      </c>
      <c r="BB86" s="69" t="str">
        <f t="shared" ref="BB86" si="515">IF(BB$110=0,"",REPT("█",BB105/BB$110*10))</f>
        <v/>
      </c>
      <c r="BC86" s="36">
        <f t="shared" ref="BC86" si="516">BC$80-(BC$80-BC$88)/8*$A105</f>
        <v>35.25</v>
      </c>
      <c r="BD86" s="69" t="str">
        <f t="shared" ref="BD86" si="517">IF(BD$110=0,"",REPT("█",BD105/BD$110*10))</f>
        <v/>
      </c>
      <c r="BE86" s="36">
        <f t="shared" ref="BE86" si="518">BE$80-(BE$80-BE$88)/8*$A105</f>
        <v>0.82500000000000007</v>
      </c>
      <c r="BF86" s="69" t="str">
        <f t="shared" ref="BF86" si="519">IF(BF$110=0,"",REPT("█",BF105/BF$110*10))</f>
        <v/>
      </c>
      <c r="BG86" s="36">
        <f t="shared" ref="BG86" si="520">BG$80-(BG$80-BG$88)/8*$A105</f>
        <v>78.75</v>
      </c>
      <c r="BH86" s="69" t="str">
        <f t="shared" ref="BH86" si="521">IF(BH$110=0,"",REPT("█",BH105/BH$110*10))</f>
        <v/>
      </c>
      <c r="BI86" s="36">
        <f t="shared" ref="BI86" si="522">BI$80-(BI$80-BI$88)/8*$A105</f>
        <v>11.25</v>
      </c>
      <c r="BJ86" s="69" t="str">
        <f t="shared" ref="BJ86" si="523">IF(BJ$110=0,"",REPT("█",BJ105/BJ$110*10))</f>
        <v/>
      </c>
      <c r="BK86" s="36">
        <f t="shared" ref="BK86" si="524">BK$80-(BK$80-BK$88)/8*$A105</f>
        <v>28.5</v>
      </c>
      <c r="BL86" s="69" t="str">
        <f t="shared" ref="BL86" si="525">IF(BL$110=0,"",REPT("█",BL105/BL$110*10))</f>
        <v/>
      </c>
      <c r="BM86" s="36">
        <f t="shared" ref="BM86" si="526">BM$80-(BM$80-BM$88)/8*$A105</f>
        <v>1.25</v>
      </c>
      <c r="BN86" s="69" t="str">
        <f t="shared" ref="BN86" si="527">IF(BN$110=0,"",REPT("█",BN105/BN$110*10))</f>
        <v/>
      </c>
      <c r="BO86" s="36">
        <f t="shared" ref="BO86" si="528">BO$80-(BO$80-BO$88)/8*$A105</f>
        <v>0.32499999999999996</v>
      </c>
      <c r="BP86" s="69" t="str">
        <f t="shared" ref="BP86" si="529">IF(BP$110=0,"",REPT("█",BP105/BP$110*10))</f>
        <v/>
      </c>
      <c r="BQ86" s="36">
        <f t="shared" ref="BQ86" si="530">BQ$80-(BQ$80-BQ$88)/8*$A105</f>
        <v>4.25</v>
      </c>
      <c r="BR86" s="69" t="str">
        <f t="shared" ref="BR86" si="531">IF(BR$110=0,"",REPT("█",BR105/BR$110*10))</f>
        <v/>
      </c>
      <c r="BS86" s="36">
        <f t="shared" ref="BS86" si="532">BS$80-(BS$80-BS$88)/8*$A105</f>
        <v>4.25</v>
      </c>
      <c r="BT86" s="69" t="str">
        <f t="shared" ref="BT86" si="533">IF(BT$110=0,"",REPT("█",BT105/BT$110*10))</f>
        <v/>
      </c>
      <c r="BU86" s="36">
        <f t="shared" ref="BU86" si="534">BU$80-(BU$80-BU$88)/8*$A105</f>
        <v>2.75</v>
      </c>
      <c r="BV86" s="69" t="str">
        <f t="shared" ref="BV86" si="535">IF(BV$110=0,"",REPT("█",BV105/BV$110*10))</f>
        <v>██████████</v>
      </c>
      <c r="BW86" s="36">
        <f t="shared" ref="BW86" si="536">BW$80-(BW$80-BW$88)/8*$A105</f>
        <v>2.375</v>
      </c>
      <c r="BX86" s="69" t="str">
        <f t="shared" ref="BX86" si="537">IF(BX$110=0,"",REPT("█",BX105/BX$110*10))</f>
        <v/>
      </c>
      <c r="BY86" s="36">
        <f t="shared" ref="BY86" si="538">BY$80-(BY$80-BY$88)/8*$A105</f>
        <v>10.875</v>
      </c>
      <c r="BZ86" s="69" t="str">
        <f t="shared" ref="BZ86" si="539">IF(BZ$110=0,"",REPT("█",BZ105/BZ$110*10))</f>
        <v>██████████</v>
      </c>
      <c r="CA86" s="36">
        <f t="shared" ref="CA86" si="540">CA$80-(CA$80-CA$88)/8*$A105</f>
        <v>7.5</v>
      </c>
      <c r="CB86" s="69" t="str">
        <f t="shared" ref="CB86" si="541">IF(CB$110=0,"",REPT("█",CB105/CB$110*10))</f>
        <v/>
      </c>
      <c r="CC86" s="36">
        <f t="shared" ref="CC86" si="542">CC$80-(CC$80-CC$88)/8*$A105</f>
        <v>0.625</v>
      </c>
      <c r="CD86" s="69" t="str">
        <f t="shared" ref="CD86:CF86" si="543">IF(CD$110=0,"",REPT("█",CD105/CD$110*10))</f>
        <v/>
      </c>
      <c r="CF86" s="69" t="str">
        <f t="shared" si="543"/>
        <v/>
      </c>
      <c r="CH86" s="69" t="str">
        <f t="shared" ref="CH86" si="544">IF(CH$110=0,"",REPT("█",CH105/CH$110*10))</f>
        <v/>
      </c>
    </row>
    <row r="87" spans="1:86" ht="18.75" customHeight="1" x14ac:dyDescent="0.2">
      <c r="A87" s="38"/>
      <c r="B87" s="54"/>
      <c r="C87" s="54"/>
      <c r="D87" s="54"/>
      <c r="E87" s="64">
        <f t="shared" si="170"/>
        <v>15.125</v>
      </c>
      <c r="F87" s="69" t="str">
        <f t="shared" si="39"/>
        <v>██████████</v>
      </c>
      <c r="G87" s="36">
        <f t="shared" si="171"/>
        <v>0</v>
      </c>
      <c r="H87" s="69" t="str">
        <f t="shared" si="40"/>
        <v/>
      </c>
      <c r="I87" s="36">
        <f t="shared" si="172"/>
        <v>256.25</v>
      </c>
      <c r="J87" s="69" t="str">
        <f t="shared" si="41"/>
        <v>█████</v>
      </c>
      <c r="K87" s="36">
        <f t="shared" si="173"/>
        <v>256.25</v>
      </c>
      <c r="L87" s="69" t="str">
        <f t="shared" si="42"/>
        <v/>
      </c>
      <c r="M87" s="36">
        <f t="shared" si="174"/>
        <v>253.25</v>
      </c>
      <c r="N87" s="69" t="str">
        <f t="shared" si="43"/>
        <v/>
      </c>
      <c r="O87" s="36">
        <f t="shared" si="175"/>
        <v>253.25</v>
      </c>
      <c r="P87" s="69" t="str">
        <f t="shared" si="44"/>
        <v/>
      </c>
      <c r="Q87" s="36">
        <f t="shared" si="176"/>
        <v>253.25</v>
      </c>
      <c r="R87" s="69" t="str">
        <f t="shared" si="45"/>
        <v/>
      </c>
      <c r="S87" s="36">
        <f t="shared" si="177"/>
        <v>266.25</v>
      </c>
      <c r="T87" s="69" t="str">
        <f t="shared" si="46"/>
        <v/>
      </c>
      <c r="U87" s="36">
        <f t="shared" si="178"/>
        <v>266.25</v>
      </c>
      <c r="V87" s="69" t="str">
        <f t="shared" si="47"/>
        <v/>
      </c>
      <c r="W87" s="36">
        <f t="shared" ref="W87" si="545">W$80-(W$80-W$88)/8*$A106</f>
        <v>0</v>
      </c>
      <c r="X87" s="69" t="str">
        <f t="shared" ref="X87" si="546">IF(X$110=0,"",REPT("█",X106/X$110*10))</f>
        <v/>
      </c>
      <c r="Y87" s="36">
        <f t="shared" ref="Y87" si="547">Y$80-(Y$80-Y$88)/8*$A106</f>
        <v>0</v>
      </c>
      <c r="Z87" s="69" t="str">
        <f t="shared" ref="Z87" si="548">IF(Z$110=0,"",REPT("█",Z106/Z$110*10))</f>
        <v/>
      </c>
      <c r="AA87" s="36">
        <f t="shared" ref="AA87" si="549">AA$80-(AA$80-AA$88)/8*$A106</f>
        <v>251.25</v>
      </c>
      <c r="AB87" s="69" t="str">
        <f t="shared" ref="AB87" si="550">IF(AB$110=0,"",REPT("█",AB106/AB$110*10))</f>
        <v/>
      </c>
      <c r="AC87" s="36">
        <f t="shared" ref="AC87" si="551">AC$80-(AC$80-AC$88)/8*$A106</f>
        <v>261.25</v>
      </c>
      <c r="AD87" s="69" t="str">
        <f t="shared" ref="AD87" si="552">IF(AD$110=0,"",REPT("█",AD106/AD$110*10))</f>
        <v>█</v>
      </c>
      <c r="AE87" s="36">
        <f t="shared" ref="AE87" si="553">AE$80-(AE$80-AE$88)/8*$A106</f>
        <v>261.25</v>
      </c>
      <c r="AF87" s="69" t="str">
        <f t="shared" ref="AF87" si="554">IF(AF$110=0,"",REPT("█",AF106/AF$110*10))</f>
        <v/>
      </c>
      <c r="AG87" s="36">
        <f t="shared" ref="AG87" si="555">AG$80-(AG$80-AG$88)/8*$A106</f>
        <v>256.25</v>
      </c>
      <c r="AH87" s="69" t="str">
        <f t="shared" ref="AH87" si="556">IF(AH$110=0,"",REPT("█",AH106/AH$110*10))</f>
        <v/>
      </c>
      <c r="AI87" s="36">
        <f t="shared" ref="AI87" si="557">AI$80-(AI$80-AI$88)/8*$A106</f>
        <v>271.25</v>
      </c>
      <c r="AJ87" s="69" t="str">
        <f t="shared" ref="AJ87" si="558">IF(AJ$110=0,"",REPT("█",AJ106/AJ$110*10))</f>
        <v/>
      </c>
      <c r="AK87" s="36">
        <f t="shared" ref="AK87" si="559">AK$80-(AK$80-AK$88)/8*$A106</f>
        <v>271.25</v>
      </c>
      <c r="AL87" s="69" t="str">
        <f t="shared" ref="AL87" si="560">IF(AL$110=0,"",REPT("█",AL106/AL$110*10))</f>
        <v/>
      </c>
      <c r="AM87" s="36">
        <f t="shared" ref="AM87" si="561">AM$80-(AM$80-AM$88)/8*$A106</f>
        <v>271.25</v>
      </c>
      <c r="AN87" s="69" t="str">
        <f t="shared" ref="AN87" si="562">IF(AN$110=0,"",REPT("█",AN106/AN$110*10))</f>
        <v/>
      </c>
      <c r="AO87" s="36">
        <f t="shared" ref="AO87" si="563">AO$80-(AO$80-AO$88)/8*$A106</f>
        <v>0</v>
      </c>
      <c r="AP87" s="69" t="str">
        <f t="shared" ref="AP87" si="564">IF(AP$110=0,"",REPT("█",AP106/AP$110*10))</f>
        <v/>
      </c>
      <c r="AQ87" s="36">
        <f t="shared" ref="AQ87" si="565">AQ$80-(AQ$80-AQ$88)/8*$A106</f>
        <v>286.25</v>
      </c>
      <c r="AR87" s="69" t="str">
        <f t="shared" ref="AR87" si="566">IF(AR$110=0,"",REPT("█",AR106/AR$110*10))</f>
        <v/>
      </c>
      <c r="AS87" s="36">
        <f t="shared" ref="AS87" si="567">AS$80-(AS$80-AS$88)/8*$A106</f>
        <v>301.25</v>
      </c>
      <c r="AT87" s="69" t="str">
        <f t="shared" ref="AT87" si="568">IF(AT$110=0,"",REPT("█",AT106/AT$110*10))</f>
        <v>███</v>
      </c>
      <c r="AU87" s="36">
        <f t="shared" ref="AU87" si="569">AU$80-(AU$80-AU$88)/8*$A106</f>
        <v>311.25</v>
      </c>
      <c r="AV87" s="69" t="str">
        <f t="shared" ref="AV87" si="570">IF(AV$110=0,"",REPT("█",AV106/AV$110*10))</f>
        <v/>
      </c>
      <c r="AW87" s="36">
        <f t="shared" ref="AW87" si="571">AW$80-(AW$80-AW$88)/8*$A106</f>
        <v>412.375</v>
      </c>
      <c r="AX87" s="69" t="str">
        <f t="shared" ref="AX87" si="572">IF(AX$110=0,"",REPT("█",AX106/AX$110*10))</f>
        <v/>
      </c>
      <c r="AY87" s="36">
        <f t="shared" ref="AY87" si="573">AY$80-(AY$80-AY$88)/8*$A106</f>
        <v>19.125</v>
      </c>
      <c r="AZ87" s="69" t="str">
        <f t="shared" ref="AZ87" si="574">IF(AZ$110=0,"",REPT("█",AZ106/AZ$110*10))</f>
        <v/>
      </c>
      <c r="BA87" s="36">
        <f t="shared" ref="BA87" si="575">BA$80-(BA$80-BA$88)/8*$A106</f>
        <v>76.25</v>
      </c>
      <c r="BB87" s="69" t="str">
        <f t="shared" ref="BB87" si="576">IF(BB$110=0,"",REPT("█",BB106/BB$110*10))</f>
        <v/>
      </c>
      <c r="BC87" s="36">
        <f t="shared" ref="BC87" si="577">BC$80-(BC$80-BC$88)/8*$A106</f>
        <v>35.125</v>
      </c>
      <c r="BD87" s="69" t="str">
        <f t="shared" ref="BD87" si="578">IF(BD$110=0,"",REPT("█",BD106/BD$110*10))</f>
        <v/>
      </c>
      <c r="BE87" s="36">
        <f t="shared" ref="BE87" si="579">BE$80-(BE$80-BE$88)/8*$A106</f>
        <v>0.8125</v>
      </c>
      <c r="BF87" s="69" t="str">
        <f t="shared" ref="BF87" si="580">IF(BF$110=0,"",REPT("█",BF106/BF$110*10))</f>
        <v/>
      </c>
      <c r="BG87" s="36">
        <f t="shared" ref="BG87" si="581">BG$80-(BG$80-BG$88)/8*$A106</f>
        <v>79.375</v>
      </c>
      <c r="BH87" s="69" t="str">
        <f t="shared" ref="BH87" si="582">IF(BH$110=0,"",REPT("█",BH106/BH$110*10))</f>
        <v/>
      </c>
      <c r="BI87" s="36">
        <f t="shared" ref="BI87" si="583">BI$80-(BI$80-BI$88)/8*$A106</f>
        <v>10.625</v>
      </c>
      <c r="BJ87" s="69" t="str">
        <f t="shared" ref="BJ87" si="584">IF(BJ$110=0,"",REPT("█",BJ106/BJ$110*10))</f>
        <v>██████████</v>
      </c>
      <c r="BK87" s="36">
        <f t="shared" ref="BK87" si="585">BK$80-(BK$80-BK$88)/8*$A106</f>
        <v>28.25</v>
      </c>
      <c r="BL87" s="69" t="str">
        <f t="shared" ref="BL87" si="586">IF(BL$110=0,"",REPT("█",BL106/BL$110*10))</f>
        <v/>
      </c>
      <c r="BM87" s="36">
        <f t="shared" ref="BM87" si="587">BM$80-(BM$80-BM$88)/8*$A106</f>
        <v>1.125</v>
      </c>
      <c r="BN87" s="69" t="str">
        <f t="shared" ref="BN87" si="588">IF(BN$110=0,"",REPT("█",BN106/BN$110*10))</f>
        <v/>
      </c>
      <c r="BO87" s="36">
        <f t="shared" ref="BO87" si="589">BO$80-(BO$80-BO$88)/8*$A106</f>
        <v>0.21250000000000002</v>
      </c>
      <c r="BP87" s="69" t="str">
        <f t="shared" ref="BP87" si="590">IF(BP$110=0,"",REPT("█",BP106/BP$110*10))</f>
        <v/>
      </c>
      <c r="BQ87" s="36">
        <f t="shared" ref="BQ87" si="591">BQ$80-(BQ$80-BQ$88)/8*$A106</f>
        <v>4.125</v>
      </c>
      <c r="BR87" s="69" t="str">
        <f t="shared" ref="BR87" si="592">IF(BR$110=0,"",REPT("█",BR106/BR$110*10))</f>
        <v/>
      </c>
      <c r="BS87" s="36">
        <f t="shared" ref="BS87" si="593">BS$80-(BS$80-BS$88)/8*$A106</f>
        <v>4.125</v>
      </c>
      <c r="BT87" s="69" t="str">
        <f t="shared" ref="BT87" si="594">IF(BT$110=0,"",REPT("█",BT106/BT$110*10))</f>
        <v/>
      </c>
      <c r="BU87" s="36">
        <f t="shared" ref="BU87" si="595">BU$80-(BU$80-BU$88)/8*$A106</f>
        <v>2.375</v>
      </c>
      <c r="BV87" s="69" t="str">
        <f t="shared" ref="BV87" si="596">IF(BV$110=0,"",REPT("█",BV106/BV$110*10))</f>
        <v/>
      </c>
      <c r="BW87" s="36">
        <f t="shared" ref="BW87" si="597">BW$80-(BW$80-BW$88)/8*$A106</f>
        <v>1.9375</v>
      </c>
      <c r="BX87" s="69" t="str">
        <f t="shared" ref="BX87" si="598">IF(BX$110=0,"",REPT("█",BX106/BX$110*10))</f>
        <v/>
      </c>
      <c r="BY87" s="36">
        <f t="shared" ref="BY87" si="599">BY$80-(BY$80-BY$88)/8*$A106</f>
        <v>10.1875</v>
      </c>
      <c r="BZ87" s="69" t="str">
        <f t="shared" ref="BZ87" si="600">IF(BZ$110=0,"",REPT("█",BZ106/BZ$110*10))</f>
        <v/>
      </c>
      <c r="CA87" s="36">
        <f t="shared" ref="CA87" si="601">CA$80-(CA$80-CA$88)/8*$A106</f>
        <v>7.25</v>
      </c>
      <c r="CB87" s="69" t="str">
        <f t="shared" ref="CB87" si="602">IF(CB$110=0,"",REPT("█",CB106/CB$110*10))</f>
        <v/>
      </c>
      <c r="CC87" s="36">
        <f t="shared" ref="CC87" si="603">CC$80-(CC$80-CC$88)/8*$A106</f>
        <v>0.5625</v>
      </c>
      <c r="CD87" s="69" t="str">
        <f t="shared" ref="CD87:CF87" si="604">IF(CD$110=0,"",REPT("█",CD106/CD$110*10))</f>
        <v/>
      </c>
      <c r="CF87" s="69" t="str">
        <f t="shared" si="604"/>
        <v/>
      </c>
      <c r="CH87" s="69" t="str">
        <f t="shared" ref="CH87" si="605">IF(CH$110=0,"",REPT("█",CH106/CH$110*10))</f>
        <v/>
      </c>
    </row>
    <row r="88" spans="1:86" ht="18.75" customHeight="1" x14ac:dyDescent="0.2">
      <c r="A88" s="66" t="s">
        <v>140</v>
      </c>
      <c r="B88" s="54"/>
      <c r="C88" s="54"/>
      <c r="D88" s="54"/>
      <c r="E88" s="64">
        <f>F10</f>
        <v>13</v>
      </c>
      <c r="F88" s="40" t="str">
        <f t="shared" si="39"/>
        <v>███████</v>
      </c>
      <c r="G88" s="36">
        <f>H10</f>
        <v>0</v>
      </c>
      <c r="H88" s="40" t="str">
        <f t="shared" si="40"/>
        <v/>
      </c>
      <c r="I88" s="36">
        <f>J10</f>
        <v>255</v>
      </c>
      <c r="J88" s="40" t="str">
        <f t="shared" si="41"/>
        <v>██████████</v>
      </c>
      <c r="K88" s="36">
        <f>L10</f>
        <v>255</v>
      </c>
      <c r="L88" s="40" t="str">
        <f t="shared" si="42"/>
        <v>██████████</v>
      </c>
      <c r="M88" s="36">
        <f>N10</f>
        <v>252</v>
      </c>
      <c r="N88" s="40" t="str">
        <f t="shared" si="43"/>
        <v/>
      </c>
      <c r="O88" s="36">
        <f>P10</f>
        <v>252</v>
      </c>
      <c r="P88" s="40" t="str">
        <f t="shared" si="44"/>
        <v>█</v>
      </c>
      <c r="Q88" s="36">
        <f>R10</f>
        <v>252</v>
      </c>
      <c r="R88" s="40" t="str">
        <f t="shared" si="45"/>
        <v/>
      </c>
      <c r="S88" s="36">
        <f>T10</f>
        <v>265</v>
      </c>
      <c r="T88" s="40" t="str">
        <f t="shared" si="46"/>
        <v>██████████</v>
      </c>
      <c r="U88" s="36">
        <f>V10</f>
        <v>265</v>
      </c>
      <c r="V88" s="40" t="str">
        <f t="shared" si="47"/>
        <v>██████████</v>
      </c>
      <c r="W88" s="36">
        <f t="shared" ref="W88" si="606">X10</f>
        <v>0</v>
      </c>
      <c r="X88" s="40" t="str">
        <f t="shared" ref="X88" si="607">IF(X$110=0,"",REPT("█",X107/X$110*10))</f>
        <v/>
      </c>
      <c r="Y88" s="36">
        <f t="shared" ref="Y88" si="608">Z10</f>
        <v>0</v>
      </c>
      <c r="Z88" s="40" t="str">
        <f t="shared" ref="Z88" si="609">IF(Z$110=0,"",REPT("█",Z107/Z$110*10))</f>
        <v/>
      </c>
      <c r="AA88" s="36">
        <f t="shared" ref="AA88" si="610">AB10</f>
        <v>250</v>
      </c>
      <c r="AB88" s="40" t="str">
        <f t="shared" ref="AB88" si="611">IF(AB$110=0,"",REPT("█",AB107/AB$110*10))</f>
        <v>███████</v>
      </c>
      <c r="AC88" s="36">
        <f t="shared" ref="AC88" si="612">AD10</f>
        <v>260</v>
      </c>
      <c r="AD88" s="40" t="str">
        <f t="shared" ref="AD88" si="613">IF(AD$110=0,"",REPT("█",AD107/AD$110*10))</f>
        <v>██████████</v>
      </c>
      <c r="AE88" s="36">
        <f t="shared" ref="AE88" si="614">AF10</f>
        <v>260</v>
      </c>
      <c r="AF88" s="40" t="str">
        <f t="shared" ref="AF88" si="615">IF(AF$110=0,"",REPT("█",AF107/AF$110*10))</f>
        <v>██████████</v>
      </c>
      <c r="AG88" s="36">
        <f t="shared" ref="AG88" si="616">AH10</f>
        <v>255</v>
      </c>
      <c r="AH88" s="40" t="str">
        <f t="shared" ref="AH88" si="617">IF(AH$110=0,"",REPT("█",AH107/AH$110*10))</f>
        <v/>
      </c>
      <c r="AI88" s="36">
        <f t="shared" ref="AI88" si="618">AJ10</f>
        <v>270</v>
      </c>
      <c r="AJ88" s="40" t="str">
        <f t="shared" ref="AJ88" si="619">IF(AJ$110=0,"",REPT("█",AJ107/AJ$110*10))</f>
        <v>██████</v>
      </c>
      <c r="AK88" s="36">
        <f t="shared" ref="AK88" si="620">AL10</f>
        <v>270</v>
      </c>
      <c r="AL88" s="40" t="str">
        <f t="shared" ref="AL88" si="621">IF(AL$110=0,"",REPT("█",AL107/AL$110*10))</f>
        <v>██</v>
      </c>
      <c r="AM88" s="36">
        <f t="shared" ref="AM88" si="622">AN10</f>
        <v>270</v>
      </c>
      <c r="AN88" s="40" t="str">
        <f t="shared" ref="AN88" si="623">IF(AN$110=0,"",REPT("█",AN107/AN$110*10))</f>
        <v>█</v>
      </c>
      <c r="AO88" s="36">
        <f t="shared" ref="AO88" si="624">AP10</f>
        <v>0</v>
      </c>
      <c r="AP88" s="40" t="str">
        <f t="shared" ref="AP88" si="625">IF(AP$110=0,"",REPT("█",AP107/AP$110*10))</f>
        <v/>
      </c>
      <c r="AQ88" s="36">
        <f t="shared" ref="AQ88" si="626">AR10</f>
        <v>285</v>
      </c>
      <c r="AR88" s="40" t="str">
        <f t="shared" ref="AR88" si="627">IF(AR$110=0,"",REPT("█",AR107/AR$110*10))</f>
        <v>█████</v>
      </c>
      <c r="AS88" s="36">
        <f t="shared" ref="AS88" si="628">AT10</f>
        <v>300</v>
      </c>
      <c r="AT88" s="40" t="str">
        <f t="shared" ref="AT88" si="629">IF(AT$110=0,"",REPT("█",AT107/AT$110*10))</f>
        <v>███</v>
      </c>
      <c r="AU88" s="36">
        <f t="shared" ref="AU88" si="630">AV10</f>
        <v>310</v>
      </c>
      <c r="AV88" s="40" t="str">
        <f t="shared" ref="AV88" si="631">IF(AV$110=0,"",REPT("█",AV107/AV$110*10))</f>
        <v>██████████</v>
      </c>
      <c r="AW88" s="36">
        <f t="shared" ref="AW88" si="632">AX10</f>
        <v>412</v>
      </c>
      <c r="AX88" s="40" t="str">
        <f t="shared" ref="AX88" si="633">IF(AX$110=0,"",REPT("█",AX107/AX$110*10))</f>
        <v>██████████</v>
      </c>
      <c r="AY88" s="36">
        <f t="shared" ref="AY88" si="634">AZ10</f>
        <v>19</v>
      </c>
      <c r="AZ88" s="40" t="str">
        <f t="shared" ref="AZ88" si="635">IF(AZ$110=0,"",REPT("█",AZ107/AZ$110*10))</f>
        <v>██████████</v>
      </c>
      <c r="BA88" s="36">
        <f t="shared" ref="BA88" si="636">BB10</f>
        <v>75</v>
      </c>
      <c r="BB88" s="40" t="str">
        <f t="shared" ref="BB88" si="637">IF(BB$110=0,"",REPT("█",BB107/BB$110*10))</f>
        <v>██████████</v>
      </c>
      <c r="BC88" s="36">
        <f t="shared" ref="BC88" si="638">BD10</f>
        <v>35</v>
      </c>
      <c r="BD88" s="40" t="str">
        <f t="shared" ref="BD88" si="639">IF(BD$110=0,"",REPT("█",BD107/BD$110*10))</f>
        <v>██████████</v>
      </c>
      <c r="BE88" s="36">
        <f t="shared" ref="BE88" si="640">BF10</f>
        <v>0.8</v>
      </c>
      <c r="BF88" s="40" t="str">
        <f t="shared" ref="BF88" si="641">IF(BF$110=0,"",REPT("█",BF107/BF$110*10))</f>
        <v/>
      </c>
      <c r="BG88" s="36">
        <f t="shared" ref="BG88" si="642">BH10</f>
        <v>80</v>
      </c>
      <c r="BH88" s="40" t="str">
        <f t="shared" ref="BH88" si="643">IF(BH$110=0,"",REPT("█",BH107/BH$110*10))</f>
        <v/>
      </c>
      <c r="BI88" s="36">
        <f t="shared" ref="BI88" si="644">BJ10</f>
        <v>10</v>
      </c>
      <c r="BJ88" s="40" t="str">
        <f t="shared" ref="BJ88" si="645">IF(BJ$110=0,"",REPT("█",BJ107/BJ$110*10))</f>
        <v>██████</v>
      </c>
      <c r="BK88" s="36">
        <f t="shared" ref="BK88" si="646">BL10</f>
        <v>28</v>
      </c>
      <c r="BL88" s="40" t="str">
        <f t="shared" ref="BL88" si="647">IF(BL$110=0,"",REPT("█",BL107/BL$110*10))</f>
        <v>██████████</v>
      </c>
      <c r="BM88" s="36">
        <f t="shared" ref="BM88" si="648">BN10</f>
        <v>1</v>
      </c>
      <c r="BN88" s="40" t="str">
        <f t="shared" ref="BN88" si="649">IF(BN$110=0,"",REPT("█",BN107/BN$110*10))</f>
        <v>██████████</v>
      </c>
      <c r="BO88" s="36">
        <f t="shared" ref="BO88" si="650">BP10</f>
        <v>0.1</v>
      </c>
      <c r="BP88" s="40" t="str">
        <f t="shared" ref="BP88" si="651">IF(BP$110=0,"",REPT("█",BP107/BP$110*10))</f>
        <v>██████████</v>
      </c>
      <c r="BQ88" s="36">
        <f t="shared" ref="BQ88" si="652">BR10</f>
        <v>4</v>
      </c>
      <c r="BR88" s="40" t="str">
        <f t="shared" ref="BR88" si="653">IF(BR$110=0,"",REPT("█",BR107/BR$110*10))</f>
        <v>████████</v>
      </c>
      <c r="BS88" s="36">
        <f t="shared" ref="BS88" si="654">BT10</f>
        <v>4</v>
      </c>
      <c r="BT88" s="40" t="str">
        <f t="shared" ref="BT88" si="655">IF(BT$110=0,"",REPT("█",BT107/BT$110*10))</f>
        <v>██████████</v>
      </c>
      <c r="BU88" s="36">
        <f t="shared" ref="BU88" si="656">BV10</f>
        <v>2</v>
      </c>
      <c r="BV88" s="40" t="str">
        <f t="shared" ref="BV88" si="657">IF(BV$110=0,"",REPT("█",BV107/BV$110*10))</f>
        <v>██████████</v>
      </c>
      <c r="BW88" s="36">
        <f t="shared" ref="BW88" si="658">BX10</f>
        <v>1.5</v>
      </c>
      <c r="BX88" s="40" t="str">
        <f t="shared" ref="BX88" si="659">IF(BX$110=0,"",REPT("█",BX107/BX$110*10))</f>
        <v>███████</v>
      </c>
      <c r="BY88" s="36">
        <f t="shared" ref="BY88" si="660">BZ10</f>
        <v>9.5</v>
      </c>
      <c r="BZ88" s="40" t="str">
        <f t="shared" ref="BZ88" si="661">IF(BZ$110=0,"",REPT("█",BZ107/BZ$110*10))</f>
        <v/>
      </c>
      <c r="CA88" s="36">
        <f t="shared" ref="CA88" si="662">CB10</f>
        <v>7</v>
      </c>
      <c r="CB88" s="40" t="str">
        <f t="shared" ref="CB88" si="663">IF(CB$110=0,"",REPT("█",CB107/CB$110*10))</f>
        <v>██████████</v>
      </c>
      <c r="CC88" s="36">
        <f t="shared" ref="CC88" si="664">CD10</f>
        <v>0.5</v>
      </c>
      <c r="CD88" s="40" t="str">
        <f t="shared" ref="CD88:CF88" si="665">IF(CD$110=0,"",REPT("█",CD107/CD$110*10))</f>
        <v>██████████</v>
      </c>
      <c r="CF88" s="40" t="str">
        <f t="shared" si="665"/>
        <v/>
      </c>
      <c r="CH88" s="40" t="str">
        <f t="shared" ref="CH88" si="666">IF(CH$110=0,"",REPT("█",CH107/CH$110*10))</f>
        <v/>
      </c>
    </row>
    <row r="89" spans="1:86" ht="18.75" customHeight="1" x14ac:dyDescent="0.2">
      <c r="A89" s="70"/>
      <c r="B89" s="51"/>
      <c r="C89" s="51"/>
      <c r="D89" s="51"/>
      <c r="E89" s="64">
        <f t="shared" ref="E89:E90" si="667">E$80-(E$80-E$88)/8*$A108</f>
        <v>10.875</v>
      </c>
      <c r="F89" s="67" t="str">
        <f t="shared" si="39"/>
        <v/>
      </c>
      <c r="G89" s="36">
        <f t="shared" ref="G89:G90" si="668">G$80-(G$80-G$88)/8*$A108</f>
        <v>0</v>
      </c>
      <c r="H89" s="67" t="str">
        <f t="shared" si="40"/>
        <v/>
      </c>
      <c r="I89" s="36">
        <f t="shared" ref="I89:I90" si="669">I$80-(I$80-I$88)/8*$A108</f>
        <v>253.75</v>
      </c>
      <c r="J89" s="67" t="str">
        <f t="shared" si="41"/>
        <v>██████████</v>
      </c>
      <c r="K89" s="36">
        <f t="shared" ref="K89:K90" si="670">K$80-(K$80-K$88)/8*$A108</f>
        <v>253.75</v>
      </c>
      <c r="L89" s="67" t="str">
        <f t="shared" si="42"/>
        <v/>
      </c>
      <c r="M89" s="36">
        <f t="shared" ref="M89:M90" si="671">M$80-(M$80-M$88)/8*$A108</f>
        <v>250.75</v>
      </c>
      <c r="N89" s="67" t="str">
        <f t="shared" si="43"/>
        <v>██████</v>
      </c>
      <c r="O89" s="36">
        <f t="shared" ref="O89:O90" si="672">O$80-(O$80-O$88)/8*$A108</f>
        <v>250.75</v>
      </c>
      <c r="P89" s="67" t="str">
        <f t="shared" si="44"/>
        <v/>
      </c>
      <c r="Q89" s="36">
        <f t="shared" ref="Q89:Q90" si="673">Q$80-(Q$80-Q$88)/8*$A108</f>
        <v>250.75</v>
      </c>
      <c r="R89" s="67" t="str">
        <f t="shared" si="45"/>
        <v>██████████</v>
      </c>
      <c r="S89" s="36">
        <f t="shared" ref="S89:S90" si="674">S$80-(S$80-S$88)/8*$A108</f>
        <v>263.75</v>
      </c>
      <c r="T89" s="67" t="str">
        <f t="shared" si="46"/>
        <v/>
      </c>
      <c r="U89" s="36">
        <f t="shared" ref="U89:U90" si="675">U$80-(U$80-U$88)/8*$A108</f>
        <v>263.75</v>
      </c>
      <c r="V89" s="67" t="str">
        <f t="shared" si="47"/>
        <v/>
      </c>
      <c r="W89" s="36">
        <f t="shared" ref="W89" si="676">W$80-(W$80-W$88)/8*$A108</f>
        <v>0</v>
      </c>
      <c r="X89" s="67" t="str">
        <f t="shared" ref="X89" si="677">IF(X$110=0,"",REPT("█",X108/X$110*10))</f>
        <v/>
      </c>
      <c r="Y89" s="36">
        <f t="shared" ref="Y89" si="678">Y$80-(Y$80-Y$88)/8*$A108</f>
        <v>0</v>
      </c>
      <c r="Z89" s="67" t="str">
        <f t="shared" ref="Z89" si="679">IF(Z$110=0,"",REPT("█",Z108/Z$110*10))</f>
        <v/>
      </c>
      <c r="AA89" s="36">
        <f t="shared" ref="AA89" si="680">AA$80-(AA$80-AA$88)/8*$A108</f>
        <v>248.75</v>
      </c>
      <c r="AB89" s="67" t="str">
        <f t="shared" ref="AB89" si="681">IF(AB$110=0,"",REPT("█",AB108/AB$110*10))</f>
        <v>██</v>
      </c>
      <c r="AC89" s="36">
        <f t="shared" ref="AC89" si="682">AC$80-(AC$80-AC$88)/8*$A108</f>
        <v>258.75</v>
      </c>
      <c r="AD89" s="67" t="str">
        <f t="shared" ref="AD89" si="683">IF(AD$110=0,"",REPT("█",AD108/AD$110*10))</f>
        <v>█</v>
      </c>
      <c r="AE89" s="36">
        <f t="shared" ref="AE89" si="684">AE$80-(AE$80-AE$88)/8*$A108</f>
        <v>258.75</v>
      </c>
      <c r="AF89" s="67" t="str">
        <f t="shared" ref="AF89" si="685">IF(AF$110=0,"",REPT("█",AF108/AF$110*10))</f>
        <v>█</v>
      </c>
      <c r="AG89" s="36">
        <f t="shared" ref="AG89" si="686">AG$80-(AG$80-AG$88)/8*$A108</f>
        <v>253.75</v>
      </c>
      <c r="AH89" s="67" t="str">
        <f t="shared" ref="AH89" si="687">IF(AH$110=0,"",REPT("█",AH108/AH$110*10))</f>
        <v/>
      </c>
      <c r="AI89" s="36">
        <f t="shared" ref="AI89" si="688">AI$80-(AI$80-AI$88)/8*$A108</f>
        <v>268.75</v>
      </c>
      <c r="AJ89" s="67" t="str">
        <f t="shared" ref="AJ89" si="689">IF(AJ$110=0,"",REPT("█",AJ108/AJ$110*10))</f>
        <v>██</v>
      </c>
      <c r="AK89" s="36">
        <f t="shared" ref="AK89" si="690">AK$80-(AK$80-AK$88)/8*$A108</f>
        <v>268.75</v>
      </c>
      <c r="AL89" s="67" t="str">
        <f t="shared" ref="AL89" si="691">IF(AL$110=0,"",REPT("█",AL108/AL$110*10))</f>
        <v>██</v>
      </c>
      <c r="AM89" s="36">
        <f t="shared" ref="AM89" si="692">AM$80-(AM$80-AM$88)/8*$A108</f>
        <v>268.75</v>
      </c>
      <c r="AN89" s="67" t="str">
        <f t="shared" ref="AN89" si="693">IF(AN$110=0,"",REPT("█",AN108/AN$110*10))</f>
        <v>█</v>
      </c>
      <c r="AO89" s="36">
        <f t="shared" ref="AO89" si="694">AO$80-(AO$80-AO$88)/8*$A108</f>
        <v>0</v>
      </c>
      <c r="AP89" s="67" t="str">
        <f t="shared" ref="AP89" si="695">IF(AP$110=0,"",REPT("█",AP108/AP$110*10))</f>
        <v/>
      </c>
      <c r="AQ89" s="36">
        <f t="shared" ref="AQ89" si="696">AQ$80-(AQ$80-AQ$88)/8*$A108</f>
        <v>283.75</v>
      </c>
      <c r="AR89" s="67" t="str">
        <f t="shared" ref="AR89" si="697">IF(AR$110=0,"",REPT("█",AR108/AR$110*10))</f>
        <v/>
      </c>
      <c r="AS89" s="36">
        <f t="shared" ref="AS89" si="698">AS$80-(AS$80-AS$88)/8*$A108</f>
        <v>298.75</v>
      </c>
      <c r="AT89" s="67" t="str">
        <f t="shared" ref="AT89" si="699">IF(AT$110=0,"",REPT("█",AT108/AT$110*10))</f>
        <v/>
      </c>
      <c r="AU89" s="36">
        <f t="shared" ref="AU89" si="700">AU$80-(AU$80-AU$88)/8*$A108</f>
        <v>308.75</v>
      </c>
      <c r="AV89" s="67" t="str">
        <f t="shared" ref="AV89" si="701">IF(AV$110=0,"",REPT("█",AV108/AV$110*10))</f>
        <v>██████████</v>
      </c>
      <c r="AW89" s="36">
        <f t="shared" ref="AW89" si="702">AW$80-(AW$80-AW$88)/8*$A108</f>
        <v>411.625</v>
      </c>
      <c r="AX89" s="67" t="str">
        <f t="shared" ref="AX89" si="703">IF(AX$110=0,"",REPT("█",AX108/AX$110*10))</f>
        <v/>
      </c>
      <c r="AY89" s="36">
        <f t="shared" ref="AY89" si="704">AY$80-(AY$80-AY$88)/8*$A108</f>
        <v>18.875</v>
      </c>
      <c r="AZ89" s="67" t="str">
        <f t="shared" ref="AZ89" si="705">IF(AZ$110=0,"",REPT("█",AZ108/AZ$110*10))</f>
        <v/>
      </c>
      <c r="BA89" s="36">
        <f t="shared" ref="BA89" si="706">BA$80-(BA$80-BA$88)/8*$A108</f>
        <v>73.75</v>
      </c>
      <c r="BB89" s="67" t="str">
        <f t="shared" ref="BB89" si="707">IF(BB$110=0,"",REPT("█",BB108/BB$110*10))</f>
        <v/>
      </c>
      <c r="BC89" s="36">
        <f t="shared" ref="BC89" si="708">BC$80-(BC$80-BC$88)/8*$A108</f>
        <v>34.875</v>
      </c>
      <c r="BD89" s="67" t="str">
        <f t="shared" ref="BD89" si="709">IF(BD$110=0,"",REPT("█",BD108/BD$110*10))</f>
        <v/>
      </c>
      <c r="BE89" s="36">
        <f t="shared" ref="BE89" si="710">BE$80-(BE$80-BE$88)/8*$A108</f>
        <v>0.78750000000000009</v>
      </c>
      <c r="BF89" s="67" t="str">
        <f t="shared" ref="BF89" si="711">IF(BF$110=0,"",REPT("█",BF108/BF$110*10))</f>
        <v/>
      </c>
      <c r="BG89" s="36">
        <f t="shared" ref="BG89" si="712">BG$80-(BG$80-BG$88)/8*$A108</f>
        <v>80.625</v>
      </c>
      <c r="BH89" s="67" t="str">
        <f t="shared" ref="BH89" si="713">IF(BH$110=0,"",REPT("█",BH108/BH$110*10))</f>
        <v/>
      </c>
      <c r="BI89" s="36">
        <f t="shared" ref="BI89" si="714">BI$80-(BI$80-BI$88)/8*$A108</f>
        <v>9.375</v>
      </c>
      <c r="BJ89" s="67" t="str">
        <f t="shared" ref="BJ89" si="715">IF(BJ$110=0,"",REPT("█",BJ108/BJ$110*10))</f>
        <v/>
      </c>
      <c r="BK89" s="36">
        <f t="shared" ref="BK89" si="716">BK$80-(BK$80-BK$88)/8*$A108</f>
        <v>27.75</v>
      </c>
      <c r="BL89" s="67" t="str">
        <f t="shared" ref="BL89" si="717">IF(BL$110=0,"",REPT("█",BL108/BL$110*10))</f>
        <v/>
      </c>
      <c r="BM89" s="36">
        <f t="shared" ref="BM89" si="718">BM$80-(BM$80-BM$88)/8*$A108</f>
        <v>0.875</v>
      </c>
      <c r="BN89" s="67" t="str">
        <f t="shared" ref="BN89" si="719">IF(BN$110=0,"",REPT("█",BN108/BN$110*10))</f>
        <v/>
      </c>
      <c r="BO89" s="36">
        <f t="shared" ref="BO89" si="720">BO$80-(BO$80-BO$88)/8*$A108</f>
        <v>-1.2499999999999956E-2</v>
      </c>
      <c r="BP89" s="67" t="str">
        <f t="shared" ref="BP89" si="721">IF(BP$110=0,"",REPT("█",BP108/BP$110*10))</f>
        <v/>
      </c>
      <c r="BQ89" s="36">
        <f t="shared" ref="BQ89" si="722">BQ$80-(BQ$80-BQ$88)/8*$A108</f>
        <v>3.875</v>
      </c>
      <c r="BR89" s="67" t="str">
        <f t="shared" ref="BR89" si="723">IF(BR$110=0,"",REPT("█",BR108/BR$110*10))</f>
        <v/>
      </c>
      <c r="BS89" s="36">
        <f t="shared" ref="BS89" si="724">BS$80-(BS$80-BS$88)/8*$A108</f>
        <v>3.875</v>
      </c>
      <c r="BT89" s="67" t="str">
        <f t="shared" ref="BT89" si="725">IF(BT$110=0,"",REPT("█",BT108/BT$110*10))</f>
        <v/>
      </c>
      <c r="BU89" s="36">
        <f t="shared" ref="BU89" si="726">BU$80-(BU$80-BU$88)/8*$A108</f>
        <v>1.625</v>
      </c>
      <c r="BV89" s="67" t="str">
        <f t="shared" ref="BV89" si="727">IF(BV$110=0,"",REPT("█",BV108/BV$110*10))</f>
        <v/>
      </c>
      <c r="BW89" s="36">
        <f t="shared" ref="BW89" si="728">BW$80-(BW$80-BW$88)/8*$A108</f>
        <v>1.0625</v>
      </c>
      <c r="BX89" s="67" t="str">
        <f t="shared" ref="BX89" si="729">IF(BX$110=0,"",REPT("█",BX108/BX$110*10))</f>
        <v/>
      </c>
      <c r="BY89" s="36">
        <f t="shared" ref="BY89" si="730">BY$80-(BY$80-BY$88)/8*$A108</f>
        <v>8.8125</v>
      </c>
      <c r="BZ89" s="67" t="str">
        <f t="shared" ref="BZ89" si="731">IF(BZ$110=0,"",REPT("█",BZ108/BZ$110*10))</f>
        <v/>
      </c>
      <c r="CA89" s="36">
        <f t="shared" ref="CA89" si="732">CA$80-(CA$80-CA$88)/8*$A108</f>
        <v>6.75</v>
      </c>
      <c r="CB89" s="67" t="str">
        <f t="shared" ref="CB89" si="733">IF(CB$110=0,"",REPT("█",CB108/CB$110*10))</f>
        <v/>
      </c>
      <c r="CC89" s="36">
        <f t="shared" ref="CC89" si="734">CC$80-(CC$80-CC$88)/8*$A108</f>
        <v>0.4375</v>
      </c>
      <c r="CD89" s="67" t="str">
        <f t="shared" ref="CD89:CF89" si="735">IF(CD$110=0,"",REPT("█",CD108/CD$110*10))</f>
        <v/>
      </c>
      <c r="CF89" s="67" t="str">
        <f t="shared" si="735"/>
        <v/>
      </c>
      <c r="CH89" s="67" t="str">
        <f t="shared" ref="CH89" si="736">IF(CH$110=0,"",REPT("█",CH108/CH$110*10))</f>
        <v/>
      </c>
    </row>
    <row r="90" spans="1:86" ht="18.75" customHeight="1" x14ac:dyDescent="0.2">
      <c r="A90" s="71" t="s">
        <v>141</v>
      </c>
      <c r="B90" s="53"/>
      <c r="C90" s="53"/>
      <c r="D90" s="53"/>
      <c r="E90" s="64">
        <f t="shared" si="667"/>
        <v>8.75</v>
      </c>
      <c r="F90" s="41" t="str">
        <f t="shared" si="39"/>
        <v/>
      </c>
      <c r="G90" s="36">
        <f t="shared" si="668"/>
        <v>0</v>
      </c>
      <c r="H90" s="41" t="str">
        <f t="shared" si="40"/>
        <v/>
      </c>
      <c r="I90" s="36">
        <f t="shared" si="669"/>
        <v>252.5</v>
      </c>
      <c r="J90" s="41" t="str">
        <f t="shared" si="41"/>
        <v/>
      </c>
      <c r="K90" s="36">
        <f t="shared" si="670"/>
        <v>252.5</v>
      </c>
      <c r="L90" s="41" t="str">
        <f t="shared" si="42"/>
        <v/>
      </c>
      <c r="M90" s="36">
        <f t="shared" si="671"/>
        <v>249.5</v>
      </c>
      <c r="N90" s="41" t="str">
        <f t="shared" si="43"/>
        <v>██████████</v>
      </c>
      <c r="O90" s="36">
        <f t="shared" si="672"/>
        <v>249.5</v>
      </c>
      <c r="P90" s="41" t="str">
        <f t="shared" si="44"/>
        <v>██████████</v>
      </c>
      <c r="Q90" s="36">
        <f t="shared" si="673"/>
        <v>249.5</v>
      </c>
      <c r="R90" s="41" t="str">
        <f t="shared" si="45"/>
        <v>██████████</v>
      </c>
      <c r="S90" s="36">
        <f t="shared" si="674"/>
        <v>262.5</v>
      </c>
      <c r="T90" s="41" t="str">
        <f t="shared" si="46"/>
        <v/>
      </c>
      <c r="U90" s="36">
        <f t="shared" si="675"/>
        <v>262.5</v>
      </c>
      <c r="V90" s="41" t="str">
        <f t="shared" si="47"/>
        <v/>
      </c>
      <c r="W90" s="36">
        <f t="shared" ref="W90" si="737">W$80-(W$80-W$88)/8*$A109</f>
        <v>0</v>
      </c>
      <c r="X90" s="41" t="str">
        <f t="shared" ref="X90" si="738">IF(X$110=0,"",REPT("█",X109/X$110*10))</f>
        <v/>
      </c>
      <c r="Y90" s="36">
        <f t="shared" ref="Y90" si="739">Y$80-(Y$80-Y$88)/8*$A109</f>
        <v>0</v>
      </c>
      <c r="Z90" s="41" t="str">
        <f t="shared" ref="Z90" si="740">IF(Z$110=0,"",REPT("█",Z109/Z$110*10))</f>
        <v/>
      </c>
      <c r="AA90" s="36">
        <f t="shared" ref="AA90" si="741">AA$80-(AA$80-AA$88)/8*$A109</f>
        <v>247.5</v>
      </c>
      <c r="AB90" s="41" t="str">
        <f t="shared" ref="AB90" si="742">IF(AB$110=0,"",REPT("█",AB109/AB$110*10))</f>
        <v/>
      </c>
      <c r="AC90" s="36">
        <f t="shared" ref="AC90" si="743">AC$80-(AC$80-AC$88)/8*$A109</f>
        <v>257.5</v>
      </c>
      <c r="AD90" s="41" t="str">
        <f t="shared" ref="AD90" si="744">IF(AD$110=0,"",REPT("█",AD109/AD$110*10))</f>
        <v/>
      </c>
      <c r="AE90" s="36">
        <f t="shared" ref="AE90" si="745">AE$80-(AE$80-AE$88)/8*$A109</f>
        <v>257.5</v>
      </c>
      <c r="AF90" s="41" t="str">
        <f t="shared" ref="AF90" si="746">IF(AF$110=0,"",REPT("█",AF109/AF$110*10))</f>
        <v/>
      </c>
      <c r="AG90" s="36">
        <f t="shared" ref="AG90" si="747">AG$80-(AG$80-AG$88)/8*$A109</f>
        <v>252.5</v>
      </c>
      <c r="AH90" s="41" t="str">
        <f t="shared" ref="AH90" si="748">IF(AH$110=0,"",REPT("█",AH109/AH$110*10))</f>
        <v>██████████</v>
      </c>
      <c r="AI90" s="36">
        <f t="shared" ref="AI90" si="749">AI$80-(AI$80-AI$88)/8*$A109</f>
        <v>267.5</v>
      </c>
      <c r="AJ90" s="41" t="str">
        <f t="shared" ref="AJ90" si="750">IF(AJ$110=0,"",REPT("█",AJ109/AJ$110*10))</f>
        <v/>
      </c>
      <c r="AK90" s="36">
        <f t="shared" ref="AK90" si="751">AK$80-(AK$80-AK$88)/8*$A109</f>
        <v>267.5</v>
      </c>
      <c r="AL90" s="41" t="str">
        <f t="shared" ref="AL90" si="752">IF(AL$110=0,"",REPT("█",AL109/AL$110*10))</f>
        <v>██</v>
      </c>
      <c r="AM90" s="36">
        <f t="shared" ref="AM90" si="753">AM$80-(AM$80-AM$88)/8*$A109</f>
        <v>267.5</v>
      </c>
      <c r="AN90" s="41" t="str">
        <f t="shared" ref="AN90" si="754">IF(AN$110=0,"",REPT("█",AN109/AN$110*10))</f>
        <v/>
      </c>
      <c r="AO90" s="36">
        <f t="shared" ref="AO90" si="755">AO$80-(AO$80-AO$88)/8*$A109</f>
        <v>0</v>
      </c>
      <c r="AP90" s="41" t="str">
        <f t="shared" ref="AP90" si="756">IF(AP$110=0,"",REPT("█",AP109/AP$110*10))</f>
        <v/>
      </c>
      <c r="AQ90" s="36">
        <f t="shared" ref="AQ90" si="757">AQ$80-(AQ$80-AQ$88)/8*$A109</f>
        <v>282.5</v>
      </c>
      <c r="AR90" s="41" t="str">
        <f t="shared" ref="AR90" si="758">IF(AR$110=0,"",REPT("█",AR109/AR$110*10))</f>
        <v>██████████</v>
      </c>
      <c r="AS90" s="36">
        <f t="shared" ref="AS90" si="759">AS$80-(AS$80-AS$88)/8*$A109</f>
        <v>297.5</v>
      </c>
      <c r="AT90" s="41" t="str">
        <f t="shared" ref="AT90" si="760">IF(AT$110=0,"",REPT("█",AT109/AT$110*10))</f>
        <v/>
      </c>
      <c r="AU90" s="36">
        <f t="shared" ref="AU90" si="761">AU$80-(AU$80-AU$88)/8*$A109</f>
        <v>307.5</v>
      </c>
      <c r="AV90" s="41" t="str">
        <f t="shared" ref="AV90" si="762">IF(AV$110=0,"",REPT("█",AV109/AV$110*10))</f>
        <v>██████████</v>
      </c>
      <c r="AW90" s="36">
        <f t="shared" ref="AW90" si="763">AW$80-(AW$80-AW$88)/8*$A109</f>
        <v>411.25</v>
      </c>
      <c r="AX90" s="41" t="str">
        <f t="shared" ref="AX90" si="764">IF(AX$110=0,"",REPT("█",AX109/AX$110*10))</f>
        <v/>
      </c>
      <c r="AY90" s="36">
        <f t="shared" ref="AY90" si="765">AY$80-(AY$80-AY$88)/8*$A109</f>
        <v>18.75</v>
      </c>
      <c r="AZ90" s="41" t="str">
        <f t="shared" ref="AZ90" si="766">IF(AZ$110=0,"",REPT("█",AZ109/AZ$110*10))</f>
        <v/>
      </c>
      <c r="BA90" s="36">
        <f t="shared" ref="BA90" si="767">BA$80-(BA$80-BA$88)/8*$A109</f>
        <v>72.5</v>
      </c>
      <c r="BB90" s="41" t="str">
        <f t="shared" ref="BB90" si="768">IF(BB$110=0,"",REPT("█",BB109/BB$110*10))</f>
        <v/>
      </c>
      <c r="BC90" s="36">
        <f t="shared" ref="BC90" si="769">BC$80-(BC$80-BC$88)/8*$A109</f>
        <v>34.75</v>
      </c>
      <c r="BD90" s="41" t="str">
        <f t="shared" ref="BD90" si="770">IF(BD$110=0,"",REPT("█",BD109/BD$110*10))</f>
        <v/>
      </c>
      <c r="BE90" s="36">
        <f t="shared" ref="BE90" si="771">BE$80-(BE$80-BE$88)/8*$A109</f>
        <v>0.77500000000000002</v>
      </c>
      <c r="BF90" s="41" t="str">
        <f t="shared" ref="BF90" si="772">IF(BF$110=0,"",REPT("█",BF109/BF$110*10))</f>
        <v/>
      </c>
      <c r="BG90" s="36">
        <f t="shared" ref="BG90" si="773">BG$80-(BG$80-BG$88)/8*$A109</f>
        <v>81.25</v>
      </c>
      <c r="BH90" s="41" t="str">
        <f t="shared" ref="BH90" si="774">IF(BH$110=0,"",REPT("█",BH109/BH$110*10))</f>
        <v/>
      </c>
      <c r="BI90" s="36">
        <f t="shared" ref="BI90" si="775">BI$80-(BI$80-BI$88)/8*$A109</f>
        <v>8.75</v>
      </c>
      <c r="BJ90" s="41" t="str">
        <f t="shared" ref="BJ90" si="776">IF(BJ$110=0,"",REPT("█",BJ109/BJ$110*10))</f>
        <v/>
      </c>
      <c r="BK90" s="36">
        <f t="shared" ref="BK90" si="777">BK$80-(BK$80-BK$88)/8*$A109</f>
        <v>27.5</v>
      </c>
      <c r="BL90" s="41" t="str">
        <f t="shared" ref="BL90" si="778">IF(BL$110=0,"",REPT("█",BL109/BL$110*10))</f>
        <v/>
      </c>
      <c r="BM90" s="36">
        <f t="shared" ref="BM90" si="779">BM$80-(BM$80-BM$88)/8*$A109</f>
        <v>0.75</v>
      </c>
      <c r="BN90" s="41" t="str">
        <f t="shared" ref="BN90" si="780">IF(BN$110=0,"",REPT("█",BN109/BN$110*10))</f>
        <v/>
      </c>
      <c r="BO90" s="36">
        <f t="shared" ref="BO90" si="781">BO$80-(BO$80-BO$88)/8*$A109</f>
        <v>-0.125</v>
      </c>
      <c r="BP90" s="41" t="str">
        <f t="shared" ref="BP90" si="782">IF(BP$110=0,"",REPT("█",BP109/BP$110*10))</f>
        <v/>
      </c>
      <c r="BQ90" s="36">
        <f t="shared" ref="BQ90" si="783">BQ$80-(BQ$80-BQ$88)/8*$A109</f>
        <v>3.75</v>
      </c>
      <c r="BR90" s="41" t="str">
        <f t="shared" ref="BR90" si="784">IF(BR$110=0,"",REPT("█",BR109/BR$110*10))</f>
        <v/>
      </c>
      <c r="BS90" s="36">
        <f t="shared" ref="BS90" si="785">BS$80-(BS$80-BS$88)/8*$A109</f>
        <v>3.75</v>
      </c>
      <c r="BT90" s="41" t="str">
        <f t="shared" ref="BT90" si="786">IF(BT$110=0,"",REPT("█",BT109/BT$110*10))</f>
        <v/>
      </c>
      <c r="BU90" s="36">
        <f t="shared" ref="BU90" si="787">BU$80-(BU$80-BU$88)/8*$A109</f>
        <v>1.25</v>
      </c>
      <c r="BV90" s="41" t="str">
        <f t="shared" ref="BV90" si="788">IF(BV$110=0,"",REPT("█",BV109/BV$110*10))</f>
        <v/>
      </c>
      <c r="BW90" s="36">
        <f t="shared" ref="BW90" si="789">BW$80-(BW$80-BW$88)/8*$A109</f>
        <v>0.625</v>
      </c>
      <c r="BX90" s="41" t="str">
        <f t="shared" ref="BX90" si="790">IF(BX$110=0,"",REPT("█",BX109/BX$110*10))</f>
        <v>██████████</v>
      </c>
      <c r="BY90" s="36">
        <f t="shared" ref="BY90" si="791">BY$80-(BY$80-BY$88)/8*$A109</f>
        <v>8.125</v>
      </c>
      <c r="BZ90" s="41" t="str">
        <f t="shared" ref="BZ90" si="792">IF(BZ$110=0,"",REPT("█",BZ109/BZ$110*10))</f>
        <v/>
      </c>
      <c r="CA90" s="36">
        <f t="shared" ref="CA90" si="793">CA$80-(CA$80-CA$88)/8*$A109</f>
        <v>6.5</v>
      </c>
      <c r="CB90" s="41" t="str">
        <f t="shared" ref="CB90" si="794">IF(CB$110=0,"",REPT("█",CB109/CB$110*10))</f>
        <v/>
      </c>
      <c r="CC90" s="36">
        <f t="shared" ref="CC90" si="795">CC$80-(CC$80-CC$88)/8*$A109</f>
        <v>0.375</v>
      </c>
      <c r="CD90" s="41" t="str">
        <f t="shared" ref="CD90:CF90" si="796">IF(CD$110=0,"",REPT("█",CD109/CD$110*10))</f>
        <v/>
      </c>
      <c r="CF90" s="41" t="str">
        <f t="shared" si="796"/>
        <v/>
      </c>
      <c r="CH90" s="41" t="str">
        <f t="shared" ref="CH90" si="797">IF(CH$110=0,"",REPT("█",CH109/CH$110*10))</f>
        <v/>
      </c>
    </row>
    <row r="91" spans="1:86" ht="13.5" customHeight="1" x14ac:dyDescent="0.2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52"/>
      <c r="Z91" s="42"/>
      <c r="AA91" s="52"/>
      <c r="AB91" s="42"/>
      <c r="AC91" s="52"/>
      <c r="AD91" s="42"/>
      <c r="AF91" s="42"/>
      <c r="AH91" s="42"/>
      <c r="AJ91" s="42"/>
      <c r="AL91" s="42"/>
      <c r="AN91" s="42"/>
      <c r="AP91" s="42"/>
      <c r="AR91" s="42"/>
      <c r="AT91" s="42"/>
      <c r="AV91" s="42"/>
      <c r="AX91" s="42"/>
      <c r="AZ91" s="42"/>
      <c r="BB91" s="42"/>
      <c r="BD91" s="42"/>
      <c r="BF91" s="42"/>
      <c r="BH91" s="42"/>
      <c r="BJ91" s="42"/>
      <c r="BL91" s="42"/>
      <c r="BN91" s="42"/>
      <c r="BP91" s="42"/>
      <c r="BR91" s="42"/>
      <c r="BT91" s="42"/>
      <c r="BV91" s="42"/>
      <c r="BX91" s="42"/>
      <c r="BZ91" s="42"/>
      <c r="CB91" s="42"/>
      <c r="CD91" s="42"/>
      <c r="CF91" s="42"/>
      <c r="CH91" s="42"/>
    </row>
    <row r="92" spans="1:86" ht="14.25" customHeight="1" thickBot="1" x14ac:dyDescent="0.25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F92" s="52"/>
      <c r="AH92" s="52"/>
      <c r="AJ92" s="52"/>
      <c r="AL92" s="52"/>
      <c r="AN92" s="52"/>
      <c r="AP92" s="52"/>
      <c r="AR92" s="52"/>
      <c r="AT92" s="52"/>
      <c r="AV92" s="52"/>
      <c r="AX92" s="52"/>
      <c r="AZ92" s="52"/>
      <c r="BB92" s="52"/>
      <c r="BD92" s="52"/>
      <c r="BF92" s="52"/>
      <c r="BH92" s="52"/>
      <c r="BJ92" s="52"/>
      <c r="BL92" s="52"/>
      <c r="BN92" s="52"/>
      <c r="BP92" s="52"/>
      <c r="BR92" s="52"/>
      <c r="BT92" s="52"/>
      <c r="BV92" s="52"/>
      <c r="BX92" s="52"/>
      <c r="BZ92" s="52"/>
      <c r="CB92" s="52"/>
      <c r="CD92" s="52"/>
      <c r="CF92" s="52"/>
      <c r="CH92" s="52"/>
    </row>
    <row r="93" spans="1:86" ht="18.75" customHeight="1" thickBot="1" x14ac:dyDescent="0.25">
      <c r="A93" s="124" t="s">
        <v>142</v>
      </c>
      <c r="B93" s="124"/>
      <c r="C93" s="124"/>
      <c r="D93" s="124"/>
      <c r="E93" s="121"/>
      <c r="F93" s="125"/>
      <c r="G93" s="126" t="s">
        <v>143</v>
      </c>
      <c r="H93" s="127"/>
      <c r="I93" s="127"/>
      <c r="J93" s="128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F93" s="52"/>
      <c r="AH93" s="52"/>
      <c r="AJ93" s="52"/>
      <c r="AL93" s="52"/>
      <c r="AN93" s="52"/>
      <c r="AP93" s="52"/>
      <c r="AR93" s="52"/>
      <c r="AT93" s="52"/>
      <c r="AV93" s="52"/>
      <c r="AX93" s="52"/>
      <c r="AZ93" s="52"/>
      <c r="BB93" s="52"/>
      <c r="BD93" s="52"/>
      <c r="BF93" s="52"/>
      <c r="BH93" s="52"/>
      <c r="BJ93" s="52"/>
      <c r="BL93" s="52"/>
      <c r="BN93" s="52"/>
      <c r="BP93" s="52"/>
      <c r="BR93" s="52"/>
      <c r="BT93" s="52"/>
      <c r="BV93" s="52"/>
      <c r="BX93" s="52"/>
      <c r="BZ93" s="52"/>
      <c r="CB93" s="52"/>
      <c r="CD93" s="52"/>
      <c r="CF93" s="52"/>
      <c r="CH93" s="52"/>
    </row>
    <row r="94" spans="1:86" ht="13.5" customHeight="1" x14ac:dyDescent="0.2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F94" s="52"/>
      <c r="AH94" s="52"/>
      <c r="AJ94" s="52"/>
      <c r="AL94" s="52"/>
      <c r="AN94" s="52"/>
      <c r="AP94" s="52"/>
      <c r="AR94" s="52"/>
      <c r="AT94" s="52"/>
      <c r="AV94" s="52"/>
      <c r="AX94" s="52"/>
      <c r="AZ94" s="52"/>
      <c r="BB94" s="52"/>
      <c r="BD94" s="52"/>
      <c r="BF94" s="52"/>
      <c r="BH94" s="52"/>
      <c r="BJ94" s="52"/>
      <c r="BL94" s="52"/>
      <c r="BN94" s="52"/>
      <c r="BP94" s="52"/>
      <c r="BR94" s="52"/>
      <c r="BT94" s="52"/>
      <c r="BV94" s="52"/>
      <c r="BX94" s="52"/>
      <c r="BZ94" s="52"/>
      <c r="CB94" s="52"/>
      <c r="CD94" s="52"/>
      <c r="CF94" s="52"/>
      <c r="CH94" s="52"/>
    </row>
    <row r="95" spans="1:86" ht="13.5" customHeight="1" x14ac:dyDescent="0.2">
      <c r="A95" s="51" t="s">
        <v>144</v>
      </c>
      <c r="B95" s="51"/>
      <c r="C95" s="51"/>
      <c r="D95" s="51"/>
      <c r="E95" s="72"/>
      <c r="F95" s="51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2"/>
      <c r="AQ95" s="72"/>
      <c r="AR95" s="72"/>
      <c r="AS95" s="72"/>
      <c r="AT95" s="72"/>
      <c r="AU95" s="72"/>
      <c r="AV95" s="72"/>
      <c r="AW95" s="72"/>
      <c r="AX95" s="72"/>
      <c r="AY95" s="72"/>
      <c r="AZ95" s="72"/>
      <c r="BA95" s="72"/>
      <c r="BB95" s="72"/>
      <c r="BC95" s="72"/>
      <c r="BD95" s="72"/>
      <c r="BE95" s="72"/>
      <c r="BF95" s="72"/>
      <c r="BG95" s="72"/>
      <c r="BH95" s="72"/>
      <c r="BI95" s="72"/>
      <c r="BJ95" s="72"/>
      <c r="BK95" s="72"/>
      <c r="BL95" s="72"/>
      <c r="BM95" s="72"/>
      <c r="BN95" s="72"/>
      <c r="BO95" s="72"/>
      <c r="BP95" s="72"/>
      <c r="BQ95" s="72"/>
      <c r="BR95" s="72"/>
      <c r="BS95" s="72"/>
      <c r="BT95" s="72"/>
      <c r="BU95" s="72"/>
      <c r="BV95" s="72"/>
      <c r="BW95" s="72"/>
      <c r="BX95" s="72"/>
      <c r="BY95" s="72"/>
      <c r="BZ95" s="72"/>
      <c r="CA95" s="72"/>
      <c r="CB95" s="72"/>
      <c r="CC95" s="72"/>
      <c r="CD95" s="72"/>
      <c r="CF95" s="72"/>
      <c r="CH95" s="72"/>
    </row>
    <row r="96" spans="1:86" ht="13.5" customHeight="1" x14ac:dyDescent="0.2">
      <c r="A96" s="51" t="s">
        <v>145</v>
      </c>
      <c r="B96" s="51"/>
      <c r="C96" s="51"/>
      <c r="D96" s="51"/>
      <c r="E96" s="72"/>
      <c r="F96" s="51" t="s">
        <v>146</v>
      </c>
      <c r="G96" s="72"/>
      <c r="H96" s="72" t="s">
        <v>146</v>
      </c>
      <c r="I96" s="72"/>
      <c r="J96" s="72" t="s">
        <v>146</v>
      </c>
      <c r="K96" s="72"/>
      <c r="L96" s="72" t="s">
        <v>146</v>
      </c>
      <c r="M96" s="72"/>
      <c r="N96" s="72" t="s">
        <v>146</v>
      </c>
      <c r="O96" s="72"/>
      <c r="P96" s="72" t="s">
        <v>146</v>
      </c>
      <c r="Q96" s="72"/>
      <c r="R96" s="72" t="s">
        <v>146</v>
      </c>
      <c r="S96" s="72"/>
      <c r="T96" s="72" t="s">
        <v>146</v>
      </c>
      <c r="U96" s="72"/>
      <c r="V96" s="72" t="s">
        <v>146</v>
      </c>
      <c r="W96" s="72"/>
      <c r="X96" s="72" t="s">
        <v>146</v>
      </c>
      <c r="Y96" s="72"/>
      <c r="Z96" s="72" t="s">
        <v>146</v>
      </c>
      <c r="AA96" s="72"/>
      <c r="AB96" s="72" t="s">
        <v>146</v>
      </c>
      <c r="AC96" s="72"/>
      <c r="AD96" s="72" t="s">
        <v>146</v>
      </c>
      <c r="AE96" s="72"/>
      <c r="AF96" s="72" t="s">
        <v>146</v>
      </c>
      <c r="AG96" s="72"/>
      <c r="AH96" s="72" t="s">
        <v>146</v>
      </c>
      <c r="AI96" s="72"/>
      <c r="AJ96" s="72" t="s">
        <v>146</v>
      </c>
      <c r="AK96" s="72"/>
      <c r="AL96" s="72" t="s">
        <v>146</v>
      </c>
      <c r="AM96" s="72"/>
      <c r="AN96" s="72" t="s">
        <v>146</v>
      </c>
      <c r="AO96" s="72"/>
      <c r="AP96" s="72" t="s">
        <v>146</v>
      </c>
      <c r="AQ96" s="72"/>
      <c r="AR96" s="72" t="s">
        <v>146</v>
      </c>
      <c r="AS96" s="72"/>
      <c r="AT96" s="72" t="s">
        <v>146</v>
      </c>
      <c r="AU96" s="72"/>
      <c r="AV96" s="72" t="s">
        <v>146</v>
      </c>
      <c r="AW96" s="72"/>
      <c r="AX96" s="72" t="s">
        <v>146</v>
      </c>
      <c r="AY96" s="72"/>
      <c r="AZ96" s="72" t="s">
        <v>146</v>
      </c>
      <c r="BA96" s="72"/>
      <c r="BB96" s="72" t="s">
        <v>146</v>
      </c>
      <c r="BC96" s="72"/>
      <c r="BD96" s="72" t="s">
        <v>146</v>
      </c>
      <c r="BE96" s="72"/>
      <c r="BF96" s="72" t="s">
        <v>146</v>
      </c>
      <c r="BG96" s="72"/>
      <c r="BH96" s="72" t="s">
        <v>146</v>
      </c>
      <c r="BI96" s="72"/>
      <c r="BJ96" s="72" t="s">
        <v>146</v>
      </c>
      <c r="BK96" s="72"/>
      <c r="BL96" s="72" t="s">
        <v>146</v>
      </c>
      <c r="BM96" s="72"/>
      <c r="BN96" s="72" t="s">
        <v>146</v>
      </c>
      <c r="BO96" s="72"/>
      <c r="BP96" s="72" t="s">
        <v>146</v>
      </c>
      <c r="BQ96" s="72"/>
      <c r="BR96" s="72" t="s">
        <v>146</v>
      </c>
      <c r="BS96" s="72"/>
      <c r="BT96" s="72" t="s">
        <v>146</v>
      </c>
      <c r="BU96" s="72"/>
      <c r="BV96" s="72" t="s">
        <v>146</v>
      </c>
      <c r="BW96" s="72"/>
      <c r="BX96" s="72" t="s">
        <v>146</v>
      </c>
      <c r="BY96" s="72"/>
      <c r="BZ96" s="72" t="s">
        <v>146</v>
      </c>
      <c r="CA96" s="72"/>
      <c r="CB96" s="72" t="s">
        <v>146</v>
      </c>
      <c r="CC96" s="72"/>
      <c r="CD96" s="72" t="s">
        <v>146</v>
      </c>
      <c r="CF96" s="72" t="s">
        <v>146</v>
      </c>
      <c r="CH96" s="72" t="s">
        <v>146</v>
      </c>
    </row>
    <row r="97" spans="1:86" ht="13.5" customHeight="1" x14ac:dyDescent="0.2">
      <c r="A97" s="56">
        <v>-2</v>
      </c>
      <c r="B97" s="56"/>
      <c r="C97" s="56"/>
      <c r="D97" s="56"/>
      <c r="E97" s="72"/>
      <c r="F97" s="51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2"/>
      <c r="AQ97" s="72"/>
      <c r="AR97" s="72"/>
      <c r="AS97" s="72"/>
      <c r="AT97" s="72"/>
      <c r="AU97" s="72"/>
      <c r="AV97" s="72"/>
      <c r="AW97" s="72"/>
      <c r="AX97" s="72"/>
      <c r="AY97" s="72"/>
      <c r="AZ97" s="72"/>
      <c r="BA97" s="72"/>
      <c r="BB97" s="72"/>
      <c r="BC97" s="72"/>
      <c r="BD97" s="72"/>
      <c r="BE97" s="72"/>
      <c r="BF97" s="72"/>
      <c r="BG97" s="72"/>
      <c r="BH97" s="72"/>
      <c r="BI97" s="72"/>
      <c r="BJ97" s="72"/>
      <c r="BK97" s="72"/>
      <c r="BL97" s="72"/>
      <c r="BM97" s="72"/>
      <c r="BN97" s="72"/>
      <c r="BO97" s="72"/>
      <c r="BP97" s="72"/>
      <c r="BQ97" s="72"/>
      <c r="BR97" s="72"/>
      <c r="BS97" s="72"/>
      <c r="BT97" s="72"/>
      <c r="BU97" s="72"/>
      <c r="BV97" s="72"/>
      <c r="BW97" s="72"/>
      <c r="BX97" s="72"/>
      <c r="BY97" s="72"/>
      <c r="BZ97" s="72"/>
      <c r="CA97" s="72"/>
      <c r="CB97" s="72"/>
      <c r="CC97" s="72"/>
      <c r="CD97" s="72"/>
      <c r="CF97" s="72"/>
      <c r="CH97" s="72"/>
    </row>
    <row r="98" spans="1:86" ht="13.5" customHeight="1" x14ac:dyDescent="0.2">
      <c r="A98" s="56">
        <v>-1</v>
      </c>
      <c r="B98" s="56"/>
      <c r="C98" s="56"/>
      <c r="D98" s="56"/>
      <c r="E98" s="72"/>
      <c r="F98" s="73">
        <f t="shared" ref="F98:F109" si="798">COUNTIF(F$17:F$67,"&gt;="&amp;FIXED(E79,5))-COUNTIF(F$17:F$67,"&gt;="&amp;FIXED(E78,5))</f>
        <v>0</v>
      </c>
      <c r="G98" s="72"/>
      <c r="H98" s="74">
        <f t="shared" ref="H98:H109" si="799">COUNTIF(H$17:H$67,"&gt;="&amp;FIXED(G79,5))-COUNTIF(H$17:H$67,"&gt;="&amp;FIXED(G78,5))</f>
        <v>0</v>
      </c>
      <c r="I98" s="72"/>
      <c r="J98" s="74">
        <f t="shared" ref="J98:J109" si="800">COUNTIF(J$17:J$67,"&gt;="&amp;FIXED(I79,5))-COUNTIF(J$17:J$67,"&gt;="&amp;FIXED(I78,5))</f>
        <v>0</v>
      </c>
      <c r="K98" s="72"/>
      <c r="L98" s="74">
        <f t="shared" ref="L98:L109" si="801">COUNTIF(L$17:L$67,"&gt;="&amp;FIXED(K79,5))-COUNTIF(L$17:L$67,"&gt;="&amp;FIXED(K78,5))</f>
        <v>0</v>
      </c>
      <c r="M98" s="72"/>
      <c r="N98" s="74">
        <f t="shared" ref="N98:N109" si="802">COUNTIF(N$17:N$67,"&gt;="&amp;FIXED(M79,5))-COUNTIF(N$17:N$67,"&gt;="&amp;FIXED(M78,5))</f>
        <v>0</v>
      </c>
      <c r="O98" s="72"/>
      <c r="P98" s="74">
        <f t="shared" ref="P98:P109" si="803">COUNTIF(P$17:P$67,"&gt;="&amp;FIXED(O79,5))-COUNTIF(P$17:P$67,"&gt;="&amp;FIXED(O78,5))</f>
        <v>0</v>
      </c>
      <c r="Q98" s="72"/>
      <c r="R98" s="74">
        <f t="shared" ref="R98:R109" si="804">COUNTIF(R$17:R$67,"&gt;="&amp;FIXED(Q79,5))-COUNTIF(R$17:R$67,"&gt;="&amp;FIXED(Q78,5))</f>
        <v>0</v>
      </c>
      <c r="S98" s="72"/>
      <c r="T98" s="74">
        <f t="shared" ref="T98:T109" si="805">COUNTIF(T$17:T$67,"&gt;="&amp;FIXED(S79,5))-COUNTIF(T$17:T$67,"&gt;="&amp;FIXED(S78,5))</f>
        <v>0</v>
      </c>
      <c r="U98" s="72"/>
      <c r="V98" s="74">
        <f t="shared" ref="V98:V109" si="806">COUNTIF(V$17:V$67,"&gt;="&amp;FIXED(U79,5))-COUNTIF(V$17:V$67,"&gt;="&amp;FIXED(U78,5))</f>
        <v>0</v>
      </c>
      <c r="W98" s="72"/>
      <c r="X98" s="74">
        <f t="shared" ref="X98:X109" si="807">COUNTIF(X$17:X$67,"&gt;="&amp;FIXED(W79,5))-COUNTIF(X$17:X$67,"&gt;="&amp;FIXED(W78,5))</f>
        <v>0</v>
      </c>
      <c r="Y98" s="72"/>
      <c r="Z98" s="74">
        <f t="shared" ref="Z98:Z109" si="808">COUNTIF(Z$17:Z$67,"&gt;="&amp;FIXED(Y79,5))-COUNTIF(Z$17:Z$67,"&gt;="&amp;FIXED(Y78,5))</f>
        <v>0</v>
      </c>
      <c r="AA98" s="72"/>
      <c r="AB98" s="74">
        <f t="shared" ref="AB98:AB109" si="809">COUNTIF(AB$17:AB$67,"&gt;="&amp;FIXED(AA79,5))-COUNTIF(AB$17:AB$67,"&gt;="&amp;FIXED(AA78,5))</f>
        <v>0</v>
      </c>
      <c r="AC98" s="72"/>
      <c r="AD98" s="74">
        <f t="shared" ref="AD98:AD109" si="810">COUNTIF(AD$17:AD$67,"&gt;="&amp;FIXED(AC79,5))-COUNTIF(AD$17:AD$67,"&gt;="&amp;FIXED(AC78,5))</f>
        <v>0</v>
      </c>
      <c r="AE98" s="72"/>
      <c r="AF98" s="74">
        <f t="shared" ref="AF98:AF109" si="811">COUNTIF(AF$17:AF$67,"&gt;="&amp;FIXED(AE79,5))-COUNTIF(AF$17:AF$67,"&gt;="&amp;FIXED(AE78,5))</f>
        <v>0</v>
      </c>
      <c r="AG98" s="72"/>
      <c r="AH98" s="74">
        <f t="shared" ref="AH98:AH109" si="812">COUNTIF(AH$17:AH$67,"&gt;="&amp;FIXED(AG79,5))-COUNTIF(AH$17:AH$67,"&gt;="&amp;FIXED(AG78,5))</f>
        <v>2</v>
      </c>
      <c r="AI98" s="72"/>
      <c r="AJ98" s="74">
        <f t="shared" ref="AJ98:AJ109" si="813">COUNTIF(AJ$17:AJ$67,"&gt;="&amp;FIXED(AI79,5))-COUNTIF(AJ$17:AJ$67,"&gt;="&amp;FIXED(AI78,5))</f>
        <v>0</v>
      </c>
      <c r="AK98" s="72"/>
      <c r="AL98" s="74">
        <f t="shared" ref="AL98:AL109" si="814">COUNTIF(AL$17:AL$67,"&gt;="&amp;FIXED(AK79,5))-COUNTIF(AL$17:AL$67,"&gt;="&amp;FIXED(AK78,5))</f>
        <v>0</v>
      </c>
      <c r="AM98" s="72"/>
      <c r="AN98" s="74">
        <f t="shared" ref="AN98:AN109" si="815">COUNTIF(AN$17:AN$67,"&gt;="&amp;FIXED(AM79,5))-COUNTIF(AN$17:AN$67,"&gt;="&amp;FIXED(AM78,5))</f>
        <v>0</v>
      </c>
      <c r="AO98" s="72"/>
      <c r="AP98" s="74">
        <f t="shared" ref="AP98:AP109" si="816">COUNTIF(AP$17:AP$67,"&gt;="&amp;FIXED(AO79,5))-COUNTIF(AP$17:AP$67,"&gt;="&amp;FIXED(AO78,5))</f>
        <v>0</v>
      </c>
      <c r="AQ98" s="72"/>
      <c r="AR98" s="74">
        <f t="shared" ref="AR98:AR109" si="817">COUNTIF(AR$17:AR$67,"&gt;="&amp;FIXED(AQ79,5))-COUNTIF(AR$17:AR$67,"&gt;="&amp;FIXED(AQ78,5))</f>
        <v>0</v>
      </c>
      <c r="AS98" s="72"/>
      <c r="AT98" s="74">
        <f t="shared" ref="AT98:AT109" si="818">COUNTIF(AT$17:AT$67,"&gt;="&amp;FIXED(AS79,5))-COUNTIF(AT$17:AT$67,"&gt;="&amp;FIXED(AS78,5))</f>
        <v>0</v>
      </c>
      <c r="AU98" s="72"/>
      <c r="AV98" s="74">
        <f t="shared" ref="AV98:AV109" si="819">COUNTIF(AV$17:AV$67,"&gt;="&amp;FIXED(AU79,5))-COUNTIF(AV$17:AV$67,"&gt;="&amp;FIXED(AU78,5))</f>
        <v>0</v>
      </c>
      <c r="AW98" s="72"/>
      <c r="AX98" s="74">
        <f t="shared" ref="AX98:AX109" si="820">COUNTIF(AX$17:AX$67,"&gt;="&amp;FIXED(AW79,5))-COUNTIF(AX$17:AX$67,"&gt;="&amp;FIXED(AW78,5))</f>
        <v>0</v>
      </c>
      <c r="AY98" s="72"/>
      <c r="AZ98" s="74">
        <f t="shared" ref="AZ98:AZ109" si="821">COUNTIF(AZ$17:AZ$67,"&gt;="&amp;FIXED(AY79,5))-COUNTIF(AZ$17:AZ$67,"&gt;="&amp;FIXED(AY78,5))</f>
        <v>0</v>
      </c>
      <c r="BA98" s="72"/>
      <c r="BB98" s="74">
        <f t="shared" ref="BB98:BB109" si="822">COUNTIF(BB$17:BB$67,"&gt;="&amp;FIXED(BA79,5))-COUNTIF(BB$17:BB$67,"&gt;="&amp;FIXED(BA78,5))</f>
        <v>0</v>
      </c>
      <c r="BC98" s="72"/>
      <c r="BD98" s="74">
        <f t="shared" ref="BD98:BD109" si="823">COUNTIF(BD$17:BD$67,"&gt;="&amp;FIXED(BC79,5))-COUNTIF(BD$17:BD$67,"&gt;="&amp;FIXED(BC78,5))</f>
        <v>0</v>
      </c>
      <c r="BE98" s="72"/>
      <c r="BF98" s="74">
        <f t="shared" ref="BF98:BF109" si="824">COUNTIF(BF$17:BF$67,"&gt;="&amp;FIXED(BE79,5))-COUNTIF(BF$17:BF$67,"&gt;="&amp;FIXED(BE78,5))</f>
        <v>0</v>
      </c>
      <c r="BG98" s="72"/>
      <c r="BH98" s="74">
        <f t="shared" ref="BH98:BH109" si="825">COUNTIF(BH$17:BH$67,"&gt;="&amp;FIXED(BG79,5))-COUNTIF(BH$17:BH$67,"&gt;="&amp;FIXED(BG78,5))</f>
        <v>0</v>
      </c>
      <c r="BI98" s="72"/>
      <c r="BJ98" s="74">
        <f t="shared" ref="BJ98:BJ109" si="826">COUNTIF(BJ$17:BJ$67,"&gt;="&amp;FIXED(BI79,5))-COUNTIF(BJ$17:BJ$67,"&gt;="&amp;FIXED(BI78,5))</f>
        <v>0</v>
      </c>
      <c r="BK98" s="72"/>
      <c r="BL98" s="74">
        <f t="shared" ref="BL98:BL109" si="827">COUNTIF(BL$17:BL$67,"&gt;="&amp;FIXED(BK79,5))-COUNTIF(BL$17:BL$67,"&gt;="&amp;FIXED(BK78,5))</f>
        <v>0</v>
      </c>
      <c r="BM98" s="72"/>
      <c r="BN98" s="74">
        <f t="shared" ref="BN98:BN109" si="828">COUNTIF(BN$17:BN$67,"&gt;="&amp;FIXED(BM79,5))-COUNTIF(BN$17:BN$67,"&gt;="&amp;FIXED(BM78,5))</f>
        <v>0</v>
      </c>
      <c r="BO98" s="72"/>
      <c r="BP98" s="74">
        <f t="shared" ref="BP98:BP109" si="829">COUNTIF(BP$17:BP$67,"&gt;="&amp;FIXED(BO79,5))-COUNTIF(BP$17:BP$67,"&gt;="&amp;FIXED(BO78,5))</f>
        <v>0</v>
      </c>
      <c r="BQ98" s="72"/>
      <c r="BR98" s="74">
        <f t="shared" ref="BR98:BR109" si="830">COUNTIF(BR$17:BR$67,"&gt;="&amp;FIXED(BQ79,5))-COUNTIF(BR$17:BR$67,"&gt;="&amp;FIXED(BQ78,5))</f>
        <v>0</v>
      </c>
      <c r="BS98" s="72"/>
      <c r="BT98" s="74">
        <f t="shared" ref="BT98:BT109" si="831">COUNTIF(BT$17:BT$67,"&gt;="&amp;FIXED(BS79,5))-COUNTIF(BT$17:BT$67,"&gt;="&amp;FIXED(BS78,5))</f>
        <v>0</v>
      </c>
      <c r="BU98" s="72"/>
      <c r="BV98" s="74">
        <f t="shared" ref="BV98:BV109" si="832">COUNTIF(BV$17:BV$67,"&gt;="&amp;FIXED(BU79,5))-COUNTIF(BV$17:BV$67,"&gt;="&amp;FIXED(BU78,5))</f>
        <v>0</v>
      </c>
      <c r="BW98" s="72"/>
      <c r="BX98" s="74">
        <f t="shared" ref="BX98:BX109" si="833">COUNTIF(BX$17:BX$67,"&gt;="&amp;FIXED(BW79,5))-COUNTIF(BX$17:BX$67,"&gt;="&amp;FIXED(BW78,5))</f>
        <v>0</v>
      </c>
      <c r="BY98" s="72"/>
      <c r="BZ98" s="74">
        <f t="shared" ref="BZ98:BZ109" si="834">COUNTIF(BZ$17:BZ$67,"&gt;="&amp;FIXED(BY79,5))-COUNTIF(BZ$17:BZ$67,"&gt;="&amp;FIXED(BY78,5))</f>
        <v>0</v>
      </c>
      <c r="CA98" s="72"/>
      <c r="CB98" s="74">
        <f t="shared" ref="CB98:CB109" si="835">COUNTIF(CB$17:CB$67,"&gt;="&amp;FIXED(CA79,5))-COUNTIF(CB$17:CB$67,"&gt;="&amp;FIXED(CA78,5))</f>
        <v>0</v>
      </c>
      <c r="CC98" s="72"/>
      <c r="CD98" s="74">
        <f t="shared" ref="CD98:CD109" si="836">COUNTIF(CD$17:CD$67,"&gt;="&amp;FIXED(CC79,5))-COUNTIF(CD$17:CD$67,"&gt;="&amp;FIXED(CC78,5))</f>
        <v>0</v>
      </c>
      <c r="CF98" s="74">
        <f t="shared" ref="CF98:CF109" si="837">COUNTIF(CF$17:CF$67,"&gt;="&amp;FIXED(CE79,5))-COUNTIF(CF$17:CF$67,"&gt;="&amp;FIXED(CE78,5))</f>
        <v>0</v>
      </c>
      <c r="CH98" s="74">
        <f t="shared" ref="CH98:CH109" si="838">COUNTIF(CH$17:CH$67,"&gt;="&amp;FIXED(CG79,5))-COUNTIF(CH$17:CH$67,"&gt;="&amp;FIXED(CG78,5))</f>
        <v>0</v>
      </c>
    </row>
    <row r="99" spans="1:86" ht="13.5" customHeight="1" x14ac:dyDescent="0.2">
      <c r="A99" s="56">
        <v>0</v>
      </c>
      <c r="B99" s="56"/>
      <c r="C99" s="56"/>
      <c r="D99" s="56"/>
      <c r="E99" s="72"/>
      <c r="F99" s="73">
        <f t="shared" si="798"/>
        <v>1</v>
      </c>
      <c r="G99" s="72"/>
      <c r="H99" s="74">
        <f t="shared" si="799"/>
        <v>0</v>
      </c>
      <c r="I99" s="72"/>
      <c r="J99" s="74">
        <f t="shared" si="800"/>
        <v>0</v>
      </c>
      <c r="K99" s="72"/>
      <c r="L99" s="74">
        <f t="shared" si="801"/>
        <v>0</v>
      </c>
      <c r="M99" s="72"/>
      <c r="N99" s="74">
        <f t="shared" si="802"/>
        <v>0</v>
      </c>
      <c r="O99" s="72"/>
      <c r="P99" s="74">
        <f t="shared" si="803"/>
        <v>0</v>
      </c>
      <c r="Q99" s="72"/>
      <c r="R99" s="74">
        <f t="shared" si="804"/>
        <v>0</v>
      </c>
      <c r="S99" s="72"/>
      <c r="T99" s="74">
        <f t="shared" si="805"/>
        <v>0</v>
      </c>
      <c r="U99" s="72"/>
      <c r="V99" s="74">
        <f t="shared" si="806"/>
        <v>0</v>
      </c>
      <c r="W99" s="72"/>
      <c r="X99" s="74">
        <f t="shared" si="807"/>
        <v>0</v>
      </c>
      <c r="Y99" s="72"/>
      <c r="Z99" s="74">
        <f t="shared" si="808"/>
        <v>0</v>
      </c>
      <c r="AA99" s="72"/>
      <c r="AB99" s="74">
        <f t="shared" si="809"/>
        <v>0</v>
      </c>
      <c r="AC99" s="72"/>
      <c r="AD99" s="74">
        <f t="shared" si="810"/>
        <v>0</v>
      </c>
      <c r="AE99" s="72"/>
      <c r="AF99" s="74">
        <f t="shared" si="811"/>
        <v>2</v>
      </c>
      <c r="AG99" s="72"/>
      <c r="AH99" s="74">
        <f t="shared" si="812"/>
        <v>0</v>
      </c>
      <c r="AI99" s="72"/>
      <c r="AJ99" s="74">
        <f t="shared" si="813"/>
        <v>5</v>
      </c>
      <c r="AK99" s="72"/>
      <c r="AL99" s="74">
        <f t="shared" si="814"/>
        <v>5</v>
      </c>
      <c r="AM99" s="72"/>
      <c r="AN99" s="74">
        <f t="shared" si="815"/>
        <v>6</v>
      </c>
      <c r="AO99" s="72"/>
      <c r="AP99" s="74">
        <f t="shared" si="816"/>
        <v>0</v>
      </c>
      <c r="AQ99" s="72"/>
      <c r="AR99" s="74">
        <f t="shared" si="817"/>
        <v>0</v>
      </c>
      <c r="AS99" s="72"/>
      <c r="AT99" s="74">
        <f t="shared" si="818"/>
        <v>1</v>
      </c>
      <c r="AU99" s="72"/>
      <c r="AV99" s="74">
        <f t="shared" si="819"/>
        <v>0</v>
      </c>
      <c r="AW99" s="72"/>
      <c r="AX99" s="74">
        <f t="shared" si="820"/>
        <v>1</v>
      </c>
      <c r="AY99" s="72"/>
      <c r="AZ99" s="74">
        <f t="shared" si="821"/>
        <v>0</v>
      </c>
      <c r="BA99" s="72"/>
      <c r="BB99" s="74">
        <f t="shared" si="822"/>
        <v>3</v>
      </c>
      <c r="BC99" s="72"/>
      <c r="BD99" s="74">
        <f t="shared" si="823"/>
        <v>0</v>
      </c>
      <c r="BE99" s="72"/>
      <c r="BF99" s="74">
        <f t="shared" si="824"/>
        <v>7</v>
      </c>
      <c r="BG99" s="72"/>
      <c r="BH99" s="74">
        <f t="shared" si="825"/>
        <v>0</v>
      </c>
      <c r="BI99" s="72"/>
      <c r="BJ99" s="74">
        <f t="shared" si="826"/>
        <v>0</v>
      </c>
      <c r="BK99" s="72"/>
      <c r="BL99" s="74">
        <f t="shared" si="827"/>
        <v>1</v>
      </c>
      <c r="BM99" s="72"/>
      <c r="BN99" s="74">
        <f t="shared" si="828"/>
        <v>7</v>
      </c>
      <c r="BO99" s="72"/>
      <c r="BP99" s="74">
        <f t="shared" si="829"/>
        <v>0</v>
      </c>
      <c r="BQ99" s="72"/>
      <c r="BR99" s="74">
        <f t="shared" si="830"/>
        <v>8</v>
      </c>
      <c r="BS99" s="72"/>
      <c r="BT99" s="74">
        <f t="shared" si="831"/>
        <v>0</v>
      </c>
      <c r="BU99" s="72"/>
      <c r="BV99" s="74">
        <f t="shared" si="832"/>
        <v>0</v>
      </c>
      <c r="BW99" s="72"/>
      <c r="BX99" s="74">
        <f t="shared" si="833"/>
        <v>0</v>
      </c>
      <c r="BY99" s="72"/>
      <c r="BZ99" s="74">
        <f t="shared" si="834"/>
        <v>0</v>
      </c>
      <c r="CA99" s="72"/>
      <c r="CB99" s="74">
        <f t="shared" si="835"/>
        <v>0</v>
      </c>
      <c r="CC99" s="72"/>
      <c r="CD99" s="74">
        <f t="shared" si="836"/>
        <v>0</v>
      </c>
      <c r="CF99" s="74">
        <f t="shared" si="837"/>
        <v>0</v>
      </c>
      <c r="CH99" s="74">
        <f t="shared" si="838"/>
        <v>0</v>
      </c>
    </row>
    <row r="100" spans="1:86" ht="13.5" customHeight="1" x14ac:dyDescent="0.2">
      <c r="A100" s="56">
        <v>1</v>
      </c>
      <c r="B100" s="56"/>
      <c r="C100" s="56"/>
      <c r="D100" s="56"/>
      <c r="E100" s="72"/>
      <c r="F100" s="73">
        <f t="shared" si="798"/>
        <v>1</v>
      </c>
      <c r="G100" s="72"/>
      <c r="H100" s="74">
        <f t="shared" si="799"/>
        <v>0</v>
      </c>
      <c r="I100" s="72"/>
      <c r="J100" s="74">
        <f t="shared" si="800"/>
        <v>0</v>
      </c>
      <c r="K100" s="72"/>
      <c r="L100" s="74">
        <f t="shared" si="801"/>
        <v>0</v>
      </c>
      <c r="M100" s="72"/>
      <c r="N100" s="74">
        <f t="shared" si="802"/>
        <v>0</v>
      </c>
      <c r="O100" s="72"/>
      <c r="P100" s="74">
        <f t="shared" si="803"/>
        <v>0</v>
      </c>
      <c r="Q100" s="72"/>
      <c r="R100" s="74">
        <f t="shared" si="804"/>
        <v>0</v>
      </c>
      <c r="S100" s="72"/>
      <c r="T100" s="74">
        <f t="shared" si="805"/>
        <v>0</v>
      </c>
      <c r="U100" s="72"/>
      <c r="V100" s="74">
        <f t="shared" si="806"/>
        <v>0</v>
      </c>
      <c r="W100" s="72"/>
      <c r="X100" s="74">
        <f t="shared" si="807"/>
        <v>0</v>
      </c>
      <c r="Y100" s="72"/>
      <c r="Z100" s="74">
        <f t="shared" si="808"/>
        <v>0</v>
      </c>
      <c r="AA100" s="72"/>
      <c r="AB100" s="74">
        <f t="shared" si="809"/>
        <v>0</v>
      </c>
      <c r="AC100" s="72"/>
      <c r="AD100" s="74">
        <f t="shared" si="810"/>
        <v>0</v>
      </c>
      <c r="AE100" s="72"/>
      <c r="AF100" s="74">
        <f t="shared" si="811"/>
        <v>0</v>
      </c>
      <c r="AG100" s="72"/>
      <c r="AH100" s="74">
        <f t="shared" si="812"/>
        <v>0</v>
      </c>
      <c r="AI100" s="72"/>
      <c r="AJ100" s="74">
        <f t="shared" si="813"/>
        <v>0</v>
      </c>
      <c r="AK100" s="72"/>
      <c r="AL100" s="74">
        <f t="shared" si="814"/>
        <v>0</v>
      </c>
      <c r="AM100" s="72"/>
      <c r="AN100" s="74">
        <f t="shared" si="815"/>
        <v>0</v>
      </c>
      <c r="AO100" s="72"/>
      <c r="AP100" s="74">
        <f t="shared" si="816"/>
        <v>0</v>
      </c>
      <c r="AQ100" s="72"/>
      <c r="AR100" s="74">
        <f t="shared" si="817"/>
        <v>0</v>
      </c>
      <c r="AS100" s="72"/>
      <c r="AT100" s="74">
        <f t="shared" si="818"/>
        <v>1</v>
      </c>
      <c r="AU100" s="72"/>
      <c r="AV100" s="74">
        <f t="shared" si="819"/>
        <v>0</v>
      </c>
      <c r="AW100" s="72"/>
      <c r="AX100" s="74">
        <f t="shared" si="820"/>
        <v>0</v>
      </c>
      <c r="AY100" s="72"/>
      <c r="AZ100" s="74">
        <f t="shared" si="821"/>
        <v>0</v>
      </c>
      <c r="BA100" s="72"/>
      <c r="BB100" s="74">
        <f t="shared" si="822"/>
        <v>0</v>
      </c>
      <c r="BC100" s="72"/>
      <c r="BD100" s="74">
        <f t="shared" si="823"/>
        <v>0</v>
      </c>
      <c r="BE100" s="72"/>
      <c r="BF100" s="74">
        <f t="shared" si="824"/>
        <v>0</v>
      </c>
      <c r="BG100" s="72"/>
      <c r="BH100" s="74">
        <f t="shared" si="825"/>
        <v>-2</v>
      </c>
      <c r="BI100" s="72"/>
      <c r="BJ100" s="74">
        <f t="shared" si="826"/>
        <v>0</v>
      </c>
      <c r="BK100" s="72"/>
      <c r="BL100" s="74">
        <f t="shared" si="827"/>
        <v>0</v>
      </c>
      <c r="BM100" s="72"/>
      <c r="BN100" s="74">
        <f t="shared" si="828"/>
        <v>0</v>
      </c>
      <c r="BO100" s="72"/>
      <c r="BP100" s="74">
        <f t="shared" si="829"/>
        <v>0</v>
      </c>
      <c r="BQ100" s="72"/>
      <c r="BR100" s="74">
        <f t="shared" si="830"/>
        <v>0</v>
      </c>
      <c r="BS100" s="72"/>
      <c r="BT100" s="74">
        <f t="shared" si="831"/>
        <v>0</v>
      </c>
      <c r="BU100" s="72"/>
      <c r="BV100" s="74">
        <f t="shared" si="832"/>
        <v>0</v>
      </c>
      <c r="BW100" s="72"/>
      <c r="BX100" s="74">
        <f t="shared" si="833"/>
        <v>0</v>
      </c>
      <c r="BY100" s="72"/>
      <c r="BZ100" s="74">
        <f t="shared" si="834"/>
        <v>0</v>
      </c>
      <c r="CA100" s="72"/>
      <c r="CB100" s="74">
        <f t="shared" si="835"/>
        <v>0</v>
      </c>
      <c r="CC100" s="72"/>
      <c r="CD100" s="74">
        <f t="shared" si="836"/>
        <v>0</v>
      </c>
      <c r="CF100" s="74">
        <f t="shared" si="837"/>
        <v>0</v>
      </c>
      <c r="CH100" s="74">
        <f t="shared" si="838"/>
        <v>0</v>
      </c>
    </row>
    <row r="101" spans="1:86" ht="13.5" customHeight="1" x14ac:dyDescent="0.2">
      <c r="A101" s="56">
        <v>2</v>
      </c>
      <c r="B101" s="56"/>
      <c r="C101" s="56"/>
      <c r="D101" s="56"/>
      <c r="E101" s="72"/>
      <c r="F101" s="73">
        <f t="shared" si="798"/>
        <v>0</v>
      </c>
      <c r="G101" s="72"/>
      <c r="H101" s="74">
        <f t="shared" si="799"/>
        <v>0</v>
      </c>
      <c r="I101" s="72"/>
      <c r="J101" s="74">
        <f t="shared" si="800"/>
        <v>0</v>
      </c>
      <c r="K101" s="72"/>
      <c r="L101" s="74">
        <f t="shared" si="801"/>
        <v>0</v>
      </c>
      <c r="M101" s="72"/>
      <c r="N101" s="74">
        <f t="shared" si="802"/>
        <v>0</v>
      </c>
      <c r="O101" s="72"/>
      <c r="P101" s="74">
        <f t="shared" si="803"/>
        <v>0</v>
      </c>
      <c r="Q101" s="72"/>
      <c r="R101" s="74">
        <f t="shared" si="804"/>
        <v>0</v>
      </c>
      <c r="S101" s="72"/>
      <c r="T101" s="74">
        <f t="shared" si="805"/>
        <v>0</v>
      </c>
      <c r="U101" s="72"/>
      <c r="V101" s="74">
        <f t="shared" si="806"/>
        <v>0</v>
      </c>
      <c r="W101" s="72"/>
      <c r="X101" s="74">
        <f t="shared" si="807"/>
        <v>0</v>
      </c>
      <c r="Y101" s="72"/>
      <c r="Z101" s="74">
        <f t="shared" si="808"/>
        <v>0</v>
      </c>
      <c r="AA101" s="72"/>
      <c r="AB101" s="74">
        <f t="shared" si="809"/>
        <v>0</v>
      </c>
      <c r="AC101" s="72"/>
      <c r="AD101" s="74">
        <f t="shared" si="810"/>
        <v>0</v>
      </c>
      <c r="AE101" s="72"/>
      <c r="AF101" s="74">
        <f t="shared" si="811"/>
        <v>0</v>
      </c>
      <c r="AG101" s="72"/>
      <c r="AH101" s="74">
        <f t="shared" si="812"/>
        <v>2</v>
      </c>
      <c r="AI101" s="72"/>
      <c r="AJ101" s="74">
        <f t="shared" si="813"/>
        <v>0</v>
      </c>
      <c r="AK101" s="72"/>
      <c r="AL101" s="74">
        <f t="shared" si="814"/>
        <v>0</v>
      </c>
      <c r="AM101" s="72"/>
      <c r="AN101" s="74">
        <f t="shared" si="815"/>
        <v>0</v>
      </c>
      <c r="AO101" s="72"/>
      <c r="AP101" s="74">
        <f t="shared" si="816"/>
        <v>0</v>
      </c>
      <c r="AQ101" s="72"/>
      <c r="AR101" s="74">
        <f t="shared" si="817"/>
        <v>0</v>
      </c>
      <c r="AS101" s="72"/>
      <c r="AT101" s="74">
        <f t="shared" si="818"/>
        <v>2</v>
      </c>
      <c r="AU101" s="72"/>
      <c r="AV101" s="74">
        <f t="shared" si="819"/>
        <v>0</v>
      </c>
      <c r="AW101" s="72"/>
      <c r="AX101" s="74">
        <f t="shared" si="820"/>
        <v>0</v>
      </c>
      <c r="AY101" s="72"/>
      <c r="AZ101" s="74">
        <f t="shared" si="821"/>
        <v>0</v>
      </c>
      <c r="BA101" s="72"/>
      <c r="BB101" s="74">
        <f t="shared" si="822"/>
        <v>0</v>
      </c>
      <c r="BC101" s="72"/>
      <c r="BD101" s="74">
        <f t="shared" si="823"/>
        <v>0</v>
      </c>
      <c r="BE101" s="72"/>
      <c r="BF101" s="74">
        <f t="shared" si="824"/>
        <v>0</v>
      </c>
      <c r="BG101" s="72"/>
      <c r="BH101" s="74">
        <f t="shared" si="825"/>
        <v>0</v>
      </c>
      <c r="BI101" s="72"/>
      <c r="BJ101" s="74">
        <f t="shared" si="826"/>
        <v>0</v>
      </c>
      <c r="BK101" s="72"/>
      <c r="BL101" s="74">
        <f t="shared" si="827"/>
        <v>0</v>
      </c>
      <c r="BM101" s="72"/>
      <c r="BN101" s="74">
        <f t="shared" si="828"/>
        <v>0</v>
      </c>
      <c r="BO101" s="72"/>
      <c r="BP101" s="74">
        <f t="shared" si="829"/>
        <v>0</v>
      </c>
      <c r="BQ101" s="72"/>
      <c r="BR101" s="74">
        <f t="shared" si="830"/>
        <v>0</v>
      </c>
      <c r="BS101" s="72"/>
      <c r="BT101" s="74">
        <f t="shared" si="831"/>
        <v>0</v>
      </c>
      <c r="BU101" s="72"/>
      <c r="BV101" s="74">
        <f t="shared" si="832"/>
        <v>0</v>
      </c>
      <c r="BW101" s="72"/>
      <c r="BX101" s="74">
        <f t="shared" si="833"/>
        <v>0</v>
      </c>
      <c r="BY101" s="72"/>
      <c r="BZ101" s="74">
        <f t="shared" si="834"/>
        <v>0</v>
      </c>
      <c r="CA101" s="72"/>
      <c r="CB101" s="74">
        <f t="shared" si="835"/>
        <v>0</v>
      </c>
      <c r="CC101" s="72"/>
      <c r="CD101" s="74">
        <f t="shared" si="836"/>
        <v>0</v>
      </c>
      <c r="CF101" s="74">
        <f t="shared" si="837"/>
        <v>0</v>
      </c>
      <c r="CH101" s="74">
        <f t="shared" si="838"/>
        <v>0</v>
      </c>
    </row>
    <row r="102" spans="1:86" ht="13.5" customHeight="1" x14ac:dyDescent="0.2">
      <c r="A102" s="56">
        <v>3</v>
      </c>
      <c r="B102" s="56"/>
      <c r="C102" s="56"/>
      <c r="D102" s="56"/>
      <c r="E102" s="72"/>
      <c r="F102" s="73">
        <f t="shared" si="798"/>
        <v>3</v>
      </c>
      <c r="G102" s="72"/>
      <c r="H102" s="74">
        <f t="shared" si="799"/>
        <v>0</v>
      </c>
      <c r="I102" s="72"/>
      <c r="J102" s="74">
        <f t="shared" si="800"/>
        <v>0</v>
      </c>
      <c r="K102" s="72"/>
      <c r="L102" s="74">
        <f t="shared" si="801"/>
        <v>0</v>
      </c>
      <c r="M102" s="72"/>
      <c r="N102" s="74">
        <f t="shared" si="802"/>
        <v>0</v>
      </c>
      <c r="O102" s="72"/>
      <c r="P102" s="74">
        <f t="shared" si="803"/>
        <v>0</v>
      </c>
      <c r="Q102" s="72"/>
      <c r="R102" s="74">
        <f t="shared" si="804"/>
        <v>0</v>
      </c>
      <c r="S102" s="72"/>
      <c r="T102" s="74">
        <f t="shared" si="805"/>
        <v>0</v>
      </c>
      <c r="U102" s="72"/>
      <c r="V102" s="74">
        <f t="shared" si="806"/>
        <v>0</v>
      </c>
      <c r="W102" s="72"/>
      <c r="X102" s="74">
        <f t="shared" si="807"/>
        <v>0</v>
      </c>
      <c r="Y102" s="72"/>
      <c r="Z102" s="74">
        <f t="shared" si="808"/>
        <v>0</v>
      </c>
      <c r="AA102" s="72"/>
      <c r="AB102" s="74">
        <f t="shared" si="809"/>
        <v>0</v>
      </c>
      <c r="AC102" s="72"/>
      <c r="AD102" s="74">
        <f t="shared" si="810"/>
        <v>0</v>
      </c>
      <c r="AE102" s="72"/>
      <c r="AF102" s="74">
        <f t="shared" si="811"/>
        <v>0</v>
      </c>
      <c r="AG102" s="72"/>
      <c r="AH102" s="74">
        <f t="shared" si="812"/>
        <v>1</v>
      </c>
      <c r="AI102" s="72"/>
      <c r="AJ102" s="74">
        <f t="shared" si="813"/>
        <v>0</v>
      </c>
      <c r="AK102" s="72"/>
      <c r="AL102" s="74">
        <f t="shared" si="814"/>
        <v>0</v>
      </c>
      <c r="AM102" s="72"/>
      <c r="AN102" s="74">
        <f t="shared" si="815"/>
        <v>0</v>
      </c>
      <c r="AO102" s="72"/>
      <c r="AP102" s="74">
        <f t="shared" si="816"/>
        <v>0</v>
      </c>
      <c r="AQ102" s="72"/>
      <c r="AR102" s="74">
        <f t="shared" si="817"/>
        <v>0</v>
      </c>
      <c r="AS102" s="72"/>
      <c r="AT102" s="74">
        <f t="shared" si="818"/>
        <v>3</v>
      </c>
      <c r="AU102" s="72"/>
      <c r="AV102" s="74">
        <f t="shared" si="819"/>
        <v>0</v>
      </c>
      <c r="AW102" s="72"/>
      <c r="AX102" s="74">
        <f t="shared" si="820"/>
        <v>0</v>
      </c>
      <c r="AY102" s="72"/>
      <c r="AZ102" s="74">
        <f t="shared" si="821"/>
        <v>0</v>
      </c>
      <c r="BA102" s="72"/>
      <c r="BB102" s="74">
        <f t="shared" si="822"/>
        <v>0</v>
      </c>
      <c r="BC102" s="72"/>
      <c r="BD102" s="74">
        <f t="shared" si="823"/>
        <v>0</v>
      </c>
      <c r="BE102" s="72"/>
      <c r="BF102" s="74">
        <f t="shared" si="824"/>
        <v>0</v>
      </c>
      <c r="BG102" s="72"/>
      <c r="BH102" s="74">
        <f t="shared" si="825"/>
        <v>0</v>
      </c>
      <c r="BI102" s="72"/>
      <c r="BJ102" s="74">
        <f t="shared" si="826"/>
        <v>0</v>
      </c>
      <c r="BK102" s="72"/>
      <c r="BL102" s="74">
        <f t="shared" si="827"/>
        <v>0</v>
      </c>
      <c r="BM102" s="72"/>
      <c r="BN102" s="74">
        <f t="shared" si="828"/>
        <v>0</v>
      </c>
      <c r="BO102" s="72"/>
      <c r="BP102" s="74">
        <f t="shared" si="829"/>
        <v>0</v>
      </c>
      <c r="BQ102" s="72"/>
      <c r="BR102" s="74">
        <f t="shared" si="830"/>
        <v>0</v>
      </c>
      <c r="BS102" s="72"/>
      <c r="BT102" s="74">
        <f t="shared" si="831"/>
        <v>0</v>
      </c>
      <c r="BU102" s="72"/>
      <c r="BV102" s="74">
        <f t="shared" si="832"/>
        <v>0</v>
      </c>
      <c r="BW102" s="72"/>
      <c r="BX102" s="74">
        <f t="shared" si="833"/>
        <v>0</v>
      </c>
      <c r="BY102" s="72"/>
      <c r="BZ102" s="74">
        <f t="shared" si="834"/>
        <v>0</v>
      </c>
      <c r="CA102" s="72"/>
      <c r="CB102" s="74">
        <f t="shared" si="835"/>
        <v>0</v>
      </c>
      <c r="CC102" s="72"/>
      <c r="CD102" s="74">
        <f t="shared" si="836"/>
        <v>0</v>
      </c>
      <c r="CF102" s="74">
        <f t="shared" si="837"/>
        <v>0</v>
      </c>
      <c r="CH102" s="74">
        <f t="shared" si="838"/>
        <v>0</v>
      </c>
    </row>
    <row r="103" spans="1:86" ht="13.5" customHeight="1" x14ac:dyDescent="0.2">
      <c r="A103" s="56">
        <v>4</v>
      </c>
      <c r="B103" s="56"/>
      <c r="C103" s="56"/>
      <c r="D103" s="56"/>
      <c r="E103" s="72"/>
      <c r="F103" s="73">
        <f t="shared" si="798"/>
        <v>0</v>
      </c>
      <c r="G103" s="72"/>
      <c r="H103" s="74">
        <f t="shared" si="799"/>
        <v>0</v>
      </c>
      <c r="I103" s="72"/>
      <c r="J103" s="74">
        <f t="shared" si="800"/>
        <v>0</v>
      </c>
      <c r="K103" s="72"/>
      <c r="L103" s="74">
        <f t="shared" si="801"/>
        <v>0</v>
      </c>
      <c r="M103" s="72"/>
      <c r="N103" s="74">
        <f t="shared" si="802"/>
        <v>0</v>
      </c>
      <c r="O103" s="72"/>
      <c r="P103" s="74">
        <f t="shared" si="803"/>
        <v>0</v>
      </c>
      <c r="Q103" s="72"/>
      <c r="R103" s="74">
        <f t="shared" si="804"/>
        <v>0</v>
      </c>
      <c r="S103" s="72"/>
      <c r="T103" s="74">
        <f t="shared" si="805"/>
        <v>0</v>
      </c>
      <c r="U103" s="72"/>
      <c r="V103" s="74">
        <f t="shared" si="806"/>
        <v>0</v>
      </c>
      <c r="W103" s="72"/>
      <c r="X103" s="74">
        <f t="shared" si="807"/>
        <v>0</v>
      </c>
      <c r="Y103" s="72"/>
      <c r="Z103" s="74">
        <f t="shared" si="808"/>
        <v>0</v>
      </c>
      <c r="AA103" s="72"/>
      <c r="AB103" s="74">
        <f t="shared" si="809"/>
        <v>7</v>
      </c>
      <c r="AC103" s="72"/>
      <c r="AD103" s="74">
        <f t="shared" si="810"/>
        <v>0</v>
      </c>
      <c r="AE103" s="72"/>
      <c r="AF103" s="74">
        <f t="shared" si="811"/>
        <v>0</v>
      </c>
      <c r="AG103" s="72"/>
      <c r="AH103" s="74">
        <f t="shared" si="812"/>
        <v>2</v>
      </c>
      <c r="AI103" s="72"/>
      <c r="AJ103" s="74">
        <f t="shared" si="813"/>
        <v>0</v>
      </c>
      <c r="AK103" s="72"/>
      <c r="AL103" s="74">
        <f t="shared" si="814"/>
        <v>0</v>
      </c>
      <c r="AM103" s="72"/>
      <c r="AN103" s="74">
        <f t="shared" si="815"/>
        <v>1</v>
      </c>
      <c r="AO103" s="72"/>
      <c r="AP103" s="74">
        <f t="shared" si="816"/>
        <v>0</v>
      </c>
      <c r="AQ103" s="72"/>
      <c r="AR103" s="74">
        <f t="shared" si="817"/>
        <v>0</v>
      </c>
      <c r="AS103" s="72"/>
      <c r="AT103" s="74">
        <f t="shared" si="818"/>
        <v>2</v>
      </c>
      <c r="AU103" s="72"/>
      <c r="AV103" s="74">
        <f t="shared" si="819"/>
        <v>0</v>
      </c>
      <c r="AW103" s="72"/>
      <c r="AX103" s="74">
        <f t="shared" si="820"/>
        <v>0</v>
      </c>
      <c r="AY103" s="72"/>
      <c r="AZ103" s="74">
        <f t="shared" si="821"/>
        <v>0</v>
      </c>
      <c r="BA103" s="72"/>
      <c r="BB103" s="74">
        <f t="shared" si="822"/>
        <v>2</v>
      </c>
      <c r="BC103" s="72"/>
      <c r="BD103" s="74">
        <f t="shared" si="823"/>
        <v>0</v>
      </c>
      <c r="BE103" s="72"/>
      <c r="BF103" s="74">
        <f t="shared" si="824"/>
        <v>0</v>
      </c>
      <c r="BG103" s="72"/>
      <c r="BH103" s="74">
        <f t="shared" si="825"/>
        <v>0</v>
      </c>
      <c r="BI103" s="72"/>
      <c r="BJ103" s="74">
        <f t="shared" si="826"/>
        <v>0</v>
      </c>
      <c r="BK103" s="72"/>
      <c r="BL103" s="74">
        <f t="shared" si="827"/>
        <v>0</v>
      </c>
      <c r="BM103" s="72"/>
      <c r="BN103" s="74">
        <f t="shared" si="828"/>
        <v>0</v>
      </c>
      <c r="BO103" s="72"/>
      <c r="BP103" s="74">
        <f t="shared" si="829"/>
        <v>0</v>
      </c>
      <c r="BQ103" s="72"/>
      <c r="BR103" s="74">
        <f t="shared" si="830"/>
        <v>0</v>
      </c>
      <c r="BS103" s="72"/>
      <c r="BT103" s="74">
        <f t="shared" si="831"/>
        <v>0</v>
      </c>
      <c r="BU103" s="72"/>
      <c r="BV103" s="74">
        <f t="shared" si="832"/>
        <v>0</v>
      </c>
      <c r="BW103" s="72"/>
      <c r="BX103" s="74">
        <f t="shared" si="833"/>
        <v>0</v>
      </c>
      <c r="BY103" s="72"/>
      <c r="BZ103" s="74">
        <f t="shared" si="834"/>
        <v>0</v>
      </c>
      <c r="CA103" s="72"/>
      <c r="CB103" s="74">
        <f t="shared" si="835"/>
        <v>2</v>
      </c>
      <c r="CC103" s="72"/>
      <c r="CD103" s="74">
        <f t="shared" si="836"/>
        <v>0</v>
      </c>
      <c r="CF103" s="74">
        <f t="shared" si="837"/>
        <v>0</v>
      </c>
      <c r="CH103" s="74">
        <f t="shared" si="838"/>
        <v>0</v>
      </c>
    </row>
    <row r="104" spans="1:86" ht="13.5" customHeight="1" x14ac:dyDescent="0.2">
      <c r="A104" s="56">
        <v>5</v>
      </c>
      <c r="B104" s="56"/>
      <c r="C104" s="56"/>
      <c r="D104" s="56"/>
      <c r="E104" s="72"/>
      <c r="F104" s="73">
        <f t="shared" si="798"/>
        <v>2</v>
      </c>
      <c r="G104" s="72"/>
      <c r="H104" s="74">
        <f t="shared" si="799"/>
        <v>0</v>
      </c>
      <c r="I104" s="72"/>
      <c r="J104" s="74">
        <f t="shared" si="800"/>
        <v>0</v>
      </c>
      <c r="K104" s="72"/>
      <c r="L104" s="74">
        <f t="shared" si="801"/>
        <v>0</v>
      </c>
      <c r="M104" s="72"/>
      <c r="N104" s="74">
        <f t="shared" si="802"/>
        <v>1</v>
      </c>
      <c r="O104" s="72"/>
      <c r="P104" s="74">
        <f t="shared" si="803"/>
        <v>0</v>
      </c>
      <c r="Q104" s="72"/>
      <c r="R104" s="74">
        <f t="shared" si="804"/>
        <v>0</v>
      </c>
      <c r="S104" s="72"/>
      <c r="T104" s="74">
        <f t="shared" si="805"/>
        <v>0</v>
      </c>
      <c r="U104" s="72"/>
      <c r="V104" s="74">
        <f t="shared" si="806"/>
        <v>0</v>
      </c>
      <c r="W104" s="72"/>
      <c r="X104" s="74">
        <f t="shared" si="807"/>
        <v>0</v>
      </c>
      <c r="Y104" s="72"/>
      <c r="Z104" s="74">
        <f t="shared" si="808"/>
        <v>0</v>
      </c>
      <c r="AA104" s="72"/>
      <c r="AB104" s="74">
        <f t="shared" si="809"/>
        <v>0</v>
      </c>
      <c r="AC104" s="72"/>
      <c r="AD104" s="74">
        <f t="shared" si="810"/>
        <v>0</v>
      </c>
      <c r="AE104" s="72"/>
      <c r="AF104" s="74">
        <f t="shared" si="811"/>
        <v>0</v>
      </c>
      <c r="AG104" s="72"/>
      <c r="AH104" s="74">
        <f t="shared" si="812"/>
        <v>0</v>
      </c>
      <c r="AI104" s="72"/>
      <c r="AJ104" s="74">
        <f t="shared" si="813"/>
        <v>0</v>
      </c>
      <c r="AK104" s="72"/>
      <c r="AL104" s="74">
        <f t="shared" si="814"/>
        <v>0</v>
      </c>
      <c r="AM104" s="72"/>
      <c r="AN104" s="74">
        <f t="shared" si="815"/>
        <v>2</v>
      </c>
      <c r="AO104" s="72"/>
      <c r="AP104" s="74">
        <f t="shared" si="816"/>
        <v>0</v>
      </c>
      <c r="AQ104" s="72"/>
      <c r="AR104" s="74">
        <f t="shared" si="817"/>
        <v>0</v>
      </c>
      <c r="AS104" s="72"/>
      <c r="AT104" s="74">
        <f t="shared" si="818"/>
        <v>2</v>
      </c>
      <c r="AU104" s="72"/>
      <c r="AV104" s="74">
        <f t="shared" si="819"/>
        <v>0</v>
      </c>
      <c r="AW104" s="72"/>
      <c r="AX104" s="74">
        <f t="shared" si="820"/>
        <v>0</v>
      </c>
      <c r="AY104" s="72"/>
      <c r="AZ104" s="74">
        <f t="shared" si="821"/>
        <v>0</v>
      </c>
      <c r="BA104" s="72"/>
      <c r="BB104" s="74">
        <f t="shared" si="822"/>
        <v>0</v>
      </c>
      <c r="BC104" s="72"/>
      <c r="BD104" s="74">
        <f t="shared" si="823"/>
        <v>0</v>
      </c>
      <c r="BE104" s="72"/>
      <c r="BF104" s="74">
        <f t="shared" si="824"/>
        <v>0</v>
      </c>
      <c r="BG104" s="72"/>
      <c r="BH104" s="74">
        <f t="shared" si="825"/>
        <v>0</v>
      </c>
      <c r="BI104" s="72"/>
      <c r="BJ104" s="74">
        <f t="shared" si="826"/>
        <v>0</v>
      </c>
      <c r="BK104" s="72"/>
      <c r="BL104" s="74">
        <f t="shared" si="827"/>
        <v>0</v>
      </c>
      <c r="BM104" s="72"/>
      <c r="BN104" s="74">
        <f t="shared" si="828"/>
        <v>0</v>
      </c>
      <c r="BO104" s="72"/>
      <c r="BP104" s="74">
        <f t="shared" si="829"/>
        <v>0</v>
      </c>
      <c r="BQ104" s="72"/>
      <c r="BR104" s="74">
        <f t="shared" si="830"/>
        <v>0</v>
      </c>
      <c r="BS104" s="72"/>
      <c r="BT104" s="74">
        <f t="shared" si="831"/>
        <v>0</v>
      </c>
      <c r="BU104" s="72"/>
      <c r="BV104" s="74">
        <f t="shared" si="832"/>
        <v>0</v>
      </c>
      <c r="BW104" s="72"/>
      <c r="BX104" s="74">
        <f t="shared" si="833"/>
        <v>0</v>
      </c>
      <c r="BY104" s="72"/>
      <c r="BZ104" s="74">
        <f t="shared" si="834"/>
        <v>0</v>
      </c>
      <c r="CA104" s="72"/>
      <c r="CB104" s="74">
        <f t="shared" si="835"/>
        <v>0</v>
      </c>
      <c r="CC104" s="72"/>
      <c r="CD104" s="74">
        <f t="shared" si="836"/>
        <v>0</v>
      </c>
      <c r="CF104" s="74">
        <f t="shared" si="837"/>
        <v>0</v>
      </c>
      <c r="CH104" s="74">
        <f t="shared" si="838"/>
        <v>0</v>
      </c>
    </row>
    <row r="105" spans="1:86" ht="13.5" customHeight="1" x14ac:dyDescent="0.2">
      <c r="A105" s="56">
        <v>6</v>
      </c>
      <c r="B105" s="56"/>
      <c r="C105" s="56"/>
      <c r="D105" s="56"/>
      <c r="E105" s="72"/>
      <c r="F105" s="73">
        <f t="shared" si="798"/>
        <v>1</v>
      </c>
      <c r="G105" s="72"/>
      <c r="H105" s="74">
        <f t="shared" si="799"/>
        <v>0</v>
      </c>
      <c r="I105" s="72"/>
      <c r="J105" s="74">
        <f t="shared" si="800"/>
        <v>0</v>
      </c>
      <c r="K105" s="72"/>
      <c r="L105" s="74">
        <f t="shared" si="801"/>
        <v>0</v>
      </c>
      <c r="M105" s="72"/>
      <c r="N105" s="74">
        <f t="shared" si="802"/>
        <v>0</v>
      </c>
      <c r="O105" s="72"/>
      <c r="P105" s="74">
        <f t="shared" si="803"/>
        <v>1</v>
      </c>
      <c r="Q105" s="72"/>
      <c r="R105" s="74">
        <f t="shared" si="804"/>
        <v>1</v>
      </c>
      <c r="S105" s="72"/>
      <c r="T105" s="74">
        <f t="shared" si="805"/>
        <v>0</v>
      </c>
      <c r="U105" s="72"/>
      <c r="V105" s="74">
        <f t="shared" si="806"/>
        <v>0</v>
      </c>
      <c r="W105" s="72"/>
      <c r="X105" s="74">
        <f t="shared" si="807"/>
        <v>0</v>
      </c>
      <c r="Y105" s="72"/>
      <c r="Z105" s="74">
        <f t="shared" si="808"/>
        <v>0</v>
      </c>
      <c r="AA105" s="72"/>
      <c r="AB105" s="74">
        <f t="shared" si="809"/>
        <v>0</v>
      </c>
      <c r="AC105" s="72"/>
      <c r="AD105" s="74">
        <f t="shared" si="810"/>
        <v>0</v>
      </c>
      <c r="AE105" s="72"/>
      <c r="AF105" s="74">
        <f t="shared" si="811"/>
        <v>0</v>
      </c>
      <c r="AG105" s="72"/>
      <c r="AH105" s="74">
        <f t="shared" si="812"/>
        <v>1</v>
      </c>
      <c r="AI105" s="72"/>
      <c r="AJ105" s="74">
        <f t="shared" si="813"/>
        <v>0</v>
      </c>
      <c r="AK105" s="72"/>
      <c r="AL105" s="74">
        <f t="shared" si="814"/>
        <v>1</v>
      </c>
      <c r="AM105" s="72"/>
      <c r="AN105" s="74">
        <f t="shared" si="815"/>
        <v>0</v>
      </c>
      <c r="AO105" s="72"/>
      <c r="AP105" s="74">
        <f t="shared" si="816"/>
        <v>0</v>
      </c>
      <c r="AQ105" s="72"/>
      <c r="AR105" s="74">
        <f t="shared" si="817"/>
        <v>0</v>
      </c>
      <c r="AS105" s="72"/>
      <c r="AT105" s="74">
        <f t="shared" si="818"/>
        <v>0</v>
      </c>
      <c r="AU105" s="72"/>
      <c r="AV105" s="74">
        <f t="shared" si="819"/>
        <v>0</v>
      </c>
      <c r="AW105" s="72"/>
      <c r="AX105" s="74">
        <f t="shared" si="820"/>
        <v>0</v>
      </c>
      <c r="AY105" s="72"/>
      <c r="AZ105" s="74">
        <f t="shared" si="821"/>
        <v>0</v>
      </c>
      <c r="BA105" s="72"/>
      <c r="BB105" s="74">
        <f t="shared" si="822"/>
        <v>0</v>
      </c>
      <c r="BC105" s="72"/>
      <c r="BD105" s="74">
        <f t="shared" si="823"/>
        <v>0</v>
      </c>
      <c r="BE105" s="72"/>
      <c r="BF105" s="74">
        <f t="shared" si="824"/>
        <v>0</v>
      </c>
      <c r="BG105" s="72"/>
      <c r="BH105" s="74">
        <f t="shared" si="825"/>
        <v>0</v>
      </c>
      <c r="BI105" s="72"/>
      <c r="BJ105" s="74">
        <f t="shared" si="826"/>
        <v>0</v>
      </c>
      <c r="BK105" s="72"/>
      <c r="BL105" s="74">
        <f t="shared" si="827"/>
        <v>0</v>
      </c>
      <c r="BM105" s="72"/>
      <c r="BN105" s="74">
        <f t="shared" si="828"/>
        <v>0</v>
      </c>
      <c r="BO105" s="72"/>
      <c r="BP105" s="74">
        <f t="shared" si="829"/>
        <v>0</v>
      </c>
      <c r="BQ105" s="72"/>
      <c r="BR105" s="74">
        <f t="shared" si="830"/>
        <v>0</v>
      </c>
      <c r="BS105" s="72"/>
      <c r="BT105" s="74">
        <f t="shared" si="831"/>
        <v>0</v>
      </c>
      <c r="BU105" s="72"/>
      <c r="BV105" s="74">
        <f t="shared" si="832"/>
        <v>7</v>
      </c>
      <c r="BW105" s="72"/>
      <c r="BX105" s="74">
        <f t="shared" si="833"/>
        <v>0</v>
      </c>
      <c r="BY105" s="72"/>
      <c r="BZ105" s="74">
        <f t="shared" si="834"/>
        <v>9</v>
      </c>
      <c r="CA105" s="72"/>
      <c r="CB105" s="74">
        <f t="shared" si="835"/>
        <v>0</v>
      </c>
      <c r="CC105" s="72"/>
      <c r="CD105" s="74">
        <f t="shared" si="836"/>
        <v>0</v>
      </c>
      <c r="CF105" s="74">
        <f t="shared" si="837"/>
        <v>0</v>
      </c>
      <c r="CH105" s="74">
        <f t="shared" si="838"/>
        <v>0</v>
      </c>
    </row>
    <row r="106" spans="1:86" ht="13.5" customHeight="1" x14ac:dyDescent="0.2">
      <c r="A106" s="56">
        <v>7</v>
      </c>
      <c r="B106" s="56"/>
      <c r="C106" s="56"/>
      <c r="D106" s="56"/>
      <c r="E106" s="72"/>
      <c r="F106" s="73">
        <f t="shared" si="798"/>
        <v>4</v>
      </c>
      <c r="G106" s="72"/>
      <c r="H106" s="74">
        <f t="shared" si="799"/>
        <v>0</v>
      </c>
      <c r="I106" s="72"/>
      <c r="J106" s="74">
        <f t="shared" si="800"/>
        <v>1</v>
      </c>
      <c r="K106" s="72"/>
      <c r="L106" s="74">
        <f t="shared" si="801"/>
        <v>0</v>
      </c>
      <c r="M106" s="72"/>
      <c r="N106" s="74">
        <f t="shared" si="802"/>
        <v>0</v>
      </c>
      <c r="O106" s="72"/>
      <c r="P106" s="74">
        <f t="shared" si="803"/>
        <v>0</v>
      </c>
      <c r="Q106" s="72"/>
      <c r="R106" s="74">
        <f t="shared" si="804"/>
        <v>0</v>
      </c>
      <c r="S106" s="72"/>
      <c r="T106" s="74">
        <f t="shared" si="805"/>
        <v>0</v>
      </c>
      <c r="U106" s="72"/>
      <c r="V106" s="74">
        <f t="shared" si="806"/>
        <v>0</v>
      </c>
      <c r="W106" s="72"/>
      <c r="X106" s="74">
        <f t="shared" si="807"/>
        <v>0</v>
      </c>
      <c r="Y106" s="72"/>
      <c r="Z106" s="74">
        <f t="shared" si="808"/>
        <v>0</v>
      </c>
      <c r="AA106" s="72"/>
      <c r="AB106" s="74">
        <f t="shared" si="809"/>
        <v>0</v>
      </c>
      <c r="AC106" s="72"/>
      <c r="AD106" s="74">
        <f t="shared" si="810"/>
        <v>1</v>
      </c>
      <c r="AE106" s="72"/>
      <c r="AF106" s="74">
        <f t="shared" si="811"/>
        <v>0</v>
      </c>
      <c r="AG106" s="72"/>
      <c r="AH106" s="74">
        <f t="shared" si="812"/>
        <v>0</v>
      </c>
      <c r="AI106" s="72"/>
      <c r="AJ106" s="74">
        <f t="shared" si="813"/>
        <v>0</v>
      </c>
      <c r="AK106" s="72"/>
      <c r="AL106" s="74">
        <f t="shared" si="814"/>
        <v>0</v>
      </c>
      <c r="AM106" s="72"/>
      <c r="AN106" s="74">
        <f t="shared" si="815"/>
        <v>0</v>
      </c>
      <c r="AO106" s="72"/>
      <c r="AP106" s="74">
        <f t="shared" si="816"/>
        <v>0</v>
      </c>
      <c r="AQ106" s="72"/>
      <c r="AR106" s="74">
        <f t="shared" si="817"/>
        <v>0</v>
      </c>
      <c r="AS106" s="72"/>
      <c r="AT106" s="74">
        <f t="shared" si="818"/>
        <v>1</v>
      </c>
      <c r="AU106" s="72"/>
      <c r="AV106" s="74">
        <f t="shared" si="819"/>
        <v>0</v>
      </c>
      <c r="AW106" s="72"/>
      <c r="AX106" s="74">
        <f t="shared" si="820"/>
        <v>0</v>
      </c>
      <c r="AY106" s="72"/>
      <c r="AZ106" s="74">
        <f t="shared" si="821"/>
        <v>0</v>
      </c>
      <c r="BA106" s="72"/>
      <c r="BB106" s="74">
        <f t="shared" si="822"/>
        <v>0</v>
      </c>
      <c r="BC106" s="72"/>
      <c r="BD106" s="74">
        <f t="shared" si="823"/>
        <v>0</v>
      </c>
      <c r="BE106" s="72"/>
      <c r="BF106" s="74">
        <f t="shared" si="824"/>
        <v>0</v>
      </c>
      <c r="BG106" s="72"/>
      <c r="BH106" s="74">
        <f t="shared" si="825"/>
        <v>0</v>
      </c>
      <c r="BI106" s="72"/>
      <c r="BJ106" s="74">
        <f t="shared" si="826"/>
        <v>9</v>
      </c>
      <c r="BK106" s="72"/>
      <c r="BL106" s="74">
        <f t="shared" si="827"/>
        <v>0</v>
      </c>
      <c r="BM106" s="72"/>
      <c r="BN106" s="74">
        <f t="shared" si="828"/>
        <v>0</v>
      </c>
      <c r="BO106" s="72"/>
      <c r="BP106" s="74">
        <f t="shared" si="829"/>
        <v>0</v>
      </c>
      <c r="BQ106" s="72"/>
      <c r="BR106" s="74">
        <f t="shared" si="830"/>
        <v>0</v>
      </c>
      <c r="BS106" s="72"/>
      <c r="BT106" s="74">
        <f t="shared" si="831"/>
        <v>0</v>
      </c>
      <c r="BU106" s="72"/>
      <c r="BV106" s="74">
        <f t="shared" si="832"/>
        <v>0</v>
      </c>
      <c r="BW106" s="72"/>
      <c r="BX106" s="74">
        <f t="shared" si="833"/>
        <v>0</v>
      </c>
      <c r="BY106" s="72"/>
      <c r="BZ106" s="74">
        <f t="shared" si="834"/>
        <v>0</v>
      </c>
      <c r="CA106" s="72"/>
      <c r="CB106" s="74">
        <f t="shared" si="835"/>
        <v>0</v>
      </c>
      <c r="CC106" s="72"/>
      <c r="CD106" s="74">
        <f t="shared" si="836"/>
        <v>0</v>
      </c>
      <c r="CF106" s="74">
        <f t="shared" si="837"/>
        <v>0</v>
      </c>
      <c r="CH106" s="74">
        <f t="shared" si="838"/>
        <v>0</v>
      </c>
    </row>
    <row r="107" spans="1:86" ht="13.5" customHeight="1" x14ac:dyDescent="0.2">
      <c r="A107" s="56">
        <v>8</v>
      </c>
      <c r="B107" s="56"/>
      <c r="C107" s="56"/>
      <c r="D107" s="56"/>
      <c r="E107" s="72"/>
      <c r="F107" s="73">
        <f t="shared" si="798"/>
        <v>3</v>
      </c>
      <c r="G107" s="72"/>
      <c r="H107" s="74">
        <f t="shared" si="799"/>
        <v>0</v>
      </c>
      <c r="I107" s="72"/>
      <c r="J107" s="74">
        <f t="shared" si="800"/>
        <v>2</v>
      </c>
      <c r="K107" s="72"/>
      <c r="L107" s="74">
        <f t="shared" si="801"/>
        <v>2</v>
      </c>
      <c r="M107" s="72"/>
      <c r="N107" s="74">
        <f t="shared" si="802"/>
        <v>0</v>
      </c>
      <c r="O107" s="72"/>
      <c r="P107" s="74">
        <f t="shared" si="803"/>
        <v>1</v>
      </c>
      <c r="Q107" s="72"/>
      <c r="R107" s="74">
        <f t="shared" si="804"/>
        <v>0</v>
      </c>
      <c r="S107" s="72"/>
      <c r="T107" s="74">
        <f t="shared" si="805"/>
        <v>1</v>
      </c>
      <c r="U107" s="72"/>
      <c r="V107" s="74">
        <f t="shared" si="806"/>
        <v>1</v>
      </c>
      <c r="W107" s="72"/>
      <c r="X107" s="74">
        <f t="shared" si="807"/>
        <v>0</v>
      </c>
      <c r="Y107" s="72"/>
      <c r="Z107" s="74">
        <f t="shared" si="808"/>
        <v>0</v>
      </c>
      <c r="AA107" s="72"/>
      <c r="AB107" s="74">
        <f t="shared" si="809"/>
        <v>5</v>
      </c>
      <c r="AC107" s="72"/>
      <c r="AD107" s="74">
        <f t="shared" si="810"/>
        <v>8</v>
      </c>
      <c r="AE107" s="72"/>
      <c r="AF107" s="74">
        <f t="shared" si="811"/>
        <v>7</v>
      </c>
      <c r="AG107" s="72"/>
      <c r="AH107" s="74">
        <f t="shared" si="812"/>
        <v>0</v>
      </c>
      <c r="AI107" s="72"/>
      <c r="AJ107" s="74">
        <f t="shared" si="813"/>
        <v>3</v>
      </c>
      <c r="AK107" s="72"/>
      <c r="AL107" s="74">
        <f t="shared" si="814"/>
        <v>1</v>
      </c>
      <c r="AM107" s="72"/>
      <c r="AN107" s="74">
        <f t="shared" si="815"/>
        <v>1</v>
      </c>
      <c r="AO107" s="72"/>
      <c r="AP107" s="74">
        <f t="shared" si="816"/>
        <v>0</v>
      </c>
      <c r="AQ107" s="72"/>
      <c r="AR107" s="74">
        <f t="shared" si="817"/>
        <v>1</v>
      </c>
      <c r="AS107" s="72"/>
      <c r="AT107" s="74">
        <f t="shared" si="818"/>
        <v>1</v>
      </c>
      <c r="AU107" s="72"/>
      <c r="AV107" s="74">
        <f t="shared" si="819"/>
        <v>1</v>
      </c>
      <c r="AW107" s="72"/>
      <c r="AX107" s="74">
        <f t="shared" si="820"/>
        <v>13</v>
      </c>
      <c r="AY107" s="72"/>
      <c r="AZ107" s="74">
        <f t="shared" si="821"/>
        <v>15</v>
      </c>
      <c r="BA107" s="72"/>
      <c r="BB107" s="74">
        <f t="shared" si="822"/>
        <v>3</v>
      </c>
      <c r="BC107" s="72"/>
      <c r="BD107" s="74">
        <f t="shared" si="823"/>
        <v>8</v>
      </c>
      <c r="BE107" s="72"/>
      <c r="BF107" s="74">
        <f t="shared" si="824"/>
        <v>0</v>
      </c>
      <c r="BG107" s="72"/>
      <c r="BH107" s="74">
        <f t="shared" si="825"/>
        <v>0</v>
      </c>
      <c r="BI107" s="72"/>
      <c r="BJ107" s="74">
        <f t="shared" si="826"/>
        <v>6</v>
      </c>
      <c r="BK107" s="72"/>
      <c r="BL107" s="74">
        <f t="shared" si="827"/>
        <v>7</v>
      </c>
      <c r="BM107" s="72"/>
      <c r="BN107" s="74">
        <f t="shared" si="828"/>
        <v>8</v>
      </c>
      <c r="BO107" s="72"/>
      <c r="BP107" s="74">
        <f t="shared" si="829"/>
        <v>7</v>
      </c>
      <c r="BQ107" s="72"/>
      <c r="BR107" s="74">
        <f t="shared" si="830"/>
        <v>7</v>
      </c>
      <c r="BS107" s="72"/>
      <c r="BT107" s="74">
        <f t="shared" si="831"/>
        <v>8</v>
      </c>
      <c r="BU107" s="72"/>
      <c r="BV107" s="74">
        <f t="shared" si="832"/>
        <v>7</v>
      </c>
      <c r="BW107" s="72"/>
      <c r="BX107" s="74">
        <f t="shared" si="833"/>
        <v>3</v>
      </c>
      <c r="BY107" s="72"/>
      <c r="BZ107" s="74">
        <f t="shared" si="834"/>
        <v>0</v>
      </c>
      <c r="CA107" s="72"/>
      <c r="CB107" s="74">
        <f t="shared" si="835"/>
        <v>13</v>
      </c>
      <c r="CC107" s="72"/>
      <c r="CD107" s="74">
        <f t="shared" si="836"/>
        <v>7</v>
      </c>
      <c r="CF107" s="74">
        <f t="shared" si="837"/>
        <v>0</v>
      </c>
      <c r="CH107" s="74">
        <f t="shared" si="838"/>
        <v>0</v>
      </c>
    </row>
    <row r="108" spans="1:86" ht="13.5" customHeight="1" x14ac:dyDescent="0.2">
      <c r="A108" s="56">
        <v>9</v>
      </c>
      <c r="B108" s="56"/>
      <c r="C108" s="56"/>
      <c r="D108" s="56"/>
      <c r="E108" s="72"/>
      <c r="F108" s="73">
        <f t="shared" si="798"/>
        <v>0</v>
      </c>
      <c r="G108" s="72"/>
      <c r="H108" s="74">
        <f t="shared" si="799"/>
        <v>0</v>
      </c>
      <c r="I108" s="72"/>
      <c r="J108" s="74">
        <f t="shared" si="800"/>
        <v>2</v>
      </c>
      <c r="K108" s="72"/>
      <c r="L108" s="74">
        <f t="shared" si="801"/>
        <v>0</v>
      </c>
      <c r="M108" s="72"/>
      <c r="N108" s="74">
        <f t="shared" si="802"/>
        <v>2</v>
      </c>
      <c r="O108" s="72"/>
      <c r="P108" s="74">
        <f t="shared" si="803"/>
        <v>0</v>
      </c>
      <c r="Q108" s="72"/>
      <c r="R108" s="74">
        <f t="shared" si="804"/>
        <v>2</v>
      </c>
      <c r="S108" s="72"/>
      <c r="T108" s="74">
        <f t="shared" si="805"/>
        <v>0</v>
      </c>
      <c r="U108" s="72"/>
      <c r="V108" s="74">
        <f t="shared" si="806"/>
        <v>0</v>
      </c>
      <c r="W108" s="72"/>
      <c r="X108" s="74">
        <f t="shared" si="807"/>
        <v>0</v>
      </c>
      <c r="Y108" s="72"/>
      <c r="Z108" s="74">
        <f t="shared" si="808"/>
        <v>0</v>
      </c>
      <c r="AA108" s="72"/>
      <c r="AB108" s="74">
        <f t="shared" si="809"/>
        <v>2</v>
      </c>
      <c r="AC108" s="72"/>
      <c r="AD108" s="74">
        <f t="shared" si="810"/>
        <v>1</v>
      </c>
      <c r="AE108" s="72"/>
      <c r="AF108" s="74">
        <f t="shared" si="811"/>
        <v>1</v>
      </c>
      <c r="AG108" s="72"/>
      <c r="AH108" s="74">
        <f t="shared" si="812"/>
        <v>0</v>
      </c>
      <c r="AI108" s="72"/>
      <c r="AJ108" s="74">
        <f t="shared" si="813"/>
        <v>1</v>
      </c>
      <c r="AK108" s="72"/>
      <c r="AL108" s="74">
        <f t="shared" si="814"/>
        <v>1</v>
      </c>
      <c r="AM108" s="72"/>
      <c r="AN108" s="74">
        <f t="shared" si="815"/>
        <v>1</v>
      </c>
      <c r="AO108" s="72"/>
      <c r="AP108" s="74">
        <f t="shared" si="816"/>
        <v>0</v>
      </c>
      <c r="AQ108" s="72"/>
      <c r="AR108" s="74">
        <f t="shared" si="817"/>
        <v>0</v>
      </c>
      <c r="AS108" s="72"/>
      <c r="AT108" s="74">
        <f t="shared" si="818"/>
        <v>0</v>
      </c>
      <c r="AU108" s="72"/>
      <c r="AV108" s="74">
        <f t="shared" si="819"/>
        <v>1</v>
      </c>
      <c r="AW108" s="72"/>
      <c r="AX108" s="74">
        <f t="shared" si="820"/>
        <v>0</v>
      </c>
      <c r="AY108" s="72"/>
      <c r="AZ108" s="74">
        <f t="shared" si="821"/>
        <v>0</v>
      </c>
      <c r="BA108" s="72"/>
      <c r="BB108" s="74">
        <f t="shared" si="822"/>
        <v>0</v>
      </c>
      <c r="BC108" s="72"/>
      <c r="BD108" s="74">
        <f t="shared" si="823"/>
        <v>0</v>
      </c>
      <c r="BE108" s="72"/>
      <c r="BF108" s="74">
        <f t="shared" si="824"/>
        <v>0</v>
      </c>
      <c r="BG108" s="72"/>
      <c r="BH108" s="74">
        <f t="shared" si="825"/>
        <v>-3</v>
      </c>
      <c r="BI108" s="72"/>
      <c r="BJ108" s="74">
        <f t="shared" si="826"/>
        <v>0</v>
      </c>
      <c r="BK108" s="72"/>
      <c r="BL108" s="74">
        <f t="shared" si="827"/>
        <v>0</v>
      </c>
      <c r="BM108" s="72"/>
      <c r="BN108" s="74">
        <f t="shared" si="828"/>
        <v>0</v>
      </c>
      <c r="BO108" s="72"/>
      <c r="BP108" s="74">
        <f t="shared" si="829"/>
        <v>0</v>
      </c>
      <c r="BQ108" s="72"/>
      <c r="BR108" s="74">
        <f t="shared" si="830"/>
        <v>0</v>
      </c>
      <c r="BS108" s="72"/>
      <c r="BT108" s="74">
        <f t="shared" si="831"/>
        <v>0</v>
      </c>
      <c r="BU108" s="72"/>
      <c r="BV108" s="74">
        <f t="shared" si="832"/>
        <v>0</v>
      </c>
      <c r="BW108" s="72"/>
      <c r="BX108" s="74">
        <f t="shared" si="833"/>
        <v>0</v>
      </c>
      <c r="BY108" s="72"/>
      <c r="BZ108" s="74">
        <f t="shared" si="834"/>
        <v>0</v>
      </c>
      <c r="CA108" s="72"/>
      <c r="CB108" s="74">
        <f t="shared" si="835"/>
        <v>0</v>
      </c>
      <c r="CC108" s="72"/>
      <c r="CD108" s="74">
        <f t="shared" si="836"/>
        <v>0</v>
      </c>
      <c r="CF108" s="74">
        <f t="shared" si="837"/>
        <v>0</v>
      </c>
      <c r="CH108" s="74">
        <f t="shared" si="838"/>
        <v>0</v>
      </c>
    </row>
    <row r="109" spans="1:86" ht="13.5" customHeight="1" x14ac:dyDescent="0.2">
      <c r="A109" s="56">
        <v>10</v>
      </c>
      <c r="B109" s="56"/>
      <c r="C109" s="56"/>
      <c r="D109" s="56"/>
      <c r="E109" s="72"/>
      <c r="F109" s="73">
        <f t="shared" si="798"/>
        <v>0</v>
      </c>
      <c r="G109" s="72"/>
      <c r="H109" s="74">
        <f t="shared" si="799"/>
        <v>0</v>
      </c>
      <c r="I109" s="72"/>
      <c r="J109" s="74">
        <f t="shared" si="800"/>
        <v>0</v>
      </c>
      <c r="K109" s="72"/>
      <c r="L109" s="74">
        <f t="shared" si="801"/>
        <v>0</v>
      </c>
      <c r="M109" s="72"/>
      <c r="N109" s="74">
        <f t="shared" si="802"/>
        <v>3</v>
      </c>
      <c r="O109" s="72"/>
      <c r="P109" s="74">
        <f t="shared" si="803"/>
        <v>6</v>
      </c>
      <c r="Q109" s="72"/>
      <c r="R109" s="74">
        <f t="shared" si="804"/>
        <v>2</v>
      </c>
      <c r="S109" s="72"/>
      <c r="T109" s="74">
        <f t="shared" si="805"/>
        <v>0</v>
      </c>
      <c r="U109" s="72"/>
      <c r="V109" s="74">
        <f t="shared" si="806"/>
        <v>0</v>
      </c>
      <c r="W109" s="72"/>
      <c r="X109" s="74">
        <f t="shared" si="807"/>
        <v>0</v>
      </c>
      <c r="Y109" s="72"/>
      <c r="Z109" s="74">
        <f t="shared" si="808"/>
        <v>0</v>
      </c>
      <c r="AA109" s="72"/>
      <c r="AB109" s="74">
        <f t="shared" si="809"/>
        <v>0</v>
      </c>
      <c r="AC109" s="72"/>
      <c r="AD109" s="74">
        <f t="shared" si="810"/>
        <v>0</v>
      </c>
      <c r="AE109" s="72"/>
      <c r="AF109" s="74">
        <f t="shared" si="811"/>
        <v>0</v>
      </c>
      <c r="AG109" s="72"/>
      <c r="AH109" s="74">
        <f t="shared" si="812"/>
        <v>2</v>
      </c>
      <c r="AI109" s="72"/>
      <c r="AJ109" s="74">
        <f t="shared" si="813"/>
        <v>0</v>
      </c>
      <c r="AK109" s="72"/>
      <c r="AL109" s="74">
        <f t="shared" si="814"/>
        <v>1</v>
      </c>
      <c r="AM109" s="72"/>
      <c r="AN109" s="74">
        <f t="shared" si="815"/>
        <v>0</v>
      </c>
      <c r="AO109" s="72"/>
      <c r="AP109" s="74">
        <f t="shared" si="816"/>
        <v>0</v>
      </c>
      <c r="AQ109" s="72"/>
      <c r="AR109" s="74">
        <f t="shared" si="817"/>
        <v>2</v>
      </c>
      <c r="AS109" s="72"/>
      <c r="AT109" s="74">
        <f t="shared" si="818"/>
        <v>0</v>
      </c>
      <c r="AU109" s="72"/>
      <c r="AV109" s="74">
        <f t="shared" si="819"/>
        <v>1</v>
      </c>
      <c r="AW109" s="72"/>
      <c r="AX109" s="74">
        <f t="shared" si="820"/>
        <v>0</v>
      </c>
      <c r="AY109" s="72"/>
      <c r="AZ109" s="74">
        <f t="shared" si="821"/>
        <v>0</v>
      </c>
      <c r="BA109" s="72"/>
      <c r="BB109" s="74">
        <f t="shared" si="822"/>
        <v>0</v>
      </c>
      <c r="BC109" s="72"/>
      <c r="BD109" s="74">
        <f t="shared" si="823"/>
        <v>0</v>
      </c>
      <c r="BE109" s="72"/>
      <c r="BF109" s="74">
        <f t="shared" si="824"/>
        <v>0</v>
      </c>
      <c r="BG109" s="72"/>
      <c r="BH109" s="74">
        <f t="shared" si="825"/>
        <v>0</v>
      </c>
      <c r="BI109" s="72"/>
      <c r="BJ109" s="74">
        <f t="shared" si="826"/>
        <v>0</v>
      </c>
      <c r="BK109" s="72"/>
      <c r="BL109" s="74">
        <f t="shared" si="827"/>
        <v>0</v>
      </c>
      <c r="BM109" s="72"/>
      <c r="BN109" s="74">
        <f t="shared" si="828"/>
        <v>0</v>
      </c>
      <c r="BO109" s="72"/>
      <c r="BP109" s="74">
        <f t="shared" si="829"/>
        <v>0</v>
      </c>
      <c r="BQ109" s="72"/>
      <c r="BR109" s="74">
        <f t="shared" si="830"/>
        <v>0</v>
      </c>
      <c r="BS109" s="72"/>
      <c r="BT109" s="74">
        <f t="shared" si="831"/>
        <v>0</v>
      </c>
      <c r="BU109" s="72"/>
      <c r="BV109" s="74">
        <f t="shared" si="832"/>
        <v>0</v>
      </c>
      <c r="BW109" s="72"/>
      <c r="BX109" s="74">
        <f t="shared" si="833"/>
        <v>4</v>
      </c>
      <c r="BY109" s="72"/>
      <c r="BZ109" s="74">
        <f t="shared" si="834"/>
        <v>0</v>
      </c>
      <c r="CA109" s="72"/>
      <c r="CB109" s="74">
        <f t="shared" si="835"/>
        <v>0</v>
      </c>
      <c r="CC109" s="72"/>
      <c r="CD109" s="74">
        <f t="shared" si="836"/>
        <v>0</v>
      </c>
      <c r="CF109" s="74">
        <f t="shared" si="837"/>
        <v>0</v>
      </c>
      <c r="CH109" s="74">
        <f t="shared" si="838"/>
        <v>0</v>
      </c>
    </row>
    <row r="110" spans="1:86" ht="13.5" customHeight="1" x14ac:dyDescent="0.2">
      <c r="A110" s="56">
        <v>11</v>
      </c>
      <c r="B110" s="56"/>
      <c r="C110" s="56"/>
      <c r="D110" s="56"/>
      <c r="E110" s="72"/>
      <c r="F110" s="73">
        <f>MAX(F98:F109)</f>
        <v>4</v>
      </c>
      <c r="G110" s="72"/>
      <c r="H110" s="74">
        <f>MAX(H98:H109)</f>
        <v>0</v>
      </c>
      <c r="I110" s="72"/>
      <c r="J110" s="74">
        <f>MAX(J98:J109)</f>
        <v>2</v>
      </c>
      <c r="K110" s="72"/>
      <c r="L110" s="74">
        <f>MAX(L98:L109)</f>
        <v>2</v>
      </c>
      <c r="M110" s="72"/>
      <c r="N110" s="74">
        <f>MAX(N98:N109)</f>
        <v>3</v>
      </c>
      <c r="O110" s="72"/>
      <c r="P110" s="74">
        <f>MAX(P98:P109)</f>
        <v>6</v>
      </c>
      <c r="Q110" s="72"/>
      <c r="R110" s="74">
        <f>MAX(R98:R109)</f>
        <v>2</v>
      </c>
      <c r="S110" s="72"/>
      <c r="T110" s="74">
        <f>MAX(T98:T109)</f>
        <v>1</v>
      </c>
      <c r="U110" s="72"/>
      <c r="V110" s="74">
        <f>MAX(V98:V109)</f>
        <v>1</v>
      </c>
      <c r="W110" s="72"/>
      <c r="X110" s="74">
        <f>MAX(X98:X109)</f>
        <v>0</v>
      </c>
      <c r="Y110" s="72"/>
      <c r="Z110" s="74">
        <f t="shared" ref="Z110" si="839">MAX(Z98:Z109)</f>
        <v>0</v>
      </c>
      <c r="AA110" s="72"/>
      <c r="AB110" s="74">
        <f t="shared" ref="AB110" si="840">MAX(AB98:AB109)</f>
        <v>7</v>
      </c>
      <c r="AC110" s="72"/>
      <c r="AD110" s="74">
        <f t="shared" ref="AD110" si="841">MAX(AD98:AD109)</f>
        <v>8</v>
      </c>
      <c r="AE110" s="72"/>
      <c r="AF110" s="74">
        <f t="shared" ref="AF110" si="842">MAX(AF98:AF109)</f>
        <v>7</v>
      </c>
      <c r="AG110" s="72"/>
      <c r="AH110" s="74">
        <f t="shared" ref="AH110" si="843">MAX(AH98:AH109)</f>
        <v>2</v>
      </c>
      <c r="AI110" s="72"/>
      <c r="AJ110" s="74">
        <f t="shared" ref="AJ110" si="844">MAX(AJ98:AJ109)</f>
        <v>5</v>
      </c>
      <c r="AK110" s="72"/>
      <c r="AL110" s="74">
        <f t="shared" ref="AL110" si="845">MAX(AL98:AL109)</f>
        <v>5</v>
      </c>
      <c r="AM110" s="72"/>
      <c r="AN110" s="74">
        <f t="shared" ref="AN110" si="846">MAX(AN98:AN109)</f>
        <v>6</v>
      </c>
      <c r="AO110" s="72"/>
      <c r="AP110" s="74">
        <f t="shared" ref="AP110" si="847">MAX(AP98:AP109)</f>
        <v>0</v>
      </c>
      <c r="AQ110" s="72"/>
      <c r="AR110" s="74">
        <f t="shared" ref="AR110" si="848">MAX(AR98:AR109)</f>
        <v>2</v>
      </c>
      <c r="AS110" s="72"/>
      <c r="AT110" s="74">
        <f t="shared" ref="AT110" si="849">MAX(AT98:AT109)</f>
        <v>3</v>
      </c>
      <c r="AU110" s="72"/>
      <c r="AV110" s="74">
        <f t="shared" ref="AV110" si="850">MAX(AV98:AV109)</f>
        <v>1</v>
      </c>
      <c r="AW110" s="72"/>
      <c r="AX110" s="74">
        <f t="shared" ref="AX110" si="851">MAX(AX98:AX109)</f>
        <v>13</v>
      </c>
      <c r="AY110" s="72"/>
      <c r="AZ110" s="74">
        <f t="shared" ref="AZ110" si="852">MAX(AZ98:AZ109)</f>
        <v>15</v>
      </c>
      <c r="BA110" s="72"/>
      <c r="BB110" s="74">
        <f t="shared" ref="BB110" si="853">MAX(BB98:BB109)</f>
        <v>3</v>
      </c>
      <c r="BC110" s="72"/>
      <c r="BD110" s="74">
        <f t="shared" ref="BD110" si="854">MAX(BD98:BD109)</f>
        <v>8</v>
      </c>
      <c r="BE110" s="72"/>
      <c r="BF110" s="74">
        <f t="shared" ref="BF110" si="855">MAX(BF98:BF109)</f>
        <v>7</v>
      </c>
      <c r="BG110" s="72"/>
      <c r="BH110" s="74">
        <f t="shared" ref="BH110" si="856">MAX(BH98:BH109)</f>
        <v>0</v>
      </c>
      <c r="BI110" s="72"/>
      <c r="BJ110" s="74">
        <f t="shared" ref="BJ110" si="857">MAX(BJ98:BJ109)</f>
        <v>9</v>
      </c>
      <c r="BK110" s="72"/>
      <c r="BL110" s="74">
        <f t="shared" ref="BL110" si="858">MAX(BL98:BL109)</f>
        <v>7</v>
      </c>
      <c r="BM110" s="72"/>
      <c r="BN110" s="74">
        <f t="shared" ref="BN110" si="859">MAX(BN98:BN109)</f>
        <v>8</v>
      </c>
      <c r="BO110" s="72"/>
      <c r="BP110" s="74">
        <f t="shared" ref="BP110" si="860">MAX(BP98:BP109)</f>
        <v>7</v>
      </c>
      <c r="BQ110" s="72"/>
      <c r="BR110" s="74">
        <f t="shared" ref="BR110" si="861">MAX(BR98:BR109)</f>
        <v>8</v>
      </c>
      <c r="BS110" s="72"/>
      <c r="BT110" s="74">
        <f t="shared" ref="BT110" si="862">MAX(BT98:BT109)</f>
        <v>8</v>
      </c>
      <c r="BU110" s="72"/>
      <c r="BV110" s="74">
        <f t="shared" ref="BV110" si="863">MAX(BV98:BV109)</f>
        <v>7</v>
      </c>
      <c r="BW110" s="72"/>
      <c r="BX110" s="74">
        <f t="shared" ref="BX110" si="864">MAX(BX98:BX109)</f>
        <v>4</v>
      </c>
      <c r="BY110" s="72"/>
      <c r="BZ110" s="74">
        <f t="shared" ref="BZ110" si="865">MAX(BZ98:BZ109)</f>
        <v>9</v>
      </c>
      <c r="CA110" s="72"/>
      <c r="CB110" s="74">
        <f t="shared" ref="CB110" si="866">MAX(CB98:CB109)</f>
        <v>13</v>
      </c>
      <c r="CC110" s="72"/>
      <c r="CD110" s="74">
        <f t="shared" ref="CD110:CF110" si="867">MAX(CD98:CD109)</f>
        <v>7</v>
      </c>
      <c r="CF110" s="74">
        <f t="shared" si="867"/>
        <v>0</v>
      </c>
      <c r="CH110" s="74">
        <f t="shared" ref="CH110" si="868">MAX(CH98:CH109)</f>
        <v>0</v>
      </c>
    </row>
    <row r="111" spans="1:86" ht="13.5" customHeight="1" x14ac:dyDescent="0.2">
      <c r="A111" s="56">
        <v>12</v>
      </c>
      <c r="B111" s="56"/>
      <c r="C111" s="56"/>
      <c r="D111" s="56"/>
      <c r="E111" s="72"/>
      <c r="F111" s="73">
        <f t="shared" ref="F111:F161" si="869">MAX(F99:F110)</f>
        <v>4</v>
      </c>
      <c r="G111" s="72"/>
      <c r="H111" s="74">
        <f t="shared" ref="H111:H161" si="870">MAX(H99:H110)</f>
        <v>0</v>
      </c>
      <c r="I111" s="72"/>
      <c r="J111" s="74">
        <f t="shared" ref="J111:J161" si="871">MAX(J99:J110)</f>
        <v>2</v>
      </c>
      <c r="K111" s="72"/>
      <c r="L111" s="74">
        <f t="shared" ref="L111:L161" si="872">MAX(L99:L110)</f>
        <v>2</v>
      </c>
      <c r="M111" s="72"/>
      <c r="N111" s="74">
        <f t="shared" ref="N111:N161" si="873">MAX(N99:N110)</f>
        <v>3</v>
      </c>
      <c r="O111" s="72"/>
      <c r="P111" s="74">
        <f t="shared" ref="P111:P161" si="874">MAX(P99:P110)</f>
        <v>6</v>
      </c>
      <c r="Q111" s="72"/>
      <c r="R111" s="74">
        <f t="shared" ref="R111:R161" si="875">MAX(R99:R110)</f>
        <v>2</v>
      </c>
      <c r="S111" s="72"/>
      <c r="T111" s="74">
        <f t="shared" ref="T111:T161" si="876">MAX(T99:T110)</f>
        <v>1</v>
      </c>
      <c r="U111" s="72"/>
      <c r="V111" s="74">
        <f t="shared" ref="V111:V161" si="877">MAX(V99:V110)</f>
        <v>1</v>
      </c>
      <c r="W111" s="72"/>
      <c r="X111" s="74">
        <f t="shared" ref="X111:X161" si="878">MAX(X99:X110)</f>
        <v>0</v>
      </c>
      <c r="Y111" s="72"/>
      <c r="Z111" s="74">
        <f t="shared" ref="Z111:Z161" si="879">MAX(Z99:Z110)</f>
        <v>0</v>
      </c>
      <c r="AA111" s="72"/>
      <c r="AB111" s="74">
        <f t="shared" ref="AB111:AB161" si="880">MAX(AB99:AB110)</f>
        <v>7</v>
      </c>
      <c r="AC111" s="72"/>
      <c r="AD111" s="74">
        <f t="shared" ref="AD111:AD161" si="881">MAX(AD99:AD110)</f>
        <v>8</v>
      </c>
      <c r="AE111" s="72"/>
      <c r="AF111" s="74">
        <f t="shared" ref="AF111:AF161" si="882">MAX(AF99:AF110)</f>
        <v>7</v>
      </c>
      <c r="AG111" s="72"/>
      <c r="AH111" s="74">
        <f t="shared" ref="AH111:AH161" si="883">MAX(AH99:AH110)</f>
        <v>2</v>
      </c>
      <c r="AI111" s="72"/>
      <c r="AJ111" s="74">
        <f t="shared" ref="AJ111:AJ161" si="884">MAX(AJ99:AJ110)</f>
        <v>5</v>
      </c>
      <c r="AK111" s="72"/>
      <c r="AL111" s="74">
        <f t="shared" ref="AL111:AL161" si="885">MAX(AL99:AL110)</f>
        <v>5</v>
      </c>
      <c r="AM111" s="72"/>
      <c r="AN111" s="74">
        <f t="shared" ref="AN111:AN161" si="886">MAX(AN99:AN110)</f>
        <v>6</v>
      </c>
      <c r="AO111" s="72"/>
      <c r="AP111" s="74">
        <f t="shared" ref="AP111:AP161" si="887">MAX(AP99:AP110)</f>
        <v>0</v>
      </c>
      <c r="AQ111" s="72"/>
      <c r="AR111" s="74">
        <f t="shared" ref="AR111:AR161" si="888">MAX(AR99:AR110)</f>
        <v>2</v>
      </c>
      <c r="AS111" s="72"/>
      <c r="AT111" s="74">
        <f t="shared" ref="AT111:AT161" si="889">MAX(AT99:AT110)</f>
        <v>3</v>
      </c>
      <c r="AU111" s="72"/>
      <c r="AV111" s="74">
        <f t="shared" ref="AV111:AV161" si="890">MAX(AV99:AV110)</f>
        <v>1</v>
      </c>
      <c r="AW111" s="72"/>
      <c r="AX111" s="74">
        <f t="shared" ref="AX111:AX161" si="891">MAX(AX99:AX110)</f>
        <v>13</v>
      </c>
      <c r="AY111" s="72"/>
      <c r="AZ111" s="74">
        <f t="shared" ref="AZ111:AZ161" si="892">MAX(AZ99:AZ110)</f>
        <v>15</v>
      </c>
      <c r="BA111" s="72"/>
      <c r="BB111" s="74">
        <f t="shared" ref="BB111:BB161" si="893">MAX(BB99:BB110)</f>
        <v>3</v>
      </c>
      <c r="BC111" s="72"/>
      <c r="BD111" s="74">
        <f t="shared" ref="BD111:BD161" si="894">MAX(BD99:BD110)</f>
        <v>8</v>
      </c>
      <c r="BE111" s="72"/>
      <c r="BF111" s="74">
        <f t="shared" ref="BF111:BF161" si="895">MAX(BF99:BF110)</f>
        <v>7</v>
      </c>
      <c r="BG111" s="72"/>
      <c r="BH111" s="74">
        <f t="shared" ref="BH111:BH161" si="896">MAX(BH99:BH110)</f>
        <v>0</v>
      </c>
      <c r="BI111" s="72"/>
      <c r="BJ111" s="74">
        <f t="shared" ref="BJ111:BJ161" si="897">MAX(BJ99:BJ110)</f>
        <v>9</v>
      </c>
      <c r="BK111" s="72"/>
      <c r="BL111" s="74">
        <f t="shared" ref="BL111:BL161" si="898">MAX(BL99:BL110)</f>
        <v>7</v>
      </c>
      <c r="BM111" s="72"/>
      <c r="BN111" s="74">
        <f t="shared" ref="BN111:BN161" si="899">MAX(BN99:BN110)</f>
        <v>8</v>
      </c>
      <c r="BO111" s="72"/>
      <c r="BP111" s="74">
        <f t="shared" ref="BP111:BP161" si="900">MAX(BP99:BP110)</f>
        <v>7</v>
      </c>
      <c r="BQ111" s="72"/>
      <c r="BR111" s="74">
        <f t="shared" ref="BR111:BR161" si="901">MAX(BR99:BR110)</f>
        <v>8</v>
      </c>
      <c r="BS111" s="72"/>
      <c r="BT111" s="74">
        <f t="shared" ref="BT111:BT161" si="902">MAX(BT99:BT110)</f>
        <v>8</v>
      </c>
      <c r="BU111" s="72"/>
      <c r="BV111" s="74">
        <f t="shared" ref="BV111:BV161" si="903">MAX(BV99:BV110)</f>
        <v>7</v>
      </c>
      <c r="BW111" s="72"/>
      <c r="BX111" s="74">
        <f t="shared" ref="BX111:BX161" si="904">MAX(BX99:BX110)</f>
        <v>4</v>
      </c>
      <c r="BY111" s="72"/>
      <c r="BZ111" s="74">
        <f t="shared" ref="BZ111:BZ161" si="905">MAX(BZ99:BZ110)</f>
        <v>9</v>
      </c>
      <c r="CA111" s="72"/>
      <c r="CB111" s="74">
        <f t="shared" ref="CB111:CB161" si="906">MAX(CB99:CB110)</f>
        <v>13</v>
      </c>
      <c r="CC111" s="72"/>
      <c r="CD111" s="74">
        <f t="shared" ref="CD111:CF161" si="907">MAX(CD99:CD110)</f>
        <v>7</v>
      </c>
      <c r="CF111" s="74">
        <f t="shared" si="907"/>
        <v>0</v>
      </c>
      <c r="CH111" s="74">
        <f t="shared" ref="CH111" si="908">MAX(CH99:CH110)</f>
        <v>0</v>
      </c>
    </row>
    <row r="112" spans="1:86" ht="13.5" customHeight="1" x14ac:dyDescent="0.2">
      <c r="A112" s="56">
        <v>13</v>
      </c>
      <c r="B112" s="56"/>
      <c r="C112" s="56"/>
      <c r="D112" s="56"/>
      <c r="E112" s="72"/>
      <c r="F112" s="73">
        <f t="shared" si="869"/>
        <v>4</v>
      </c>
      <c r="G112" s="72"/>
      <c r="H112" s="74">
        <f t="shared" si="870"/>
        <v>0</v>
      </c>
      <c r="I112" s="72"/>
      <c r="J112" s="74">
        <f t="shared" si="871"/>
        <v>2</v>
      </c>
      <c r="K112" s="72"/>
      <c r="L112" s="74">
        <f t="shared" si="872"/>
        <v>2</v>
      </c>
      <c r="M112" s="72"/>
      <c r="N112" s="74">
        <f t="shared" si="873"/>
        <v>3</v>
      </c>
      <c r="O112" s="72"/>
      <c r="P112" s="74">
        <f t="shared" si="874"/>
        <v>6</v>
      </c>
      <c r="Q112" s="72"/>
      <c r="R112" s="74">
        <f t="shared" si="875"/>
        <v>2</v>
      </c>
      <c r="S112" s="72"/>
      <c r="T112" s="74">
        <f t="shared" si="876"/>
        <v>1</v>
      </c>
      <c r="U112" s="72"/>
      <c r="V112" s="74">
        <f t="shared" si="877"/>
        <v>1</v>
      </c>
      <c r="W112" s="72"/>
      <c r="X112" s="74">
        <f t="shared" si="878"/>
        <v>0</v>
      </c>
      <c r="Y112" s="72"/>
      <c r="Z112" s="74">
        <f t="shared" si="879"/>
        <v>0</v>
      </c>
      <c r="AA112" s="72"/>
      <c r="AB112" s="74">
        <f t="shared" si="880"/>
        <v>7</v>
      </c>
      <c r="AC112" s="72"/>
      <c r="AD112" s="74">
        <f t="shared" si="881"/>
        <v>8</v>
      </c>
      <c r="AE112" s="72"/>
      <c r="AF112" s="74">
        <f t="shared" si="882"/>
        <v>7</v>
      </c>
      <c r="AG112" s="72"/>
      <c r="AH112" s="74">
        <f t="shared" si="883"/>
        <v>2</v>
      </c>
      <c r="AI112" s="72"/>
      <c r="AJ112" s="74">
        <f t="shared" si="884"/>
        <v>5</v>
      </c>
      <c r="AK112" s="72"/>
      <c r="AL112" s="74">
        <f t="shared" si="885"/>
        <v>5</v>
      </c>
      <c r="AM112" s="72"/>
      <c r="AN112" s="74">
        <f t="shared" si="886"/>
        <v>6</v>
      </c>
      <c r="AO112" s="72"/>
      <c r="AP112" s="74">
        <f t="shared" si="887"/>
        <v>0</v>
      </c>
      <c r="AQ112" s="72"/>
      <c r="AR112" s="74">
        <f t="shared" si="888"/>
        <v>2</v>
      </c>
      <c r="AS112" s="72"/>
      <c r="AT112" s="74">
        <f t="shared" si="889"/>
        <v>3</v>
      </c>
      <c r="AU112" s="72"/>
      <c r="AV112" s="74">
        <f t="shared" si="890"/>
        <v>1</v>
      </c>
      <c r="AW112" s="72"/>
      <c r="AX112" s="74">
        <f t="shared" si="891"/>
        <v>13</v>
      </c>
      <c r="AY112" s="72"/>
      <c r="AZ112" s="74">
        <f t="shared" si="892"/>
        <v>15</v>
      </c>
      <c r="BA112" s="72"/>
      <c r="BB112" s="74">
        <f t="shared" si="893"/>
        <v>3</v>
      </c>
      <c r="BC112" s="72"/>
      <c r="BD112" s="74">
        <f t="shared" si="894"/>
        <v>8</v>
      </c>
      <c r="BE112" s="72"/>
      <c r="BF112" s="74">
        <f t="shared" si="895"/>
        <v>7</v>
      </c>
      <c r="BG112" s="72"/>
      <c r="BH112" s="74">
        <f t="shared" si="896"/>
        <v>0</v>
      </c>
      <c r="BI112" s="72"/>
      <c r="BJ112" s="74">
        <f t="shared" si="897"/>
        <v>9</v>
      </c>
      <c r="BK112" s="72"/>
      <c r="BL112" s="74">
        <f t="shared" si="898"/>
        <v>7</v>
      </c>
      <c r="BM112" s="72"/>
      <c r="BN112" s="74">
        <f t="shared" si="899"/>
        <v>8</v>
      </c>
      <c r="BO112" s="72"/>
      <c r="BP112" s="74">
        <f t="shared" si="900"/>
        <v>7</v>
      </c>
      <c r="BQ112" s="72"/>
      <c r="BR112" s="74">
        <f t="shared" si="901"/>
        <v>8</v>
      </c>
      <c r="BS112" s="72"/>
      <c r="BT112" s="74">
        <f t="shared" si="902"/>
        <v>8</v>
      </c>
      <c r="BU112" s="72"/>
      <c r="BV112" s="74">
        <f t="shared" si="903"/>
        <v>7</v>
      </c>
      <c r="BW112" s="72"/>
      <c r="BX112" s="74">
        <f t="shared" si="904"/>
        <v>4</v>
      </c>
      <c r="BY112" s="72"/>
      <c r="BZ112" s="74">
        <f t="shared" si="905"/>
        <v>9</v>
      </c>
      <c r="CA112" s="72"/>
      <c r="CB112" s="74">
        <f t="shared" si="906"/>
        <v>13</v>
      </c>
      <c r="CC112" s="72"/>
      <c r="CD112" s="74">
        <f t="shared" si="907"/>
        <v>7</v>
      </c>
      <c r="CF112" s="74">
        <f t="shared" si="907"/>
        <v>0</v>
      </c>
      <c r="CH112" s="74">
        <f t="shared" ref="CH112" si="909">MAX(CH100:CH111)</f>
        <v>0</v>
      </c>
    </row>
    <row r="113" spans="1:86" ht="13.5" customHeight="1" x14ac:dyDescent="0.2">
      <c r="A113" s="56">
        <v>14</v>
      </c>
      <c r="B113" s="56"/>
      <c r="C113" s="56"/>
      <c r="D113" s="56"/>
      <c r="E113" s="72"/>
      <c r="F113" s="73">
        <f t="shared" si="869"/>
        <v>4</v>
      </c>
      <c r="G113" s="72"/>
      <c r="H113" s="74">
        <f t="shared" si="870"/>
        <v>0</v>
      </c>
      <c r="I113" s="72"/>
      <c r="J113" s="74">
        <f t="shared" si="871"/>
        <v>2</v>
      </c>
      <c r="K113" s="72"/>
      <c r="L113" s="74">
        <f t="shared" si="872"/>
        <v>2</v>
      </c>
      <c r="M113" s="72"/>
      <c r="N113" s="74">
        <f t="shared" si="873"/>
        <v>3</v>
      </c>
      <c r="O113" s="72"/>
      <c r="P113" s="74">
        <f t="shared" si="874"/>
        <v>6</v>
      </c>
      <c r="Q113" s="72"/>
      <c r="R113" s="74">
        <f t="shared" si="875"/>
        <v>2</v>
      </c>
      <c r="S113" s="72"/>
      <c r="T113" s="74">
        <f t="shared" si="876"/>
        <v>1</v>
      </c>
      <c r="U113" s="72"/>
      <c r="V113" s="74">
        <f t="shared" si="877"/>
        <v>1</v>
      </c>
      <c r="W113" s="72"/>
      <c r="X113" s="74">
        <f t="shared" si="878"/>
        <v>0</v>
      </c>
      <c r="Y113" s="72"/>
      <c r="Z113" s="74">
        <f t="shared" si="879"/>
        <v>0</v>
      </c>
      <c r="AA113" s="72"/>
      <c r="AB113" s="74">
        <f t="shared" si="880"/>
        <v>7</v>
      </c>
      <c r="AC113" s="72"/>
      <c r="AD113" s="74">
        <f t="shared" si="881"/>
        <v>8</v>
      </c>
      <c r="AE113" s="72"/>
      <c r="AF113" s="74">
        <f t="shared" si="882"/>
        <v>7</v>
      </c>
      <c r="AG113" s="72"/>
      <c r="AH113" s="74">
        <f t="shared" si="883"/>
        <v>2</v>
      </c>
      <c r="AI113" s="72"/>
      <c r="AJ113" s="74">
        <f t="shared" si="884"/>
        <v>5</v>
      </c>
      <c r="AK113" s="72"/>
      <c r="AL113" s="74">
        <f t="shared" si="885"/>
        <v>5</v>
      </c>
      <c r="AM113" s="72"/>
      <c r="AN113" s="74">
        <f t="shared" si="886"/>
        <v>6</v>
      </c>
      <c r="AO113" s="72"/>
      <c r="AP113" s="74">
        <f t="shared" si="887"/>
        <v>0</v>
      </c>
      <c r="AQ113" s="72"/>
      <c r="AR113" s="74">
        <f t="shared" si="888"/>
        <v>2</v>
      </c>
      <c r="AS113" s="72"/>
      <c r="AT113" s="74">
        <f t="shared" si="889"/>
        <v>3</v>
      </c>
      <c r="AU113" s="72"/>
      <c r="AV113" s="74">
        <f t="shared" si="890"/>
        <v>1</v>
      </c>
      <c r="AW113" s="72"/>
      <c r="AX113" s="74">
        <f t="shared" si="891"/>
        <v>13</v>
      </c>
      <c r="AY113" s="72"/>
      <c r="AZ113" s="74">
        <f t="shared" si="892"/>
        <v>15</v>
      </c>
      <c r="BA113" s="72"/>
      <c r="BB113" s="74">
        <f t="shared" si="893"/>
        <v>3</v>
      </c>
      <c r="BC113" s="72"/>
      <c r="BD113" s="74">
        <f t="shared" si="894"/>
        <v>8</v>
      </c>
      <c r="BE113" s="72"/>
      <c r="BF113" s="74">
        <f t="shared" si="895"/>
        <v>7</v>
      </c>
      <c r="BG113" s="72"/>
      <c r="BH113" s="74">
        <f t="shared" si="896"/>
        <v>0</v>
      </c>
      <c r="BI113" s="72"/>
      <c r="BJ113" s="74">
        <f t="shared" si="897"/>
        <v>9</v>
      </c>
      <c r="BK113" s="72"/>
      <c r="BL113" s="74">
        <f t="shared" si="898"/>
        <v>7</v>
      </c>
      <c r="BM113" s="72"/>
      <c r="BN113" s="74">
        <f t="shared" si="899"/>
        <v>8</v>
      </c>
      <c r="BO113" s="72"/>
      <c r="BP113" s="74">
        <f t="shared" si="900"/>
        <v>7</v>
      </c>
      <c r="BQ113" s="72"/>
      <c r="BR113" s="74">
        <f t="shared" si="901"/>
        <v>8</v>
      </c>
      <c r="BS113" s="72"/>
      <c r="BT113" s="74">
        <f t="shared" si="902"/>
        <v>8</v>
      </c>
      <c r="BU113" s="72"/>
      <c r="BV113" s="74">
        <f t="shared" si="903"/>
        <v>7</v>
      </c>
      <c r="BW113" s="72"/>
      <c r="BX113" s="74">
        <f t="shared" si="904"/>
        <v>4</v>
      </c>
      <c r="BY113" s="72"/>
      <c r="BZ113" s="74">
        <f t="shared" si="905"/>
        <v>9</v>
      </c>
      <c r="CA113" s="72"/>
      <c r="CB113" s="74">
        <f t="shared" si="906"/>
        <v>13</v>
      </c>
      <c r="CC113" s="72"/>
      <c r="CD113" s="74">
        <f t="shared" si="907"/>
        <v>7</v>
      </c>
      <c r="CF113" s="74">
        <f t="shared" si="907"/>
        <v>0</v>
      </c>
      <c r="CH113" s="74">
        <f t="shared" ref="CH113" si="910">MAX(CH101:CH112)</f>
        <v>0</v>
      </c>
    </row>
    <row r="114" spans="1:86" ht="13.5" customHeight="1" x14ac:dyDescent="0.2">
      <c r="A114" s="56">
        <v>15</v>
      </c>
      <c r="B114" s="56"/>
      <c r="C114" s="56"/>
      <c r="D114" s="56"/>
      <c r="E114" s="72"/>
      <c r="F114" s="73">
        <f t="shared" si="869"/>
        <v>4</v>
      </c>
      <c r="G114" s="72"/>
      <c r="H114" s="74">
        <f t="shared" si="870"/>
        <v>0</v>
      </c>
      <c r="I114" s="72"/>
      <c r="J114" s="74">
        <f t="shared" si="871"/>
        <v>2</v>
      </c>
      <c r="K114" s="72"/>
      <c r="L114" s="74">
        <f t="shared" si="872"/>
        <v>2</v>
      </c>
      <c r="M114" s="72"/>
      <c r="N114" s="74">
        <f t="shared" si="873"/>
        <v>3</v>
      </c>
      <c r="O114" s="72"/>
      <c r="P114" s="74">
        <f t="shared" si="874"/>
        <v>6</v>
      </c>
      <c r="Q114" s="72"/>
      <c r="R114" s="74">
        <f t="shared" si="875"/>
        <v>2</v>
      </c>
      <c r="S114" s="72"/>
      <c r="T114" s="74">
        <f t="shared" si="876"/>
        <v>1</v>
      </c>
      <c r="U114" s="72"/>
      <c r="V114" s="74">
        <f t="shared" si="877"/>
        <v>1</v>
      </c>
      <c r="W114" s="72"/>
      <c r="X114" s="74">
        <f t="shared" si="878"/>
        <v>0</v>
      </c>
      <c r="Y114" s="72"/>
      <c r="Z114" s="74">
        <f t="shared" si="879"/>
        <v>0</v>
      </c>
      <c r="AA114" s="72"/>
      <c r="AB114" s="74">
        <f t="shared" si="880"/>
        <v>7</v>
      </c>
      <c r="AC114" s="72"/>
      <c r="AD114" s="74">
        <f t="shared" si="881"/>
        <v>8</v>
      </c>
      <c r="AE114" s="72"/>
      <c r="AF114" s="74">
        <f t="shared" si="882"/>
        <v>7</v>
      </c>
      <c r="AG114" s="72"/>
      <c r="AH114" s="74">
        <f t="shared" si="883"/>
        <v>2</v>
      </c>
      <c r="AI114" s="72"/>
      <c r="AJ114" s="74">
        <f t="shared" si="884"/>
        <v>5</v>
      </c>
      <c r="AK114" s="72"/>
      <c r="AL114" s="74">
        <f t="shared" si="885"/>
        <v>5</v>
      </c>
      <c r="AM114" s="72"/>
      <c r="AN114" s="74">
        <f t="shared" si="886"/>
        <v>6</v>
      </c>
      <c r="AO114" s="72"/>
      <c r="AP114" s="74">
        <f t="shared" si="887"/>
        <v>0</v>
      </c>
      <c r="AQ114" s="72"/>
      <c r="AR114" s="74">
        <f t="shared" si="888"/>
        <v>2</v>
      </c>
      <c r="AS114" s="72"/>
      <c r="AT114" s="74">
        <f t="shared" si="889"/>
        <v>3</v>
      </c>
      <c r="AU114" s="72"/>
      <c r="AV114" s="74">
        <f t="shared" si="890"/>
        <v>1</v>
      </c>
      <c r="AW114" s="72"/>
      <c r="AX114" s="74">
        <f t="shared" si="891"/>
        <v>13</v>
      </c>
      <c r="AY114" s="72"/>
      <c r="AZ114" s="74">
        <f t="shared" si="892"/>
        <v>15</v>
      </c>
      <c r="BA114" s="72"/>
      <c r="BB114" s="74">
        <f t="shared" si="893"/>
        <v>3</v>
      </c>
      <c r="BC114" s="72"/>
      <c r="BD114" s="74">
        <f t="shared" si="894"/>
        <v>8</v>
      </c>
      <c r="BE114" s="72"/>
      <c r="BF114" s="74">
        <f t="shared" si="895"/>
        <v>7</v>
      </c>
      <c r="BG114" s="72"/>
      <c r="BH114" s="74">
        <f t="shared" si="896"/>
        <v>0</v>
      </c>
      <c r="BI114" s="72"/>
      <c r="BJ114" s="74">
        <f t="shared" si="897"/>
        <v>9</v>
      </c>
      <c r="BK114" s="72"/>
      <c r="BL114" s="74">
        <f t="shared" si="898"/>
        <v>7</v>
      </c>
      <c r="BM114" s="72"/>
      <c r="BN114" s="74">
        <f t="shared" si="899"/>
        <v>8</v>
      </c>
      <c r="BO114" s="72"/>
      <c r="BP114" s="74">
        <f t="shared" si="900"/>
        <v>7</v>
      </c>
      <c r="BQ114" s="72"/>
      <c r="BR114" s="74">
        <f t="shared" si="901"/>
        <v>8</v>
      </c>
      <c r="BS114" s="72"/>
      <c r="BT114" s="74">
        <f t="shared" si="902"/>
        <v>8</v>
      </c>
      <c r="BU114" s="72"/>
      <c r="BV114" s="74">
        <f t="shared" si="903"/>
        <v>7</v>
      </c>
      <c r="BW114" s="72"/>
      <c r="BX114" s="74">
        <f t="shared" si="904"/>
        <v>4</v>
      </c>
      <c r="BY114" s="72"/>
      <c r="BZ114" s="74">
        <f t="shared" si="905"/>
        <v>9</v>
      </c>
      <c r="CA114" s="72"/>
      <c r="CB114" s="74">
        <f t="shared" si="906"/>
        <v>13</v>
      </c>
      <c r="CC114" s="72"/>
      <c r="CD114" s="74">
        <f t="shared" si="907"/>
        <v>7</v>
      </c>
      <c r="CF114" s="74">
        <f t="shared" si="907"/>
        <v>0</v>
      </c>
      <c r="CH114" s="74">
        <f t="shared" ref="CH114" si="911">MAX(CH102:CH113)</f>
        <v>0</v>
      </c>
    </row>
    <row r="115" spans="1:86" ht="13.5" customHeight="1" x14ac:dyDescent="0.2">
      <c r="A115" s="56">
        <v>16</v>
      </c>
      <c r="B115" s="56"/>
      <c r="C115" s="56"/>
      <c r="D115" s="56"/>
      <c r="E115" s="72"/>
      <c r="F115" s="73">
        <f t="shared" si="869"/>
        <v>4</v>
      </c>
      <c r="G115" s="72"/>
      <c r="H115" s="74">
        <f t="shared" si="870"/>
        <v>0</v>
      </c>
      <c r="I115" s="72"/>
      <c r="J115" s="74">
        <f t="shared" si="871"/>
        <v>2</v>
      </c>
      <c r="K115" s="72"/>
      <c r="L115" s="74">
        <f t="shared" si="872"/>
        <v>2</v>
      </c>
      <c r="M115" s="72"/>
      <c r="N115" s="74">
        <f t="shared" si="873"/>
        <v>3</v>
      </c>
      <c r="O115" s="72"/>
      <c r="P115" s="74">
        <f t="shared" si="874"/>
        <v>6</v>
      </c>
      <c r="Q115" s="72"/>
      <c r="R115" s="74">
        <f t="shared" si="875"/>
        <v>2</v>
      </c>
      <c r="S115" s="72"/>
      <c r="T115" s="74">
        <f t="shared" si="876"/>
        <v>1</v>
      </c>
      <c r="U115" s="72"/>
      <c r="V115" s="74">
        <f t="shared" si="877"/>
        <v>1</v>
      </c>
      <c r="W115" s="72"/>
      <c r="X115" s="74">
        <f t="shared" si="878"/>
        <v>0</v>
      </c>
      <c r="Y115" s="72"/>
      <c r="Z115" s="74">
        <f t="shared" si="879"/>
        <v>0</v>
      </c>
      <c r="AA115" s="72"/>
      <c r="AB115" s="74">
        <f t="shared" si="880"/>
        <v>7</v>
      </c>
      <c r="AC115" s="72"/>
      <c r="AD115" s="74">
        <f t="shared" si="881"/>
        <v>8</v>
      </c>
      <c r="AE115" s="72"/>
      <c r="AF115" s="74">
        <f t="shared" si="882"/>
        <v>7</v>
      </c>
      <c r="AG115" s="72"/>
      <c r="AH115" s="74">
        <f t="shared" si="883"/>
        <v>2</v>
      </c>
      <c r="AI115" s="72"/>
      <c r="AJ115" s="74">
        <f t="shared" si="884"/>
        <v>5</v>
      </c>
      <c r="AK115" s="72"/>
      <c r="AL115" s="74">
        <f t="shared" si="885"/>
        <v>5</v>
      </c>
      <c r="AM115" s="72"/>
      <c r="AN115" s="74">
        <f t="shared" si="886"/>
        <v>6</v>
      </c>
      <c r="AO115" s="72"/>
      <c r="AP115" s="74">
        <f t="shared" si="887"/>
        <v>0</v>
      </c>
      <c r="AQ115" s="72"/>
      <c r="AR115" s="74">
        <f t="shared" si="888"/>
        <v>2</v>
      </c>
      <c r="AS115" s="72"/>
      <c r="AT115" s="74">
        <f t="shared" si="889"/>
        <v>3</v>
      </c>
      <c r="AU115" s="72"/>
      <c r="AV115" s="74">
        <f t="shared" si="890"/>
        <v>1</v>
      </c>
      <c r="AW115" s="72"/>
      <c r="AX115" s="74">
        <f t="shared" si="891"/>
        <v>13</v>
      </c>
      <c r="AY115" s="72"/>
      <c r="AZ115" s="74">
        <f t="shared" si="892"/>
        <v>15</v>
      </c>
      <c r="BA115" s="72"/>
      <c r="BB115" s="74">
        <f t="shared" si="893"/>
        <v>3</v>
      </c>
      <c r="BC115" s="72"/>
      <c r="BD115" s="74">
        <f t="shared" si="894"/>
        <v>8</v>
      </c>
      <c r="BE115" s="72"/>
      <c r="BF115" s="74">
        <f t="shared" si="895"/>
        <v>7</v>
      </c>
      <c r="BG115" s="72"/>
      <c r="BH115" s="74">
        <f t="shared" si="896"/>
        <v>0</v>
      </c>
      <c r="BI115" s="72"/>
      <c r="BJ115" s="74">
        <f t="shared" si="897"/>
        <v>9</v>
      </c>
      <c r="BK115" s="72"/>
      <c r="BL115" s="74">
        <f t="shared" si="898"/>
        <v>7</v>
      </c>
      <c r="BM115" s="72"/>
      <c r="BN115" s="74">
        <f t="shared" si="899"/>
        <v>8</v>
      </c>
      <c r="BO115" s="72"/>
      <c r="BP115" s="74">
        <f t="shared" si="900"/>
        <v>7</v>
      </c>
      <c r="BQ115" s="72"/>
      <c r="BR115" s="74">
        <f t="shared" si="901"/>
        <v>8</v>
      </c>
      <c r="BS115" s="72"/>
      <c r="BT115" s="74">
        <f t="shared" si="902"/>
        <v>8</v>
      </c>
      <c r="BU115" s="72"/>
      <c r="BV115" s="74">
        <f t="shared" si="903"/>
        <v>7</v>
      </c>
      <c r="BW115" s="72"/>
      <c r="BX115" s="74">
        <f t="shared" si="904"/>
        <v>4</v>
      </c>
      <c r="BY115" s="72"/>
      <c r="BZ115" s="74">
        <f t="shared" si="905"/>
        <v>9</v>
      </c>
      <c r="CA115" s="72"/>
      <c r="CB115" s="74">
        <f t="shared" si="906"/>
        <v>13</v>
      </c>
      <c r="CC115" s="72"/>
      <c r="CD115" s="74">
        <f t="shared" si="907"/>
        <v>7</v>
      </c>
      <c r="CF115" s="74">
        <f t="shared" si="907"/>
        <v>0</v>
      </c>
      <c r="CH115" s="74">
        <f t="shared" ref="CH115" si="912">MAX(CH103:CH114)</f>
        <v>0</v>
      </c>
    </row>
    <row r="116" spans="1:86" ht="13.5" customHeight="1" x14ac:dyDescent="0.2">
      <c r="A116" s="56">
        <v>17</v>
      </c>
      <c r="B116" s="56"/>
      <c r="C116" s="56"/>
      <c r="D116" s="56"/>
      <c r="E116" s="72"/>
      <c r="F116" s="73">
        <f t="shared" si="869"/>
        <v>4</v>
      </c>
      <c r="G116" s="72"/>
      <c r="H116" s="74">
        <f t="shared" si="870"/>
        <v>0</v>
      </c>
      <c r="I116" s="72"/>
      <c r="J116" s="74">
        <f t="shared" si="871"/>
        <v>2</v>
      </c>
      <c r="K116" s="72"/>
      <c r="L116" s="74">
        <f t="shared" si="872"/>
        <v>2</v>
      </c>
      <c r="M116" s="72"/>
      <c r="N116" s="74">
        <f t="shared" si="873"/>
        <v>3</v>
      </c>
      <c r="O116" s="72"/>
      <c r="P116" s="74">
        <f t="shared" si="874"/>
        <v>6</v>
      </c>
      <c r="Q116" s="72"/>
      <c r="R116" s="74">
        <f t="shared" si="875"/>
        <v>2</v>
      </c>
      <c r="S116" s="72"/>
      <c r="T116" s="74">
        <f t="shared" si="876"/>
        <v>1</v>
      </c>
      <c r="U116" s="72"/>
      <c r="V116" s="74">
        <f t="shared" si="877"/>
        <v>1</v>
      </c>
      <c r="W116" s="72"/>
      <c r="X116" s="74">
        <f t="shared" si="878"/>
        <v>0</v>
      </c>
      <c r="Y116" s="72"/>
      <c r="Z116" s="74">
        <f t="shared" si="879"/>
        <v>0</v>
      </c>
      <c r="AA116" s="72"/>
      <c r="AB116" s="74">
        <f t="shared" si="880"/>
        <v>7</v>
      </c>
      <c r="AC116" s="72"/>
      <c r="AD116" s="74">
        <f t="shared" si="881"/>
        <v>8</v>
      </c>
      <c r="AE116" s="72"/>
      <c r="AF116" s="74">
        <f t="shared" si="882"/>
        <v>7</v>
      </c>
      <c r="AG116" s="72"/>
      <c r="AH116" s="74">
        <f t="shared" si="883"/>
        <v>2</v>
      </c>
      <c r="AI116" s="72"/>
      <c r="AJ116" s="74">
        <f t="shared" si="884"/>
        <v>5</v>
      </c>
      <c r="AK116" s="72"/>
      <c r="AL116" s="74">
        <f t="shared" si="885"/>
        <v>5</v>
      </c>
      <c r="AM116" s="72"/>
      <c r="AN116" s="74">
        <f t="shared" si="886"/>
        <v>6</v>
      </c>
      <c r="AO116" s="72"/>
      <c r="AP116" s="74">
        <f t="shared" si="887"/>
        <v>0</v>
      </c>
      <c r="AQ116" s="72"/>
      <c r="AR116" s="74">
        <f t="shared" si="888"/>
        <v>2</v>
      </c>
      <c r="AS116" s="72"/>
      <c r="AT116" s="74">
        <f t="shared" si="889"/>
        <v>3</v>
      </c>
      <c r="AU116" s="72"/>
      <c r="AV116" s="74">
        <f t="shared" si="890"/>
        <v>1</v>
      </c>
      <c r="AW116" s="72"/>
      <c r="AX116" s="74">
        <f t="shared" si="891"/>
        <v>13</v>
      </c>
      <c r="AY116" s="72"/>
      <c r="AZ116" s="74">
        <f t="shared" si="892"/>
        <v>15</v>
      </c>
      <c r="BA116" s="72"/>
      <c r="BB116" s="74">
        <f t="shared" si="893"/>
        <v>3</v>
      </c>
      <c r="BC116" s="72"/>
      <c r="BD116" s="74">
        <f t="shared" si="894"/>
        <v>8</v>
      </c>
      <c r="BE116" s="72"/>
      <c r="BF116" s="74">
        <f t="shared" si="895"/>
        <v>7</v>
      </c>
      <c r="BG116" s="72"/>
      <c r="BH116" s="74">
        <f t="shared" si="896"/>
        <v>0</v>
      </c>
      <c r="BI116" s="72"/>
      <c r="BJ116" s="74">
        <f t="shared" si="897"/>
        <v>9</v>
      </c>
      <c r="BK116" s="72"/>
      <c r="BL116" s="74">
        <f t="shared" si="898"/>
        <v>7</v>
      </c>
      <c r="BM116" s="72"/>
      <c r="BN116" s="74">
        <f t="shared" si="899"/>
        <v>8</v>
      </c>
      <c r="BO116" s="72"/>
      <c r="BP116" s="74">
        <f t="shared" si="900"/>
        <v>7</v>
      </c>
      <c r="BQ116" s="72"/>
      <c r="BR116" s="74">
        <f t="shared" si="901"/>
        <v>8</v>
      </c>
      <c r="BS116" s="72"/>
      <c r="BT116" s="74">
        <f t="shared" si="902"/>
        <v>8</v>
      </c>
      <c r="BU116" s="72"/>
      <c r="BV116" s="74">
        <f t="shared" si="903"/>
        <v>7</v>
      </c>
      <c r="BW116" s="72"/>
      <c r="BX116" s="74">
        <f t="shared" si="904"/>
        <v>4</v>
      </c>
      <c r="BY116" s="72"/>
      <c r="BZ116" s="74">
        <f t="shared" si="905"/>
        <v>9</v>
      </c>
      <c r="CA116" s="72"/>
      <c r="CB116" s="74">
        <f t="shared" si="906"/>
        <v>13</v>
      </c>
      <c r="CC116" s="72"/>
      <c r="CD116" s="74">
        <f t="shared" si="907"/>
        <v>7</v>
      </c>
      <c r="CF116" s="74">
        <f t="shared" si="907"/>
        <v>0</v>
      </c>
      <c r="CH116" s="74">
        <f t="shared" ref="CH116" si="913">MAX(CH104:CH115)</f>
        <v>0</v>
      </c>
    </row>
    <row r="117" spans="1:86" ht="13.5" customHeight="1" x14ac:dyDescent="0.2">
      <c r="A117" s="56">
        <v>18</v>
      </c>
      <c r="B117" s="56"/>
      <c r="C117" s="56"/>
      <c r="D117" s="56"/>
      <c r="E117" s="72"/>
      <c r="F117" s="73">
        <f t="shared" si="869"/>
        <v>4</v>
      </c>
      <c r="G117" s="72"/>
      <c r="H117" s="74">
        <f t="shared" si="870"/>
        <v>0</v>
      </c>
      <c r="I117" s="72"/>
      <c r="J117" s="74">
        <f t="shared" si="871"/>
        <v>2</v>
      </c>
      <c r="K117" s="72"/>
      <c r="L117" s="74">
        <f t="shared" si="872"/>
        <v>2</v>
      </c>
      <c r="M117" s="72"/>
      <c r="N117" s="74">
        <f t="shared" si="873"/>
        <v>3</v>
      </c>
      <c r="O117" s="72"/>
      <c r="P117" s="74">
        <f t="shared" si="874"/>
        <v>6</v>
      </c>
      <c r="Q117" s="72"/>
      <c r="R117" s="74">
        <f t="shared" si="875"/>
        <v>2</v>
      </c>
      <c r="S117" s="72"/>
      <c r="T117" s="74">
        <f t="shared" si="876"/>
        <v>1</v>
      </c>
      <c r="U117" s="72"/>
      <c r="V117" s="74">
        <f t="shared" si="877"/>
        <v>1</v>
      </c>
      <c r="W117" s="72"/>
      <c r="X117" s="74">
        <f t="shared" si="878"/>
        <v>0</v>
      </c>
      <c r="Y117" s="72"/>
      <c r="Z117" s="74">
        <f t="shared" si="879"/>
        <v>0</v>
      </c>
      <c r="AA117" s="72"/>
      <c r="AB117" s="74">
        <f t="shared" si="880"/>
        <v>7</v>
      </c>
      <c r="AC117" s="72"/>
      <c r="AD117" s="74">
        <f t="shared" si="881"/>
        <v>8</v>
      </c>
      <c r="AE117" s="72"/>
      <c r="AF117" s="74">
        <f t="shared" si="882"/>
        <v>7</v>
      </c>
      <c r="AG117" s="72"/>
      <c r="AH117" s="74">
        <f t="shared" si="883"/>
        <v>2</v>
      </c>
      <c r="AI117" s="72"/>
      <c r="AJ117" s="74">
        <f t="shared" si="884"/>
        <v>5</v>
      </c>
      <c r="AK117" s="72"/>
      <c r="AL117" s="74">
        <f t="shared" si="885"/>
        <v>5</v>
      </c>
      <c r="AM117" s="72"/>
      <c r="AN117" s="74">
        <f t="shared" si="886"/>
        <v>6</v>
      </c>
      <c r="AO117" s="72"/>
      <c r="AP117" s="74">
        <f t="shared" si="887"/>
        <v>0</v>
      </c>
      <c r="AQ117" s="72"/>
      <c r="AR117" s="74">
        <f t="shared" si="888"/>
        <v>2</v>
      </c>
      <c r="AS117" s="72"/>
      <c r="AT117" s="74">
        <f t="shared" si="889"/>
        <v>3</v>
      </c>
      <c r="AU117" s="72"/>
      <c r="AV117" s="74">
        <f t="shared" si="890"/>
        <v>1</v>
      </c>
      <c r="AW117" s="72"/>
      <c r="AX117" s="74">
        <f t="shared" si="891"/>
        <v>13</v>
      </c>
      <c r="AY117" s="72"/>
      <c r="AZ117" s="74">
        <f t="shared" si="892"/>
        <v>15</v>
      </c>
      <c r="BA117" s="72"/>
      <c r="BB117" s="74">
        <f t="shared" si="893"/>
        <v>3</v>
      </c>
      <c r="BC117" s="72"/>
      <c r="BD117" s="74">
        <f t="shared" si="894"/>
        <v>8</v>
      </c>
      <c r="BE117" s="72"/>
      <c r="BF117" s="74">
        <f t="shared" si="895"/>
        <v>7</v>
      </c>
      <c r="BG117" s="72"/>
      <c r="BH117" s="74">
        <f t="shared" si="896"/>
        <v>0</v>
      </c>
      <c r="BI117" s="72"/>
      <c r="BJ117" s="74">
        <f t="shared" si="897"/>
        <v>9</v>
      </c>
      <c r="BK117" s="72"/>
      <c r="BL117" s="74">
        <f t="shared" si="898"/>
        <v>7</v>
      </c>
      <c r="BM117" s="72"/>
      <c r="BN117" s="74">
        <f t="shared" si="899"/>
        <v>8</v>
      </c>
      <c r="BO117" s="72"/>
      <c r="BP117" s="74">
        <f t="shared" si="900"/>
        <v>7</v>
      </c>
      <c r="BQ117" s="72"/>
      <c r="BR117" s="74">
        <f t="shared" si="901"/>
        <v>8</v>
      </c>
      <c r="BS117" s="72"/>
      <c r="BT117" s="74">
        <f t="shared" si="902"/>
        <v>8</v>
      </c>
      <c r="BU117" s="72"/>
      <c r="BV117" s="74">
        <f t="shared" si="903"/>
        <v>7</v>
      </c>
      <c r="BW117" s="72"/>
      <c r="BX117" s="74">
        <f t="shared" si="904"/>
        <v>4</v>
      </c>
      <c r="BY117" s="72"/>
      <c r="BZ117" s="74">
        <f t="shared" si="905"/>
        <v>9</v>
      </c>
      <c r="CA117" s="72"/>
      <c r="CB117" s="74">
        <f t="shared" si="906"/>
        <v>13</v>
      </c>
      <c r="CC117" s="72"/>
      <c r="CD117" s="74">
        <f t="shared" si="907"/>
        <v>7</v>
      </c>
      <c r="CF117" s="74">
        <f t="shared" si="907"/>
        <v>0</v>
      </c>
      <c r="CH117" s="74">
        <f t="shared" ref="CH117" si="914">MAX(CH105:CH116)</f>
        <v>0</v>
      </c>
    </row>
    <row r="118" spans="1:86" ht="13.5" customHeight="1" x14ac:dyDescent="0.2">
      <c r="A118" s="56">
        <v>19</v>
      </c>
      <c r="B118" s="56"/>
      <c r="C118" s="56"/>
      <c r="D118" s="56"/>
      <c r="E118" s="72"/>
      <c r="F118" s="73">
        <f t="shared" si="869"/>
        <v>4</v>
      </c>
      <c r="G118" s="72"/>
      <c r="H118" s="74">
        <f t="shared" si="870"/>
        <v>0</v>
      </c>
      <c r="I118" s="72"/>
      <c r="J118" s="74">
        <f t="shared" si="871"/>
        <v>2</v>
      </c>
      <c r="K118" s="72"/>
      <c r="L118" s="74">
        <f t="shared" si="872"/>
        <v>2</v>
      </c>
      <c r="M118" s="72"/>
      <c r="N118" s="74">
        <f t="shared" si="873"/>
        <v>3</v>
      </c>
      <c r="O118" s="72"/>
      <c r="P118" s="74">
        <f t="shared" si="874"/>
        <v>6</v>
      </c>
      <c r="Q118" s="72"/>
      <c r="R118" s="74">
        <f t="shared" si="875"/>
        <v>2</v>
      </c>
      <c r="S118" s="72"/>
      <c r="T118" s="74">
        <f t="shared" si="876"/>
        <v>1</v>
      </c>
      <c r="U118" s="72"/>
      <c r="V118" s="74">
        <f t="shared" si="877"/>
        <v>1</v>
      </c>
      <c r="W118" s="72"/>
      <c r="X118" s="74">
        <f t="shared" si="878"/>
        <v>0</v>
      </c>
      <c r="Y118" s="72"/>
      <c r="Z118" s="74">
        <f t="shared" si="879"/>
        <v>0</v>
      </c>
      <c r="AA118" s="72"/>
      <c r="AB118" s="74">
        <f t="shared" si="880"/>
        <v>7</v>
      </c>
      <c r="AC118" s="72"/>
      <c r="AD118" s="74">
        <f t="shared" si="881"/>
        <v>8</v>
      </c>
      <c r="AE118" s="72"/>
      <c r="AF118" s="74">
        <f t="shared" si="882"/>
        <v>7</v>
      </c>
      <c r="AG118" s="72"/>
      <c r="AH118" s="74">
        <f t="shared" si="883"/>
        <v>2</v>
      </c>
      <c r="AI118" s="72"/>
      <c r="AJ118" s="74">
        <f t="shared" si="884"/>
        <v>5</v>
      </c>
      <c r="AK118" s="72"/>
      <c r="AL118" s="74">
        <f t="shared" si="885"/>
        <v>5</v>
      </c>
      <c r="AM118" s="72"/>
      <c r="AN118" s="74">
        <f t="shared" si="886"/>
        <v>6</v>
      </c>
      <c r="AO118" s="72"/>
      <c r="AP118" s="74">
        <f t="shared" si="887"/>
        <v>0</v>
      </c>
      <c r="AQ118" s="72"/>
      <c r="AR118" s="74">
        <f t="shared" si="888"/>
        <v>2</v>
      </c>
      <c r="AS118" s="72"/>
      <c r="AT118" s="74">
        <f t="shared" si="889"/>
        <v>3</v>
      </c>
      <c r="AU118" s="72"/>
      <c r="AV118" s="74">
        <f t="shared" si="890"/>
        <v>1</v>
      </c>
      <c r="AW118" s="72"/>
      <c r="AX118" s="74">
        <f t="shared" si="891"/>
        <v>13</v>
      </c>
      <c r="AY118" s="72"/>
      <c r="AZ118" s="74">
        <f t="shared" si="892"/>
        <v>15</v>
      </c>
      <c r="BA118" s="72"/>
      <c r="BB118" s="74">
        <f t="shared" si="893"/>
        <v>3</v>
      </c>
      <c r="BC118" s="72"/>
      <c r="BD118" s="74">
        <f t="shared" si="894"/>
        <v>8</v>
      </c>
      <c r="BE118" s="72"/>
      <c r="BF118" s="74">
        <f t="shared" si="895"/>
        <v>7</v>
      </c>
      <c r="BG118" s="72"/>
      <c r="BH118" s="74">
        <f t="shared" si="896"/>
        <v>0</v>
      </c>
      <c r="BI118" s="72"/>
      <c r="BJ118" s="74">
        <f t="shared" si="897"/>
        <v>9</v>
      </c>
      <c r="BK118" s="72"/>
      <c r="BL118" s="74">
        <f t="shared" si="898"/>
        <v>7</v>
      </c>
      <c r="BM118" s="72"/>
      <c r="BN118" s="74">
        <f t="shared" si="899"/>
        <v>8</v>
      </c>
      <c r="BO118" s="72"/>
      <c r="BP118" s="74">
        <f t="shared" si="900"/>
        <v>7</v>
      </c>
      <c r="BQ118" s="72"/>
      <c r="BR118" s="74">
        <f t="shared" si="901"/>
        <v>8</v>
      </c>
      <c r="BS118" s="72"/>
      <c r="BT118" s="74">
        <f t="shared" si="902"/>
        <v>8</v>
      </c>
      <c r="BU118" s="72"/>
      <c r="BV118" s="74">
        <f t="shared" si="903"/>
        <v>7</v>
      </c>
      <c r="BW118" s="72"/>
      <c r="BX118" s="74">
        <f t="shared" si="904"/>
        <v>4</v>
      </c>
      <c r="BY118" s="72"/>
      <c r="BZ118" s="74">
        <f t="shared" si="905"/>
        <v>9</v>
      </c>
      <c r="CA118" s="72"/>
      <c r="CB118" s="74">
        <f t="shared" si="906"/>
        <v>13</v>
      </c>
      <c r="CC118" s="72"/>
      <c r="CD118" s="74">
        <f t="shared" si="907"/>
        <v>7</v>
      </c>
      <c r="CF118" s="74">
        <f t="shared" si="907"/>
        <v>0</v>
      </c>
      <c r="CH118" s="74">
        <f t="shared" ref="CH118" si="915">MAX(CH106:CH117)</f>
        <v>0</v>
      </c>
    </row>
    <row r="119" spans="1:86" ht="13.5" customHeight="1" x14ac:dyDescent="0.2">
      <c r="A119" s="56">
        <v>20</v>
      </c>
      <c r="B119" s="56"/>
      <c r="C119" s="56"/>
      <c r="D119" s="56"/>
      <c r="E119" s="72"/>
      <c r="F119" s="73">
        <f t="shared" si="869"/>
        <v>4</v>
      </c>
      <c r="G119" s="72"/>
      <c r="H119" s="74">
        <f t="shared" si="870"/>
        <v>0</v>
      </c>
      <c r="I119" s="72"/>
      <c r="J119" s="74">
        <f t="shared" si="871"/>
        <v>2</v>
      </c>
      <c r="K119" s="72"/>
      <c r="L119" s="74">
        <f t="shared" si="872"/>
        <v>2</v>
      </c>
      <c r="M119" s="72"/>
      <c r="N119" s="74">
        <f t="shared" si="873"/>
        <v>3</v>
      </c>
      <c r="O119" s="72"/>
      <c r="P119" s="74">
        <f t="shared" si="874"/>
        <v>6</v>
      </c>
      <c r="Q119" s="72"/>
      <c r="R119" s="74">
        <f t="shared" si="875"/>
        <v>2</v>
      </c>
      <c r="S119" s="72"/>
      <c r="T119" s="74">
        <f t="shared" si="876"/>
        <v>1</v>
      </c>
      <c r="U119" s="72"/>
      <c r="V119" s="74">
        <f t="shared" si="877"/>
        <v>1</v>
      </c>
      <c r="W119" s="72"/>
      <c r="X119" s="74">
        <f t="shared" si="878"/>
        <v>0</v>
      </c>
      <c r="Y119" s="72"/>
      <c r="Z119" s="74">
        <f t="shared" si="879"/>
        <v>0</v>
      </c>
      <c r="AA119" s="72"/>
      <c r="AB119" s="74">
        <f t="shared" si="880"/>
        <v>7</v>
      </c>
      <c r="AC119" s="72"/>
      <c r="AD119" s="74">
        <f t="shared" si="881"/>
        <v>8</v>
      </c>
      <c r="AE119" s="72"/>
      <c r="AF119" s="74">
        <f t="shared" si="882"/>
        <v>7</v>
      </c>
      <c r="AG119" s="72"/>
      <c r="AH119" s="74">
        <f t="shared" si="883"/>
        <v>2</v>
      </c>
      <c r="AI119" s="72"/>
      <c r="AJ119" s="74">
        <f t="shared" si="884"/>
        <v>5</v>
      </c>
      <c r="AK119" s="72"/>
      <c r="AL119" s="74">
        <f t="shared" si="885"/>
        <v>5</v>
      </c>
      <c r="AM119" s="72"/>
      <c r="AN119" s="74">
        <f t="shared" si="886"/>
        <v>6</v>
      </c>
      <c r="AO119" s="72"/>
      <c r="AP119" s="74">
        <f t="shared" si="887"/>
        <v>0</v>
      </c>
      <c r="AQ119" s="72"/>
      <c r="AR119" s="74">
        <f t="shared" si="888"/>
        <v>2</v>
      </c>
      <c r="AS119" s="72"/>
      <c r="AT119" s="74">
        <f t="shared" si="889"/>
        <v>3</v>
      </c>
      <c r="AU119" s="72"/>
      <c r="AV119" s="74">
        <f t="shared" si="890"/>
        <v>1</v>
      </c>
      <c r="AW119" s="72"/>
      <c r="AX119" s="74">
        <f t="shared" si="891"/>
        <v>13</v>
      </c>
      <c r="AY119" s="72"/>
      <c r="AZ119" s="74">
        <f t="shared" si="892"/>
        <v>15</v>
      </c>
      <c r="BA119" s="72"/>
      <c r="BB119" s="74">
        <f t="shared" si="893"/>
        <v>3</v>
      </c>
      <c r="BC119" s="72"/>
      <c r="BD119" s="74">
        <f t="shared" si="894"/>
        <v>8</v>
      </c>
      <c r="BE119" s="72"/>
      <c r="BF119" s="74">
        <f t="shared" si="895"/>
        <v>7</v>
      </c>
      <c r="BG119" s="72"/>
      <c r="BH119" s="74">
        <f t="shared" si="896"/>
        <v>0</v>
      </c>
      <c r="BI119" s="72"/>
      <c r="BJ119" s="74">
        <f t="shared" si="897"/>
        <v>9</v>
      </c>
      <c r="BK119" s="72"/>
      <c r="BL119" s="74">
        <f t="shared" si="898"/>
        <v>7</v>
      </c>
      <c r="BM119" s="72"/>
      <c r="BN119" s="74">
        <f t="shared" si="899"/>
        <v>8</v>
      </c>
      <c r="BO119" s="72"/>
      <c r="BP119" s="74">
        <f t="shared" si="900"/>
        <v>7</v>
      </c>
      <c r="BQ119" s="72"/>
      <c r="BR119" s="74">
        <f t="shared" si="901"/>
        <v>8</v>
      </c>
      <c r="BS119" s="72"/>
      <c r="BT119" s="74">
        <f t="shared" si="902"/>
        <v>8</v>
      </c>
      <c r="BU119" s="72"/>
      <c r="BV119" s="74">
        <f t="shared" si="903"/>
        <v>7</v>
      </c>
      <c r="BW119" s="72"/>
      <c r="BX119" s="74">
        <f t="shared" si="904"/>
        <v>4</v>
      </c>
      <c r="BY119" s="72"/>
      <c r="BZ119" s="74">
        <f t="shared" si="905"/>
        <v>9</v>
      </c>
      <c r="CA119" s="72"/>
      <c r="CB119" s="74">
        <f t="shared" si="906"/>
        <v>13</v>
      </c>
      <c r="CC119" s="72"/>
      <c r="CD119" s="74">
        <f t="shared" si="907"/>
        <v>7</v>
      </c>
      <c r="CF119" s="74">
        <f t="shared" si="907"/>
        <v>0</v>
      </c>
      <c r="CH119" s="74">
        <f t="shared" ref="CH119" si="916">MAX(CH107:CH118)</f>
        <v>0</v>
      </c>
    </row>
    <row r="120" spans="1:86" ht="13.5" customHeight="1" x14ac:dyDescent="0.2">
      <c r="A120" s="56">
        <v>21</v>
      </c>
      <c r="B120" s="56"/>
      <c r="C120" s="56"/>
      <c r="D120" s="56"/>
      <c r="E120" s="72"/>
      <c r="F120" s="73">
        <f t="shared" si="869"/>
        <v>4</v>
      </c>
      <c r="G120" s="72"/>
      <c r="H120" s="74">
        <f t="shared" si="870"/>
        <v>0</v>
      </c>
      <c r="I120" s="72"/>
      <c r="J120" s="74">
        <f t="shared" si="871"/>
        <v>2</v>
      </c>
      <c r="K120" s="72"/>
      <c r="L120" s="74">
        <f t="shared" si="872"/>
        <v>2</v>
      </c>
      <c r="M120" s="72"/>
      <c r="N120" s="74">
        <f t="shared" si="873"/>
        <v>3</v>
      </c>
      <c r="O120" s="72"/>
      <c r="P120" s="74">
        <f t="shared" si="874"/>
        <v>6</v>
      </c>
      <c r="Q120" s="72"/>
      <c r="R120" s="74">
        <f t="shared" si="875"/>
        <v>2</v>
      </c>
      <c r="S120" s="72"/>
      <c r="T120" s="74">
        <f t="shared" si="876"/>
        <v>1</v>
      </c>
      <c r="U120" s="72"/>
      <c r="V120" s="74">
        <f t="shared" si="877"/>
        <v>1</v>
      </c>
      <c r="W120" s="72"/>
      <c r="X120" s="74">
        <f t="shared" si="878"/>
        <v>0</v>
      </c>
      <c r="Y120" s="72"/>
      <c r="Z120" s="74">
        <f t="shared" si="879"/>
        <v>0</v>
      </c>
      <c r="AA120" s="72"/>
      <c r="AB120" s="74">
        <f t="shared" si="880"/>
        <v>7</v>
      </c>
      <c r="AC120" s="72"/>
      <c r="AD120" s="74">
        <f t="shared" si="881"/>
        <v>8</v>
      </c>
      <c r="AE120" s="72"/>
      <c r="AF120" s="74">
        <f t="shared" si="882"/>
        <v>7</v>
      </c>
      <c r="AG120" s="72"/>
      <c r="AH120" s="74">
        <f t="shared" si="883"/>
        <v>2</v>
      </c>
      <c r="AI120" s="72"/>
      <c r="AJ120" s="74">
        <f t="shared" si="884"/>
        <v>5</v>
      </c>
      <c r="AK120" s="72"/>
      <c r="AL120" s="74">
        <f t="shared" si="885"/>
        <v>5</v>
      </c>
      <c r="AM120" s="72"/>
      <c r="AN120" s="74">
        <f t="shared" si="886"/>
        <v>6</v>
      </c>
      <c r="AO120" s="72"/>
      <c r="AP120" s="74">
        <f t="shared" si="887"/>
        <v>0</v>
      </c>
      <c r="AQ120" s="72"/>
      <c r="AR120" s="74">
        <f t="shared" si="888"/>
        <v>2</v>
      </c>
      <c r="AS120" s="72"/>
      <c r="AT120" s="74">
        <f t="shared" si="889"/>
        <v>3</v>
      </c>
      <c r="AU120" s="72"/>
      <c r="AV120" s="74">
        <f t="shared" si="890"/>
        <v>1</v>
      </c>
      <c r="AW120" s="72"/>
      <c r="AX120" s="74">
        <f t="shared" si="891"/>
        <v>13</v>
      </c>
      <c r="AY120" s="72"/>
      <c r="AZ120" s="74">
        <f t="shared" si="892"/>
        <v>15</v>
      </c>
      <c r="BA120" s="72"/>
      <c r="BB120" s="74">
        <f t="shared" si="893"/>
        <v>3</v>
      </c>
      <c r="BC120" s="72"/>
      <c r="BD120" s="74">
        <f t="shared" si="894"/>
        <v>8</v>
      </c>
      <c r="BE120" s="72"/>
      <c r="BF120" s="74">
        <f t="shared" si="895"/>
        <v>7</v>
      </c>
      <c r="BG120" s="72"/>
      <c r="BH120" s="74">
        <f t="shared" si="896"/>
        <v>0</v>
      </c>
      <c r="BI120" s="72"/>
      <c r="BJ120" s="74">
        <f t="shared" si="897"/>
        <v>9</v>
      </c>
      <c r="BK120" s="72"/>
      <c r="BL120" s="74">
        <f t="shared" si="898"/>
        <v>7</v>
      </c>
      <c r="BM120" s="72"/>
      <c r="BN120" s="74">
        <f t="shared" si="899"/>
        <v>8</v>
      </c>
      <c r="BO120" s="72"/>
      <c r="BP120" s="74">
        <f t="shared" si="900"/>
        <v>7</v>
      </c>
      <c r="BQ120" s="72"/>
      <c r="BR120" s="74">
        <f t="shared" si="901"/>
        <v>8</v>
      </c>
      <c r="BS120" s="72"/>
      <c r="BT120" s="74">
        <f t="shared" si="902"/>
        <v>8</v>
      </c>
      <c r="BU120" s="72"/>
      <c r="BV120" s="74">
        <f t="shared" si="903"/>
        <v>7</v>
      </c>
      <c r="BW120" s="72"/>
      <c r="BX120" s="74">
        <f t="shared" si="904"/>
        <v>4</v>
      </c>
      <c r="BY120" s="72"/>
      <c r="BZ120" s="74">
        <f t="shared" si="905"/>
        <v>9</v>
      </c>
      <c r="CA120" s="72"/>
      <c r="CB120" s="74">
        <f t="shared" si="906"/>
        <v>13</v>
      </c>
      <c r="CC120" s="72"/>
      <c r="CD120" s="74">
        <f t="shared" si="907"/>
        <v>7</v>
      </c>
      <c r="CF120" s="74">
        <f t="shared" si="907"/>
        <v>0</v>
      </c>
      <c r="CH120" s="74">
        <f t="shared" ref="CH120" si="917">MAX(CH108:CH119)</f>
        <v>0</v>
      </c>
    </row>
    <row r="121" spans="1:86" ht="13.5" customHeight="1" x14ac:dyDescent="0.2">
      <c r="A121" s="56">
        <v>22</v>
      </c>
      <c r="B121" s="56"/>
      <c r="C121" s="56"/>
      <c r="D121" s="56"/>
      <c r="E121" s="72"/>
      <c r="F121" s="73">
        <f t="shared" si="869"/>
        <v>4</v>
      </c>
      <c r="G121" s="72"/>
      <c r="H121" s="74">
        <f t="shared" si="870"/>
        <v>0</v>
      </c>
      <c r="I121" s="72"/>
      <c r="J121" s="74">
        <f t="shared" si="871"/>
        <v>2</v>
      </c>
      <c r="K121" s="72"/>
      <c r="L121" s="74">
        <f t="shared" si="872"/>
        <v>2</v>
      </c>
      <c r="M121" s="72"/>
      <c r="N121" s="74">
        <f t="shared" si="873"/>
        <v>3</v>
      </c>
      <c r="O121" s="72"/>
      <c r="P121" s="74">
        <f t="shared" si="874"/>
        <v>6</v>
      </c>
      <c r="Q121" s="72"/>
      <c r="R121" s="74">
        <f t="shared" si="875"/>
        <v>2</v>
      </c>
      <c r="S121" s="72"/>
      <c r="T121" s="74">
        <f t="shared" si="876"/>
        <v>1</v>
      </c>
      <c r="U121" s="72"/>
      <c r="V121" s="74">
        <f t="shared" si="877"/>
        <v>1</v>
      </c>
      <c r="W121" s="72"/>
      <c r="X121" s="74">
        <f t="shared" si="878"/>
        <v>0</v>
      </c>
      <c r="Y121" s="72"/>
      <c r="Z121" s="74">
        <f t="shared" si="879"/>
        <v>0</v>
      </c>
      <c r="AA121" s="72"/>
      <c r="AB121" s="74">
        <f t="shared" si="880"/>
        <v>7</v>
      </c>
      <c r="AC121" s="72"/>
      <c r="AD121" s="74">
        <f t="shared" si="881"/>
        <v>8</v>
      </c>
      <c r="AE121" s="72"/>
      <c r="AF121" s="74">
        <f t="shared" si="882"/>
        <v>7</v>
      </c>
      <c r="AG121" s="72"/>
      <c r="AH121" s="74">
        <f t="shared" si="883"/>
        <v>2</v>
      </c>
      <c r="AI121" s="72"/>
      <c r="AJ121" s="74">
        <f t="shared" si="884"/>
        <v>5</v>
      </c>
      <c r="AK121" s="72"/>
      <c r="AL121" s="74">
        <f t="shared" si="885"/>
        <v>5</v>
      </c>
      <c r="AM121" s="72"/>
      <c r="AN121" s="74">
        <f t="shared" si="886"/>
        <v>6</v>
      </c>
      <c r="AO121" s="72"/>
      <c r="AP121" s="74">
        <f t="shared" si="887"/>
        <v>0</v>
      </c>
      <c r="AQ121" s="72"/>
      <c r="AR121" s="74">
        <f t="shared" si="888"/>
        <v>2</v>
      </c>
      <c r="AS121" s="72"/>
      <c r="AT121" s="74">
        <f t="shared" si="889"/>
        <v>3</v>
      </c>
      <c r="AU121" s="72"/>
      <c r="AV121" s="74">
        <f t="shared" si="890"/>
        <v>1</v>
      </c>
      <c r="AW121" s="72"/>
      <c r="AX121" s="74">
        <f t="shared" si="891"/>
        <v>13</v>
      </c>
      <c r="AY121" s="72"/>
      <c r="AZ121" s="74">
        <f t="shared" si="892"/>
        <v>15</v>
      </c>
      <c r="BA121" s="72"/>
      <c r="BB121" s="74">
        <f t="shared" si="893"/>
        <v>3</v>
      </c>
      <c r="BC121" s="72"/>
      <c r="BD121" s="74">
        <f t="shared" si="894"/>
        <v>8</v>
      </c>
      <c r="BE121" s="72"/>
      <c r="BF121" s="74">
        <f t="shared" si="895"/>
        <v>7</v>
      </c>
      <c r="BG121" s="72"/>
      <c r="BH121" s="74">
        <f t="shared" si="896"/>
        <v>0</v>
      </c>
      <c r="BI121" s="72"/>
      <c r="BJ121" s="74">
        <f t="shared" si="897"/>
        <v>9</v>
      </c>
      <c r="BK121" s="72"/>
      <c r="BL121" s="74">
        <f t="shared" si="898"/>
        <v>7</v>
      </c>
      <c r="BM121" s="72"/>
      <c r="BN121" s="74">
        <f t="shared" si="899"/>
        <v>8</v>
      </c>
      <c r="BO121" s="72"/>
      <c r="BP121" s="74">
        <f t="shared" si="900"/>
        <v>7</v>
      </c>
      <c r="BQ121" s="72"/>
      <c r="BR121" s="74">
        <f t="shared" si="901"/>
        <v>8</v>
      </c>
      <c r="BS121" s="72"/>
      <c r="BT121" s="74">
        <f t="shared" si="902"/>
        <v>8</v>
      </c>
      <c r="BU121" s="72"/>
      <c r="BV121" s="74">
        <f t="shared" si="903"/>
        <v>7</v>
      </c>
      <c r="BW121" s="72"/>
      <c r="BX121" s="74">
        <f t="shared" si="904"/>
        <v>4</v>
      </c>
      <c r="BY121" s="72"/>
      <c r="BZ121" s="74">
        <f t="shared" si="905"/>
        <v>9</v>
      </c>
      <c r="CA121" s="72"/>
      <c r="CB121" s="74">
        <f t="shared" si="906"/>
        <v>13</v>
      </c>
      <c r="CC121" s="72"/>
      <c r="CD121" s="74">
        <f t="shared" si="907"/>
        <v>7</v>
      </c>
      <c r="CF121" s="74">
        <f t="shared" si="907"/>
        <v>0</v>
      </c>
      <c r="CH121" s="74">
        <f t="shared" ref="CH121" si="918">MAX(CH109:CH120)</f>
        <v>0</v>
      </c>
    </row>
    <row r="122" spans="1:86" ht="13.5" customHeight="1" x14ac:dyDescent="0.2">
      <c r="A122" s="56">
        <v>23</v>
      </c>
      <c r="B122" s="56"/>
      <c r="C122" s="56"/>
      <c r="D122" s="56"/>
      <c r="E122" s="72"/>
      <c r="F122" s="73">
        <f t="shared" si="869"/>
        <v>4</v>
      </c>
      <c r="G122" s="72"/>
      <c r="H122" s="74">
        <f t="shared" si="870"/>
        <v>0</v>
      </c>
      <c r="I122" s="72"/>
      <c r="J122" s="74">
        <f t="shared" si="871"/>
        <v>2</v>
      </c>
      <c r="K122" s="72"/>
      <c r="L122" s="74">
        <f t="shared" si="872"/>
        <v>2</v>
      </c>
      <c r="M122" s="72"/>
      <c r="N122" s="74">
        <f t="shared" si="873"/>
        <v>3</v>
      </c>
      <c r="O122" s="72"/>
      <c r="P122" s="74">
        <f t="shared" si="874"/>
        <v>6</v>
      </c>
      <c r="Q122" s="72"/>
      <c r="R122" s="74">
        <f t="shared" si="875"/>
        <v>2</v>
      </c>
      <c r="S122" s="72"/>
      <c r="T122" s="74">
        <f t="shared" si="876"/>
        <v>1</v>
      </c>
      <c r="U122" s="72"/>
      <c r="V122" s="74">
        <f t="shared" si="877"/>
        <v>1</v>
      </c>
      <c r="W122" s="72"/>
      <c r="X122" s="74">
        <f t="shared" si="878"/>
        <v>0</v>
      </c>
      <c r="Y122" s="72"/>
      <c r="Z122" s="74">
        <f t="shared" si="879"/>
        <v>0</v>
      </c>
      <c r="AA122" s="72"/>
      <c r="AB122" s="74">
        <f t="shared" si="880"/>
        <v>7</v>
      </c>
      <c r="AC122" s="72"/>
      <c r="AD122" s="74">
        <f t="shared" si="881"/>
        <v>8</v>
      </c>
      <c r="AE122" s="72"/>
      <c r="AF122" s="74">
        <f t="shared" si="882"/>
        <v>7</v>
      </c>
      <c r="AG122" s="72"/>
      <c r="AH122" s="74">
        <f t="shared" si="883"/>
        <v>2</v>
      </c>
      <c r="AI122" s="72"/>
      <c r="AJ122" s="74">
        <f t="shared" si="884"/>
        <v>5</v>
      </c>
      <c r="AK122" s="72"/>
      <c r="AL122" s="74">
        <f t="shared" si="885"/>
        <v>5</v>
      </c>
      <c r="AM122" s="72"/>
      <c r="AN122" s="74">
        <f t="shared" si="886"/>
        <v>6</v>
      </c>
      <c r="AO122" s="72"/>
      <c r="AP122" s="74">
        <f t="shared" si="887"/>
        <v>0</v>
      </c>
      <c r="AQ122" s="72"/>
      <c r="AR122" s="74">
        <f t="shared" si="888"/>
        <v>2</v>
      </c>
      <c r="AS122" s="72"/>
      <c r="AT122" s="74">
        <f t="shared" si="889"/>
        <v>3</v>
      </c>
      <c r="AU122" s="72"/>
      <c r="AV122" s="74">
        <f t="shared" si="890"/>
        <v>1</v>
      </c>
      <c r="AW122" s="72"/>
      <c r="AX122" s="74">
        <f t="shared" si="891"/>
        <v>13</v>
      </c>
      <c r="AY122" s="72"/>
      <c r="AZ122" s="74">
        <f t="shared" si="892"/>
        <v>15</v>
      </c>
      <c r="BA122" s="72"/>
      <c r="BB122" s="74">
        <f t="shared" si="893"/>
        <v>3</v>
      </c>
      <c r="BC122" s="72"/>
      <c r="BD122" s="74">
        <f t="shared" si="894"/>
        <v>8</v>
      </c>
      <c r="BE122" s="72"/>
      <c r="BF122" s="74">
        <f t="shared" si="895"/>
        <v>7</v>
      </c>
      <c r="BG122" s="72"/>
      <c r="BH122" s="74">
        <f t="shared" si="896"/>
        <v>0</v>
      </c>
      <c r="BI122" s="72"/>
      <c r="BJ122" s="74">
        <f t="shared" si="897"/>
        <v>9</v>
      </c>
      <c r="BK122" s="72"/>
      <c r="BL122" s="74">
        <f t="shared" si="898"/>
        <v>7</v>
      </c>
      <c r="BM122" s="72"/>
      <c r="BN122" s="74">
        <f t="shared" si="899"/>
        <v>8</v>
      </c>
      <c r="BO122" s="72"/>
      <c r="BP122" s="74">
        <f t="shared" si="900"/>
        <v>7</v>
      </c>
      <c r="BQ122" s="72"/>
      <c r="BR122" s="74">
        <f t="shared" si="901"/>
        <v>8</v>
      </c>
      <c r="BS122" s="72"/>
      <c r="BT122" s="74">
        <f t="shared" si="902"/>
        <v>8</v>
      </c>
      <c r="BU122" s="72"/>
      <c r="BV122" s="74">
        <f t="shared" si="903"/>
        <v>7</v>
      </c>
      <c r="BW122" s="72"/>
      <c r="BX122" s="74">
        <f t="shared" si="904"/>
        <v>4</v>
      </c>
      <c r="BY122" s="72"/>
      <c r="BZ122" s="74">
        <f t="shared" si="905"/>
        <v>9</v>
      </c>
      <c r="CA122" s="72"/>
      <c r="CB122" s="74">
        <f t="shared" si="906"/>
        <v>13</v>
      </c>
      <c r="CC122" s="72"/>
      <c r="CD122" s="74">
        <f t="shared" si="907"/>
        <v>7</v>
      </c>
      <c r="CF122" s="74">
        <f t="shared" si="907"/>
        <v>0</v>
      </c>
      <c r="CH122" s="74">
        <f t="shared" ref="CH122" si="919">MAX(CH110:CH121)</f>
        <v>0</v>
      </c>
    </row>
    <row r="123" spans="1:86" ht="13.5" customHeight="1" x14ac:dyDescent="0.2">
      <c r="A123" s="56">
        <v>24</v>
      </c>
      <c r="B123" s="56"/>
      <c r="C123" s="56"/>
      <c r="D123" s="56"/>
      <c r="E123" s="72"/>
      <c r="F123" s="73">
        <f t="shared" si="869"/>
        <v>4</v>
      </c>
      <c r="G123" s="72"/>
      <c r="H123" s="74">
        <f t="shared" si="870"/>
        <v>0</v>
      </c>
      <c r="I123" s="72"/>
      <c r="J123" s="74">
        <f t="shared" si="871"/>
        <v>2</v>
      </c>
      <c r="K123" s="72"/>
      <c r="L123" s="74">
        <f t="shared" si="872"/>
        <v>2</v>
      </c>
      <c r="M123" s="72"/>
      <c r="N123" s="74">
        <f t="shared" si="873"/>
        <v>3</v>
      </c>
      <c r="O123" s="72"/>
      <c r="P123" s="74">
        <f t="shared" si="874"/>
        <v>6</v>
      </c>
      <c r="Q123" s="72"/>
      <c r="R123" s="74">
        <f t="shared" si="875"/>
        <v>2</v>
      </c>
      <c r="S123" s="72"/>
      <c r="T123" s="74">
        <f t="shared" si="876"/>
        <v>1</v>
      </c>
      <c r="U123" s="72"/>
      <c r="V123" s="74">
        <f t="shared" si="877"/>
        <v>1</v>
      </c>
      <c r="W123" s="72"/>
      <c r="X123" s="74">
        <f t="shared" si="878"/>
        <v>0</v>
      </c>
      <c r="Y123" s="72"/>
      <c r="Z123" s="74">
        <f t="shared" si="879"/>
        <v>0</v>
      </c>
      <c r="AA123" s="72"/>
      <c r="AB123" s="74">
        <f t="shared" si="880"/>
        <v>7</v>
      </c>
      <c r="AC123" s="72"/>
      <c r="AD123" s="74">
        <f t="shared" si="881"/>
        <v>8</v>
      </c>
      <c r="AE123" s="72"/>
      <c r="AF123" s="74">
        <f t="shared" si="882"/>
        <v>7</v>
      </c>
      <c r="AG123" s="72"/>
      <c r="AH123" s="74">
        <f t="shared" si="883"/>
        <v>2</v>
      </c>
      <c r="AI123" s="72"/>
      <c r="AJ123" s="74">
        <f t="shared" si="884"/>
        <v>5</v>
      </c>
      <c r="AK123" s="72"/>
      <c r="AL123" s="74">
        <f t="shared" si="885"/>
        <v>5</v>
      </c>
      <c r="AM123" s="72"/>
      <c r="AN123" s="74">
        <f t="shared" si="886"/>
        <v>6</v>
      </c>
      <c r="AO123" s="72"/>
      <c r="AP123" s="74">
        <f t="shared" si="887"/>
        <v>0</v>
      </c>
      <c r="AQ123" s="72"/>
      <c r="AR123" s="74">
        <f t="shared" si="888"/>
        <v>2</v>
      </c>
      <c r="AS123" s="72"/>
      <c r="AT123" s="74">
        <f t="shared" si="889"/>
        <v>3</v>
      </c>
      <c r="AU123" s="72"/>
      <c r="AV123" s="74">
        <f t="shared" si="890"/>
        <v>1</v>
      </c>
      <c r="AW123" s="72"/>
      <c r="AX123" s="74">
        <f t="shared" si="891"/>
        <v>13</v>
      </c>
      <c r="AY123" s="72"/>
      <c r="AZ123" s="74">
        <f t="shared" si="892"/>
        <v>15</v>
      </c>
      <c r="BA123" s="72"/>
      <c r="BB123" s="74">
        <f t="shared" si="893"/>
        <v>3</v>
      </c>
      <c r="BC123" s="72"/>
      <c r="BD123" s="74">
        <f t="shared" si="894"/>
        <v>8</v>
      </c>
      <c r="BE123" s="72"/>
      <c r="BF123" s="74">
        <f t="shared" si="895"/>
        <v>7</v>
      </c>
      <c r="BG123" s="72"/>
      <c r="BH123" s="74">
        <f t="shared" si="896"/>
        <v>0</v>
      </c>
      <c r="BI123" s="72"/>
      <c r="BJ123" s="74">
        <f t="shared" si="897"/>
        <v>9</v>
      </c>
      <c r="BK123" s="72"/>
      <c r="BL123" s="74">
        <f t="shared" si="898"/>
        <v>7</v>
      </c>
      <c r="BM123" s="72"/>
      <c r="BN123" s="74">
        <f t="shared" si="899"/>
        <v>8</v>
      </c>
      <c r="BO123" s="72"/>
      <c r="BP123" s="74">
        <f t="shared" si="900"/>
        <v>7</v>
      </c>
      <c r="BQ123" s="72"/>
      <c r="BR123" s="74">
        <f t="shared" si="901"/>
        <v>8</v>
      </c>
      <c r="BS123" s="72"/>
      <c r="BT123" s="74">
        <f t="shared" si="902"/>
        <v>8</v>
      </c>
      <c r="BU123" s="72"/>
      <c r="BV123" s="74">
        <f t="shared" si="903"/>
        <v>7</v>
      </c>
      <c r="BW123" s="72"/>
      <c r="BX123" s="74">
        <f t="shared" si="904"/>
        <v>4</v>
      </c>
      <c r="BY123" s="72"/>
      <c r="BZ123" s="74">
        <f t="shared" si="905"/>
        <v>9</v>
      </c>
      <c r="CA123" s="72"/>
      <c r="CB123" s="74">
        <f t="shared" si="906"/>
        <v>13</v>
      </c>
      <c r="CC123" s="72"/>
      <c r="CD123" s="74">
        <f t="shared" si="907"/>
        <v>7</v>
      </c>
      <c r="CF123" s="74">
        <f t="shared" si="907"/>
        <v>0</v>
      </c>
      <c r="CH123" s="74">
        <f t="shared" ref="CH123" si="920">MAX(CH111:CH122)</f>
        <v>0</v>
      </c>
    </row>
    <row r="124" spans="1:86" ht="13.5" customHeight="1" x14ac:dyDescent="0.2">
      <c r="A124" s="56">
        <v>25</v>
      </c>
      <c r="B124" s="56"/>
      <c r="C124" s="56"/>
      <c r="D124" s="56"/>
      <c r="E124" s="72"/>
      <c r="F124" s="73">
        <f t="shared" si="869"/>
        <v>4</v>
      </c>
      <c r="G124" s="72"/>
      <c r="H124" s="74">
        <f t="shared" si="870"/>
        <v>0</v>
      </c>
      <c r="I124" s="72"/>
      <c r="J124" s="74">
        <f t="shared" si="871"/>
        <v>2</v>
      </c>
      <c r="K124" s="72"/>
      <c r="L124" s="74">
        <f t="shared" si="872"/>
        <v>2</v>
      </c>
      <c r="M124" s="72"/>
      <c r="N124" s="74">
        <f t="shared" si="873"/>
        <v>3</v>
      </c>
      <c r="O124" s="72"/>
      <c r="P124" s="74">
        <f t="shared" si="874"/>
        <v>6</v>
      </c>
      <c r="Q124" s="72"/>
      <c r="R124" s="74">
        <f t="shared" si="875"/>
        <v>2</v>
      </c>
      <c r="S124" s="72"/>
      <c r="T124" s="74">
        <f t="shared" si="876"/>
        <v>1</v>
      </c>
      <c r="U124" s="72"/>
      <c r="V124" s="74">
        <f t="shared" si="877"/>
        <v>1</v>
      </c>
      <c r="W124" s="72"/>
      <c r="X124" s="74">
        <f t="shared" si="878"/>
        <v>0</v>
      </c>
      <c r="Y124" s="72"/>
      <c r="Z124" s="74">
        <f t="shared" si="879"/>
        <v>0</v>
      </c>
      <c r="AA124" s="72"/>
      <c r="AB124" s="74">
        <f t="shared" si="880"/>
        <v>7</v>
      </c>
      <c r="AC124" s="72"/>
      <c r="AD124" s="74">
        <f t="shared" si="881"/>
        <v>8</v>
      </c>
      <c r="AE124" s="72"/>
      <c r="AF124" s="74">
        <f t="shared" si="882"/>
        <v>7</v>
      </c>
      <c r="AG124" s="72"/>
      <c r="AH124" s="74">
        <f t="shared" si="883"/>
        <v>2</v>
      </c>
      <c r="AI124" s="72"/>
      <c r="AJ124" s="74">
        <f t="shared" si="884"/>
        <v>5</v>
      </c>
      <c r="AK124" s="72"/>
      <c r="AL124" s="74">
        <f t="shared" si="885"/>
        <v>5</v>
      </c>
      <c r="AM124" s="72"/>
      <c r="AN124" s="74">
        <f t="shared" si="886"/>
        <v>6</v>
      </c>
      <c r="AO124" s="72"/>
      <c r="AP124" s="74">
        <f t="shared" si="887"/>
        <v>0</v>
      </c>
      <c r="AQ124" s="72"/>
      <c r="AR124" s="74">
        <f t="shared" si="888"/>
        <v>2</v>
      </c>
      <c r="AS124" s="72"/>
      <c r="AT124" s="74">
        <f t="shared" si="889"/>
        <v>3</v>
      </c>
      <c r="AU124" s="72"/>
      <c r="AV124" s="74">
        <f t="shared" si="890"/>
        <v>1</v>
      </c>
      <c r="AW124" s="72"/>
      <c r="AX124" s="74">
        <f t="shared" si="891"/>
        <v>13</v>
      </c>
      <c r="AY124" s="72"/>
      <c r="AZ124" s="74">
        <f t="shared" si="892"/>
        <v>15</v>
      </c>
      <c r="BA124" s="72"/>
      <c r="BB124" s="74">
        <f t="shared" si="893"/>
        <v>3</v>
      </c>
      <c r="BC124" s="72"/>
      <c r="BD124" s="74">
        <f t="shared" si="894"/>
        <v>8</v>
      </c>
      <c r="BE124" s="72"/>
      <c r="BF124" s="74">
        <f t="shared" si="895"/>
        <v>7</v>
      </c>
      <c r="BG124" s="72"/>
      <c r="BH124" s="74">
        <f t="shared" si="896"/>
        <v>0</v>
      </c>
      <c r="BI124" s="72"/>
      <c r="BJ124" s="74">
        <f t="shared" si="897"/>
        <v>9</v>
      </c>
      <c r="BK124" s="72"/>
      <c r="BL124" s="74">
        <f t="shared" si="898"/>
        <v>7</v>
      </c>
      <c r="BM124" s="72"/>
      <c r="BN124" s="74">
        <f t="shared" si="899"/>
        <v>8</v>
      </c>
      <c r="BO124" s="72"/>
      <c r="BP124" s="74">
        <f t="shared" si="900"/>
        <v>7</v>
      </c>
      <c r="BQ124" s="72"/>
      <c r="BR124" s="74">
        <f t="shared" si="901"/>
        <v>8</v>
      </c>
      <c r="BS124" s="72"/>
      <c r="BT124" s="74">
        <f t="shared" si="902"/>
        <v>8</v>
      </c>
      <c r="BU124" s="72"/>
      <c r="BV124" s="74">
        <f t="shared" si="903"/>
        <v>7</v>
      </c>
      <c r="BW124" s="72"/>
      <c r="BX124" s="74">
        <f t="shared" si="904"/>
        <v>4</v>
      </c>
      <c r="BY124" s="72"/>
      <c r="BZ124" s="74">
        <f t="shared" si="905"/>
        <v>9</v>
      </c>
      <c r="CA124" s="72"/>
      <c r="CB124" s="74">
        <f t="shared" si="906"/>
        <v>13</v>
      </c>
      <c r="CC124" s="72"/>
      <c r="CD124" s="74">
        <f t="shared" si="907"/>
        <v>7</v>
      </c>
      <c r="CF124" s="74">
        <f t="shared" si="907"/>
        <v>0</v>
      </c>
      <c r="CH124" s="74">
        <f t="shared" ref="CH124" si="921">MAX(CH112:CH123)</f>
        <v>0</v>
      </c>
    </row>
    <row r="125" spans="1:86" ht="13.5" customHeight="1" x14ac:dyDescent="0.2">
      <c r="A125" s="56">
        <v>26</v>
      </c>
      <c r="B125" s="56"/>
      <c r="C125" s="56"/>
      <c r="D125" s="56"/>
      <c r="E125" s="72"/>
      <c r="F125" s="73">
        <f t="shared" si="869"/>
        <v>4</v>
      </c>
      <c r="G125" s="72"/>
      <c r="H125" s="74">
        <f t="shared" si="870"/>
        <v>0</v>
      </c>
      <c r="I125" s="72"/>
      <c r="J125" s="74">
        <f t="shared" si="871"/>
        <v>2</v>
      </c>
      <c r="K125" s="72"/>
      <c r="L125" s="74">
        <f t="shared" si="872"/>
        <v>2</v>
      </c>
      <c r="M125" s="72"/>
      <c r="N125" s="74">
        <f t="shared" si="873"/>
        <v>3</v>
      </c>
      <c r="O125" s="72"/>
      <c r="P125" s="74">
        <f t="shared" si="874"/>
        <v>6</v>
      </c>
      <c r="Q125" s="72"/>
      <c r="R125" s="74">
        <f t="shared" si="875"/>
        <v>2</v>
      </c>
      <c r="S125" s="72"/>
      <c r="T125" s="74">
        <f t="shared" si="876"/>
        <v>1</v>
      </c>
      <c r="U125" s="72"/>
      <c r="V125" s="74">
        <f t="shared" si="877"/>
        <v>1</v>
      </c>
      <c r="W125" s="72"/>
      <c r="X125" s="74">
        <f t="shared" si="878"/>
        <v>0</v>
      </c>
      <c r="Y125" s="72"/>
      <c r="Z125" s="74">
        <f t="shared" si="879"/>
        <v>0</v>
      </c>
      <c r="AA125" s="72"/>
      <c r="AB125" s="74">
        <f t="shared" si="880"/>
        <v>7</v>
      </c>
      <c r="AC125" s="72"/>
      <c r="AD125" s="74">
        <f t="shared" si="881"/>
        <v>8</v>
      </c>
      <c r="AE125" s="72"/>
      <c r="AF125" s="74">
        <f t="shared" si="882"/>
        <v>7</v>
      </c>
      <c r="AG125" s="72"/>
      <c r="AH125" s="74">
        <f t="shared" si="883"/>
        <v>2</v>
      </c>
      <c r="AI125" s="72"/>
      <c r="AJ125" s="74">
        <f t="shared" si="884"/>
        <v>5</v>
      </c>
      <c r="AK125" s="72"/>
      <c r="AL125" s="74">
        <f t="shared" si="885"/>
        <v>5</v>
      </c>
      <c r="AM125" s="72"/>
      <c r="AN125" s="74">
        <f t="shared" si="886"/>
        <v>6</v>
      </c>
      <c r="AO125" s="72"/>
      <c r="AP125" s="74">
        <f t="shared" si="887"/>
        <v>0</v>
      </c>
      <c r="AQ125" s="72"/>
      <c r="AR125" s="74">
        <f t="shared" si="888"/>
        <v>2</v>
      </c>
      <c r="AS125" s="72"/>
      <c r="AT125" s="74">
        <f t="shared" si="889"/>
        <v>3</v>
      </c>
      <c r="AU125" s="72"/>
      <c r="AV125" s="74">
        <f t="shared" si="890"/>
        <v>1</v>
      </c>
      <c r="AW125" s="72"/>
      <c r="AX125" s="74">
        <f t="shared" si="891"/>
        <v>13</v>
      </c>
      <c r="AY125" s="72"/>
      <c r="AZ125" s="74">
        <f t="shared" si="892"/>
        <v>15</v>
      </c>
      <c r="BA125" s="72"/>
      <c r="BB125" s="74">
        <f t="shared" si="893"/>
        <v>3</v>
      </c>
      <c r="BC125" s="72"/>
      <c r="BD125" s="74">
        <f t="shared" si="894"/>
        <v>8</v>
      </c>
      <c r="BE125" s="72"/>
      <c r="BF125" s="74">
        <f t="shared" si="895"/>
        <v>7</v>
      </c>
      <c r="BG125" s="72"/>
      <c r="BH125" s="74">
        <f t="shared" si="896"/>
        <v>0</v>
      </c>
      <c r="BI125" s="72"/>
      <c r="BJ125" s="74">
        <f t="shared" si="897"/>
        <v>9</v>
      </c>
      <c r="BK125" s="72"/>
      <c r="BL125" s="74">
        <f t="shared" si="898"/>
        <v>7</v>
      </c>
      <c r="BM125" s="72"/>
      <c r="BN125" s="74">
        <f t="shared" si="899"/>
        <v>8</v>
      </c>
      <c r="BO125" s="72"/>
      <c r="BP125" s="74">
        <f t="shared" si="900"/>
        <v>7</v>
      </c>
      <c r="BQ125" s="72"/>
      <c r="BR125" s="74">
        <f t="shared" si="901"/>
        <v>8</v>
      </c>
      <c r="BS125" s="72"/>
      <c r="BT125" s="74">
        <f t="shared" si="902"/>
        <v>8</v>
      </c>
      <c r="BU125" s="72"/>
      <c r="BV125" s="74">
        <f t="shared" si="903"/>
        <v>7</v>
      </c>
      <c r="BW125" s="72"/>
      <c r="BX125" s="74">
        <f t="shared" si="904"/>
        <v>4</v>
      </c>
      <c r="BY125" s="72"/>
      <c r="BZ125" s="74">
        <f t="shared" si="905"/>
        <v>9</v>
      </c>
      <c r="CA125" s="72"/>
      <c r="CB125" s="74">
        <f t="shared" si="906"/>
        <v>13</v>
      </c>
      <c r="CC125" s="72"/>
      <c r="CD125" s="74">
        <f t="shared" si="907"/>
        <v>7</v>
      </c>
      <c r="CF125" s="74">
        <f t="shared" si="907"/>
        <v>0</v>
      </c>
      <c r="CH125" s="74">
        <f t="shared" ref="CH125" si="922">MAX(CH113:CH124)</f>
        <v>0</v>
      </c>
    </row>
    <row r="126" spans="1:86" ht="13.5" customHeight="1" x14ac:dyDescent="0.2">
      <c r="A126" s="56">
        <v>27</v>
      </c>
      <c r="B126" s="56"/>
      <c r="C126" s="56"/>
      <c r="D126" s="56"/>
      <c r="E126" s="72"/>
      <c r="F126" s="73">
        <f t="shared" si="869"/>
        <v>4</v>
      </c>
      <c r="G126" s="72"/>
      <c r="H126" s="74">
        <f t="shared" si="870"/>
        <v>0</v>
      </c>
      <c r="I126" s="72"/>
      <c r="J126" s="74">
        <f t="shared" si="871"/>
        <v>2</v>
      </c>
      <c r="K126" s="72"/>
      <c r="L126" s="74">
        <f t="shared" si="872"/>
        <v>2</v>
      </c>
      <c r="M126" s="72"/>
      <c r="N126" s="74">
        <f t="shared" si="873"/>
        <v>3</v>
      </c>
      <c r="O126" s="72"/>
      <c r="P126" s="74">
        <f t="shared" si="874"/>
        <v>6</v>
      </c>
      <c r="Q126" s="72"/>
      <c r="R126" s="74">
        <f t="shared" si="875"/>
        <v>2</v>
      </c>
      <c r="S126" s="72"/>
      <c r="T126" s="74">
        <f t="shared" si="876"/>
        <v>1</v>
      </c>
      <c r="U126" s="72"/>
      <c r="V126" s="74">
        <f t="shared" si="877"/>
        <v>1</v>
      </c>
      <c r="W126" s="72"/>
      <c r="X126" s="74">
        <f t="shared" si="878"/>
        <v>0</v>
      </c>
      <c r="Y126" s="72"/>
      <c r="Z126" s="74">
        <f t="shared" si="879"/>
        <v>0</v>
      </c>
      <c r="AA126" s="72"/>
      <c r="AB126" s="74">
        <f t="shared" si="880"/>
        <v>7</v>
      </c>
      <c r="AC126" s="72"/>
      <c r="AD126" s="74">
        <f t="shared" si="881"/>
        <v>8</v>
      </c>
      <c r="AE126" s="72"/>
      <c r="AF126" s="74">
        <f t="shared" si="882"/>
        <v>7</v>
      </c>
      <c r="AG126" s="72"/>
      <c r="AH126" s="74">
        <f t="shared" si="883"/>
        <v>2</v>
      </c>
      <c r="AI126" s="72"/>
      <c r="AJ126" s="74">
        <f t="shared" si="884"/>
        <v>5</v>
      </c>
      <c r="AK126" s="72"/>
      <c r="AL126" s="74">
        <f t="shared" si="885"/>
        <v>5</v>
      </c>
      <c r="AM126" s="72"/>
      <c r="AN126" s="74">
        <f t="shared" si="886"/>
        <v>6</v>
      </c>
      <c r="AO126" s="72"/>
      <c r="AP126" s="74">
        <f t="shared" si="887"/>
        <v>0</v>
      </c>
      <c r="AQ126" s="72"/>
      <c r="AR126" s="74">
        <f t="shared" si="888"/>
        <v>2</v>
      </c>
      <c r="AS126" s="72"/>
      <c r="AT126" s="74">
        <f t="shared" si="889"/>
        <v>3</v>
      </c>
      <c r="AU126" s="72"/>
      <c r="AV126" s="74">
        <f t="shared" si="890"/>
        <v>1</v>
      </c>
      <c r="AW126" s="72"/>
      <c r="AX126" s="74">
        <f t="shared" si="891"/>
        <v>13</v>
      </c>
      <c r="AY126" s="72"/>
      <c r="AZ126" s="74">
        <f t="shared" si="892"/>
        <v>15</v>
      </c>
      <c r="BA126" s="72"/>
      <c r="BB126" s="74">
        <f t="shared" si="893"/>
        <v>3</v>
      </c>
      <c r="BC126" s="72"/>
      <c r="BD126" s="74">
        <f t="shared" si="894"/>
        <v>8</v>
      </c>
      <c r="BE126" s="72"/>
      <c r="BF126" s="74">
        <f t="shared" si="895"/>
        <v>7</v>
      </c>
      <c r="BG126" s="72"/>
      <c r="BH126" s="74">
        <f t="shared" si="896"/>
        <v>0</v>
      </c>
      <c r="BI126" s="72"/>
      <c r="BJ126" s="74">
        <f t="shared" si="897"/>
        <v>9</v>
      </c>
      <c r="BK126" s="72"/>
      <c r="BL126" s="74">
        <f t="shared" si="898"/>
        <v>7</v>
      </c>
      <c r="BM126" s="72"/>
      <c r="BN126" s="74">
        <f t="shared" si="899"/>
        <v>8</v>
      </c>
      <c r="BO126" s="72"/>
      <c r="BP126" s="74">
        <f t="shared" si="900"/>
        <v>7</v>
      </c>
      <c r="BQ126" s="72"/>
      <c r="BR126" s="74">
        <f t="shared" si="901"/>
        <v>8</v>
      </c>
      <c r="BS126" s="72"/>
      <c r="BT126" s="74">
        <f t="shared" si="902"/>
        <v>8</v>
      </c>
      <c r="BU126" s="72"/>
      <c r="BV126" s="74">
        <f t="shared" si="903"/>
        <v>7</v>
      </c>
      <c r="BW126" s="72"/>
      <c r="BX126" s="74">
        <f t="shared" si="904"/>
        <v>4</v>
      </c>
      <c r="BY126" s="72"/>
      <c r="BZ126" s="74">
        <f t="shared" si="905"/>
        <v>9</v>
      </c>
      <c r="CA126" s="72"/>
      <c r="CB126" s="74">
        <f t="shared" si="906"/>
        <v>13</v>
      </c>
      <c r="CC126" s="72"/>
      <c r="CD126" s="74">
        <f t="shared" si="907"/>
        <v>7</v>
      </c>
      <c r="CF126" s="74">
        <f t="shared" si="907"/>
        <v>0</v>
      </c>
      <c r="CH126" s="74">
        <f t="shared" ref="CH126" si="923">MAX(CH114:CH125)</f>
        <v>0</v>
      </c>
    </row>
    <row r="127" spans="1:86" ht="13.5" customHeight="1" x14ac:dyDescent="0.2">
      <c r="A127" s="56">
        <v>28</v>
      </c>
      <c r="B127" s="56"/>
      <c r="C127" s="56"/>
      <c r="D127" s="56"/>
      <c r="E127" s="72"/>
      <c r="F127" s="73">
        <f t="shared" si="869"/>
        <v>4</v>
      </c>
      <c r="G127" s="72"/>
      <c r="H127" s="74">
        <f t="shared" si="870"/>
        <v>0</v>
      </c>
      <c r="I127" s="72"/>
      <c r="J127" s="74">
        <f t="shared" si="871"/>
        <v>2</v>
      </c>
      <c r="K127" s="72"/>
      <c r="L127" s="74">
        <f t="shared" si="872"/>
        <v>2</v>
      </c>
      <c r="M127" s="72"/>
      <c r="N127" s="74">
        <f t="shared" si="873"/>
        <v>3</v>
      </c>
      <c r="O127" s="72"/>
      <c r="P127" s="74">
        <f t="shared" si="874"/>
        <v>6</v>
      </c>
      <c r="Q127" s="72"/>
      <c r="R127" s="74">
        <f t="shared" si="875"/>
        <v>2</v>
      </c>
      <c r="S127" s="72"/>
      <c r="T127" s="74">
        <f t="shared" si="876"/>
        <v>1</v>
      </c>
      <c r="U127" s="72"/>
      <c r="V127" s="74">
        <f t="shared" si="877"/>
        <v>1</v>
      </c>
      <c r="W127" s="72"/>
      <c r="X127" s="74">
        <f t="shared" si="878"/>
        <v>0</v>
      </c>
      <c r="Y127" s="72"/>
      <c r="Z127" s="74">
        <f t="shared" si="879"/>
        <v>0</v>
      </c>
      <c r="AA127" s="72"/>
      <c r="AB127" s="74">
        <f t="shared" si="880"/>
        <v>7</v>
      </c>
      <c r="AC127" s="72"/>
      <c r="AD127" s="74">
        <f t="shared" si="881"/>
        <v>8</v>
      </c>
      <c r="AE127" s="72"/>
      <c r="AF127" s="74">
        <f t="shared" si="882"/>
        <v>7</v>
      </c>
      <c r="AG127" s="72"/>
      <c r="AH127" s="74">
        <f t="shared" si="883"/>
        <v>2</v>
      </c>
      <c r="AI127" s="72"/>
      <c r="AJ127" s="74">
        <f t="shared" si="884"/>
        <v>5</v>
      </c>
      <c r="AK127" s="72"/>
      <c r="AL127" s="74">
        <f t="shared" si="885"/>
        <v>5</v>
      </c>
      <c r="AM127" s="72"/>
      <c r="AN127" s="74">
        <f t="shared" si="886"/>
        <v>6</v>
      </c>
      <c r="AO127" s="72"/>
      <c r="AP127" s="74">
        <f t="shared" si="887"/>
        <v>0</v>
      </c>
      <c r="AQ127" s="72"/>
      <c r="AR127" s="74">
        <f t="shared" si="888"/>
        <v>2</v>
      </c>
      <c r="AS127" s="72"/>
      <c r="AT127" s="74">
        <f t="shared" si="889"/>
        <v>3</v>
      </c>
      <c r="AU127" s="72"/>
      <c r="AV127" s="74">
        <f t="shared" si="890"/>
        <v>1</v>
      </c>
      <c r="AW127" s="72"/>
      <c r="AX127" s="74">
        <f t="shared" si="891"/>
        <v>13</v>
      </c>
      <c r="AY127" s="72"/>
      <c r="AZ127" s="74">
        <f t="shared" si="892"/>
        <v>15</v>
      </c>
      <c r="BA127" s="72"/>
      <c r="BB127" s="74">
        <f t="shared" si="893"/>
        <v>3</v>
      </c>
      <c r="BC127" s="72"/>
      <c r="BD127" s="74">
        <f t="shared" si="894"/>
        <v>8</v>
      </c>
      <c r="BE127" s="72"/>
      <c r="BF127" s="74">
        <f t="shared" si="895"/>
        <v>7</v>
      </c>
      <c r="BG127" s="72"/>
      <c r="BH127" s="74">
        <f t="shared" si="896"/>
        <v>0</v>
      </c>
      <c r="BI127" s="72"/>
      <c r="BJ127" s="74">
        <f t="shared" si="897"/>
        <v>9</v>
      </c>
      <c r="BK127" s="72"/>
      <c r="BL127" s="74">
        <f t="shared" si="898"/>
        <v>7</v>
      </c>
      <c r="BM127" s="72"/>
      <c r="BN127" s="74">
        <f t="shared" si="899"/>
        <v>8</v>
      </c>
      <c r="BO127" s="72"/>
      <c r="BP127" s="74">
        <f t="shared" si="900"/>
        <v>7</v>
      </c>
      <c r="BQ127" s="72"/>
      <c r="BR127" s="74">
        <f t="shared" si="901"/>
        <v>8</v>
      </c>
      <c r="BS127" s="72"/>
      <c r="BT127" s="74">
        <f t="shared" si="902"/>
        <v>8</v>
      </c>
      <c r="BU127" s="72"/>
      <c r="BV127" s="74">
        <f t="shared" si="903"/>
        <v>7</v>
      </c>
      <c r="BW127" s="72"/>
      <c r="BX127" s="74">
        <f t="shared" si="904"/>
        <v>4</v>
      </c>
      <c r="BY127" s="72"/>
      <c r="BZ127" s="74">
        <f t="shared" si="905"/>
        <v>9</v>
      </c>
      <c r="CA127" s="72"/>
      <c r="CB127" s="74">
        <f t="shared" si="906"/>
        <v>13</v>
      </c>
      <c r="CC127" s="72"/>
      <c r="CD127" s="74">
        <f t="shared" si="907"/>
        <v>7</v>
      </c>
      <c r="CF127" s="74">
        <f t="shared" si="907"/>
        <v>0</v>
      </c>
      <c r="CH127" s="74">
        <f t="shared" ref="CH127" si="924">MAX(CH115:CH126)</f>
        <v>0</v>
      </c>
    </row>
    <row r="128" spans="1:86" ht="13.5" customHeight="1" x14ac:dyDescent="0.2">
      <c r="A128" s="56">
        <v>29</v>
      </c>
      <c r="B128" s="56"/>
      <c r="C128" s="56"/>
      <c r="D128" s="56"/>
      <c r="E128" s="72"/>
      <c r="F128" s="73">
        <f t="shared" si="869"/>
        <v>4</v>
      </c>
      <c r="G128" s="72"/>
      <c r="H128" s="74">
        <f t="shared" si="870"/>
        <v>0</v>
      </c>
      <c r="I128" s="72"/>
      <c r="J128" s="74">
        <f t="shared" si="871"/>
        <v>2</v>
      </c>
      <c r="K128" s="72"/>
      <c r="L128" s="74">
        <f t="shared" si="872"/>
        <v>2</v>
      </c>
      <c r="M128" s="72"/>
      <c r="N128" s="74">
        <f t="shared" si="873"/>
        <v>3</v>
      </c>
      <c r="O128" s="72"/>
      <c r="P128" s="74">
        <f t="shared" si="874"/>
        <v>6</v>
      </c>
      <c r="Q128" s="72"/>
      <c r="R128" s="74">
        <f t="shared" si="875"/>
        <v>2</v>
      </c>
      <c r="S128" s="72"/>
      <c r="T128" s="74">
        <f t="shared" si="876"/>
        <v>1</v>
      </c>
      <c r="U128" s="72"/>
      <c r="V128" s="74">
        <f t="shared" si="877"/>
        <v>1</v>
      </c>
      <c r="W128" s="72"/>
      <c r="X128" s="74">
        <f t="shared" si="878"/>
        <v>0</v>
      </c>
      <c r="Y128" s="72"/>
      <c r="Z128" s="74">
        <f t="shared" si="879"/>
        <v>0</v>
      </c>
      <c r="AA128" s="72"/>
      <c r="AB128" s="74">
        <f t="shared" si="880"/>
        <v>7</v>
      </c>
      <c r="AC128" s="72"/>
      <c r="AD128" s="74">
        <f t="shared" si="881"/>
        <v>8</v>
      </c>
      <c r="AE128" s="72"/>
      <c r="AF128" s="74">
        <f t="shared" si="882"/>
        <v>7</v>
      </c>
      <c r="AG128" s="72"/>
      <c r="AH128" s="74">
        <f t="shared" si="883"/>
        <v>2</v>
      </c>
      <c r="AI128" s="72"/>
      <c r="AJ128" s="74">
        <f t="shared" si="884"/>
        <v>5</v>
      </c>
      <c r="AK128" s="72"/>
      <c r="AL128" s="74">
        <f t="shared" si="885"/>
        <v>5</v>
      </c>
      <c r="AM128" s="72"/>
      <c r="AN128" s="74">
        <f t="shared" si="886"/>
        <v>6</v>
      </c>
      <c r="AO128" s="72"/>
      <c r="AP128" s="74">
        <f t="shared" si="887"/>
        <v>0</v>
      </c>
      <c r="AQ128" s="72"/>
      <c r="AR128" s="74">
        <f t="shared" si="888"/>
        <v>2</v>
      </c>
      <c r="AS128" s="72"/>
      <c r="AT128" s="74">
        <f t="shared" si="889"/>
        <v>3</v>
      </c>
      <c r="AU128" s="72"/>
      <c r="AV128" s="74">
        <f t="shared" si="890"/>
        <v>1</v>
      </c>
      <c r="AW128" s="72"/>
      <c r="AX128" s="74">
        <f t="shared" si="891"/>
        <v>13</v>
      </c>
      <c r="AY128" s="72"/>
      <c r="AZ128" s="74">
        <f t="shared" si="892"/>
        <v>15</v>
      </c>
      <c r="BA128" s="72"/>
      <c r="BB128" s="74">
        <f t="shared" si="893"/>
        <v>3</v>
      </c>
      <c r="BC128" s="72"/>
      <c r="BD128" s="74">
        <f t="shared" si="894"/>
        <v>8</v>
      </c>
      <c r="BE128" s="72"/>
      <c r="BF128" s="74">
        <f t="shared" si="895"/>
        <v>7</v>
      </c>
      <c r="BG128" s="72"/>
      <c r="BH128" s="74">
        <f t="shared" si="896"/>
        <v>0</v>
      </c>
      <c r="BI128" s="72"/>
      <c r="BJ128" s="74">
        <f t="shared" si="897"/>
        <v>9</v>
      </c>
      <c r="BK128" s="72"/>
      <c r="BL128" s="74">
        <f t="shared" si="898"/>
        <v>7</v>
      </c>
      <c r="BM128" s="72"/>
      <c r="BN128" s="74">
        <f t="shared" si="899"/>
        <v>8</v>
      </c>
      <c r="BO128" s="72"/>
      <c r="BP128" s="74">
        <f t="shared" si="900"/>
        <v>7</v>
      </c>
      <c r="BQ128" s="72"/>
      <c r="BR128" s="74">
        <f t="shared" si="901"/>
        <v>8</v>
      </c>
      <c r="BS128" s="72"/>
      <c r="BT128" s="74">
        <f t="shared" si="902"/>
        <v>8</v>
      </c>
      <c r="BU128" s="72"/>
      <c r="BV128" s="74">
        <f t="shared" si="903"/>
        <v>7</v>
      </c>
      <c r="BW128" s="72"/>
      <c r="BX128" s="74">
        <f t="shared" si="904"/>
        <v>4</v>
      </c>
      <c r="BY128" s="72"/>
      <c r="BZ128" s="74">
        <f t="shared" si="905"/>
        <v>9</v>
      </c>
      <c r="CA128" s="72"/>
      <c r="CB128" s="74">
        <f t="shared" si="906"/>
        <v>13</v>
      </c>
      <c r="CC128" s="72"/>
      <c r="CD128" s="74">
        <f t="shared" si="907"/>
        <v>7</v>
      </c>
      <c r="CF128" s="74">
        <f t="shared" si="907"/>
        <v>0</v>
      </c>
      <c r="CH128" s="74">
        <f t="shared" ref="CH128" si="925">MAX(CH116:CH127)</f>
        <v>0</v>
      </c>
    </row>
    <row r="129" spans="1:86" ht="13.5" customHeight="1" x14ac:dyDescent="0.2">
      <c r="A129" s="56">
        <v>30</v>
      </c>
      <c r="B129" s="56"/>
      <c r="C129" s="56"/>
      <c r="D129" s="56"/>
      <c r="E129" s="72"/>
      <c r="F129" s="73">
        <f t="shared" si="869"/>
        <v>4</v>
      </c>
      <c r="G129" s="72"/>
      <c r="H129" s="74">
        <f t="shared" si="870"/>
        <v>0</v>
      </c>
      <c r="I129" s="72"/>
      <c r="J129" s="74">
        <f t="shared" si="871"/>
        <v>2</v>
      </c>
      <c r="K129" s="72"/>
      <c r="L129" s="74">
        <f t="shared" si="872"/>
        <v>2</v>
      </c>
      <c r="M129" s="72"/>
      <c r="N129" s="74">
        <f t="shared" si="873"/>
        <v>3</v>
      </c>
      <c r="O129" s="72"/>
      <c r="P129" s="74">
        <f t="shared" si="874"/>
        <v>6</v>
      </c>
      <c r="Q129" s="72"/>
      <c r="R129" s="74">
        <f t="shared" si="875"/>
        <v>2</v>
      </c>
      <c r="S129" s="72"/>
      <c r="T129" s="74">
        <f t="shared" si="876"/>
        <v>1</v>
      </c>
      <c r="U129" s="72"/>
      <c r="V129" s="74">
        <f t="shared" si="877"/>
        <v>1</v>
      </c>
      <c r="W129" s="72"/>
      <c r="X129" s="74">
        <f t="shared" si="878"/>
        <v>0</v>
      </c>
      <c r="Y129" s="72"/>
      <c r="Z129" s="74">
        <f t="shared" si="879"/>
        <v>0</v>
      </c>
      <c r="AA129" s="72"/>
      <c r="AB129" s="74">
        <f t="shared" si="880"/>
        <v>7</v>
      </c>
      <c r="AC129" s="72"/>
      <c r="AD129" s="74">
        <f t="shared" si="881"/>
        <v>8</v>
      </c>
      <c r="AE129" s="72"/>
      <c r="AF129" s="74">
        <f t="shared" si="882"/>
        <v>7</v>
      </c>
      <c r="AG129" s="72"/>
      <c r="AH129" s="74">
        <f t="shared" si="883"/>
        <v>2</v>
      </c>
      <c r="AI129" s="72"/>
      <c r="AJ129" s="74">
        <f t="shared" si="884"/>
        <v>5</v>
      </c>
      <c r="AK129" s="72"/>
      <c r="AL129" s="74">
        <f t="shared" si="885"/>
        <v>5</v>
      </c>
      <c r="AM129" s="72"/>
      <c r="AN129" s="74">
        <f t="shared" si="886"/>
        <v>6</v>
      </c>
      <c r="AO129" s="72"/>
      <c r="AP129" s="74">
        <f t="shared" si="887"/>
        <v>0</v>
      </c>
      <c r="AQ129" s="72"/>
      <c r="AR129" s="74">
        <f t="shared" si="888"/>
        <v>2</v>
      </c>
      <c r="AS129" s="72"/>
      <c r="AT129" s="74">
        <f t="shared" si="889"/>
        <v>3</v>
      </c>
      <c r="AU129" s="72"/>
      <c r="AV129" s="74">
        <f t="shared" si="890"/>
        <v>1</v>
      </c>
      <c r="AW129" s="72"/>
      <c r="AX129" s="74">
        <f t="shared" si="891"/>
        <v>13</v>
      </c>
      <c r="AY129" s="72"/>
      <c r="AZ129" s="74">
        <f t="shared" si="892"/>
        <v>15</v>
      </c>
      <c r="BA129" s="72"/>
      <c r="BB129" s="74">
        <f t="shared" si="893"/>
        <v>3</v>
      </c>
      <c r="BC129" s="72"/>
      <c r="BD129" s="74">
        <f t="shared" si="894"/>
        <v>8</v>
      </c>
      <c r="BE129" s="72"/>
      <c r="BF129" s="74">
        <f t="shared" si="895"/>
        <v>7</v>
      </c>
      <c r="BG129" s="72"/>
      <c r="BH129" s="74">
        <f t="shared" si="896"/>
        <v>0</v>
      </c>
      <c r="BI129" s="72"/>
      <c r="BJ129" s="74">
        <f t="shared" si="897"/>
        <v>9</v>
      </c>
      <c r="BK129" s="72"/>
      <c r="BL129" s="74">
        <f t="shared" si="898"/>
        <v>7</v>
      </c>
      <c r="BM129" s="72"/>
      <c r="BN129" s="74">
        <f t="shared" si="899"/>
        <v>8</v>
      </c>
      <c r="BO129" s="72"/>
      <c r="BP129" s="74">
        <f t="shared" si="900"/>
        <v>7</v>
      </c>
      <c r="BQ129" s="72"/>
      <c r="BR129" s="74">
        <f t="shared" si="901"/>
        <v>8</v>
      </c>
      <c r="BS129" s="72"/>
      <c r="BT129" s="74">
        <f t="shared" si="902"/>
        <v>8</v>
      </c>
      <c r="BU129" s="72"/>
      <c r="BV129" s="74">
        <f t="shared" si="903"/>
        <v>7</v>
      </c>
      <c r="BW129" s="72"/>
      <c r="BX129" s="74">
        <f t="shared" si="904"/>
        <v>4</v>
      </c>
      <c r="BY129" s="72"/>
      <c r="BZ129" s="74">
        <f t="shared" si="905"/>
        <v>9</v>
      </c>
      <c r="CA129" s="72"/>
      <c r="CB129" s="74">
        <f t="shared" si="906"/>
        <v>13</v>
      </c>
      <c r="CC129" s="72"/>
      <c r="CD129" s="74">
        <f t="shared" si="907"/>
        <v>7</v>
      </c>
      <c r="CF129" s="74">
        <f t="shared" si="907"/>
        <v>0</v>
      </c>
      <c r="CH129" s="74">
        <f t="shared" ref="CH129" si="926">MAX(CH117:CH128)</f>
        <v>0</v>
      </c>
    </row>
    <row r="130" spans="1:86" ht="13.5" customHeight="1" x14ac:dyDescent="0.2">
      <c r="A130" s="56">
        <v>31</v>
      </c>
      <c r="B130" s="56"/>
      <c r="C130" s="56"/>
      <c r="D130" s="56"/>
      <c r="E130" s="72"/>
      <c r="F130" s="73">
        <f t="shared" si="869"/>
        <v>4</v>
      </c>
      <c r="G130" s="72"/>
      <c r="H130" s="74">
        <f t="shared" si="870"/>
        <v>0</v>
      </c>
      <c r="I130" s="72"/>
      <c r="J130" s="74">
        <f t="shared" si="871"/>
        <v>2</v>
      </c>
      <c r="K130" s="72"/>
      <c r="L130" s="74">
        <f t="shared" si="872"/>
        <v>2</v>
      </c>
      <c r="M130" s="72"/>
      <c r="N130" s="74">
        <f t="shared" si="873"/>
        <v>3</v>
      </c>
      <c r="O130" s="72"/>
      <c r="P130" s="74">
        <f t="shared" si="874"/>
        <v>6</v>
      </c>
      <c r="Q130" s="72"/>
      <c r="R130" s="74">
        <f t="shared" si="875"/>
        <v>2</v>
      </c>
      <c r="S130" s="72"/>
      <c r="T130" s="74">
        <f t="shared" si="876"/>
        <v>1</v>
      </c>
      <c r="U130" s="72"/>
      <c r="V130" s="74">
        <f t="shared" si="877"/>
        <v>1</v>
      </c>
      <c r="W130" s="72"/>
      <c r="X130" s="74">
        <f t="shared" si="878"/>
        <v>0</v>
      </c>
      <c r="Y130" s="72"/>
      <c r="Z130" s="74">
        <f t="shared" si="879"/>
        <v>0</v>
      </c>
      <c r="AA130" s="72"/>
      <c r="AB130" s="74">
        <f t="shared" si="880"/>
        <v>7</v>
      </c>
      <c r="AC130" s="72"/>
      <c r="AD130" s="74">
        <f t="shared" si="881"/>
        <v>8</v>
      </c>
      <c r="AE130" s="72"/>
      <c r="AF130" s="74">
        <f t="shared" si="882"/>
        <v>7</v>
      </c>
      <c r="AG130" s="72"/>
      <c r="AH130" s="74">
        <f t="shared" si="883"/>
        <v>2</v>
      </c>
      <c r="AI130" s="72"/>
      <c r="AJ130" s="74">
        <f t="shared" si="884"/>
        <v>5</v>
      </c>
      <c r="AK130" s="72"/>
      <c r="AL130" s="74">
        <f t="shared" si="885"/>
        <v>5</v>
      </c>
      <c r="AM130" s="72"/>
      <c r="AN130" s="74">
        <f t="shared" si="886"/>
        <v>6</v>
      </c>
      <c r="AO130" s="72"/>
      <c r="AP130" s="74">
        <f t="shared" si="887"/>
        <v>0</v>
      </c>
      <c r="AQ130" s="72"/>
      <c r="AR130" s="74">
        <f t="shared" si="888"/>
        <v>2</v>
      </c>
      <c r="AS130" s="72"/>
      <c r="AT130" s="74">
        <f t="shared" si="889"/>
        <v>3</v>
      </c>
      <c r="AU130" s="72"/>
      <c r="AV130" s="74">
        <f t="shared" si="890"/>
        <v>1</v>
      </c>
      <c r="AW130" s="72"/>
      <c r="AX130" s="74">
        <f t="shared" si="891"/>
        <v>13</v>
      </c>
      <c r="AY130" s="72"/>
      <c r="AZ130" s="74">
        <f t="shared" si="892"/>
        <v>15</v>
      </c>
      <c r="BA130" s="72"/>
      <c r="BB130" s="74">
        <f t="shared" si="893"/>
        <v>3</v>
      </c>
      <c r="BC130" s="72"/>
      <c r="BD130" s="74">
        <f t="shared" si="894"/>
        <v>8</v>
      </c>
      <c r="BE130" s="72"/>
      <c r="BF130" s="74">
        <f t="shared" si="895"/>
        <v>7</v>
      </c>
      <c r="BG130" s="72"/>
      <c r="BH130" s="74">
        <f t="shared" si="896"/>
        <v>0</v>
      </c>
      <c r="BI130" s="72"/>
      <c r="BJ130" s="74">
        <f t="shared" si="897"/>
        <v>9</v>
      </c>
      <c r="BK130" s="72"/>
      <c r="BL130" s="74">
        <f t="shared" si="898"/>
        <v>7</v>
      </c>
      <c r="BM130" s="72"/>
      <c r="BN130" s="74">
        <f t="shared" si="899"/>
        <v>8</v>
      </c>
      <c r="BO130" s="72"/>
      <c r="BP130" s="74">
        <f t="shared" si="900"/>
        <v>7</v>
      </c>
      <c r="BQ130" s="72"/>
      <c r="BR130" s="74">
        <f t="shared" si="901"/>
        <v>8</v>
      </c>
      <c r="BS130" s="72"/>
      <c r="BT130" s="74">
        <f t="shared" si="902"/>
        <v>8</v>
      </c>
      <c r="BU130" s="72"/>
      <c r="BV130" s="74">
        <f t="shared" si="903"/>
        <v>7</v>
      </c>
      <c r="BW130" s="72"/>
      <c r="BX130" s="74">
        <f t="shared" si="904"/>
        <v>4</v>
      </c>
      <c r="BY130" s="72"/>
      <c r="BZ130" s="74">
        <f t="shared" si="905"/>
        <v>9</v>
      </c>
      <c r="CA130" s="72"/>
      <c r="CB130" s="74">
        <f t="shared" si="906"/>
        <v>13</v>
      </c>
      <c r="CC130" s="72"/>
      <c r="CD130" s="74">
        <f t="shared" si="907"/>
        <v>7</v>
      </c>
      <c r="CF130" s="74">
        <f t="shared" si="907"/>
        <v>0</v>
      </c>
      <c r="CH130" s="74">
        <f t="shared" ref="CH130" si="927">MAX(CH118:CH129)</f>
        <v>0</v>
      </c>
    </row>
    <row r="131" spans="1:86" ht="13.5" customHeight="1" x14ac:dyDescent="0.2">
      <c r="A131" s="56">
        <v>32</v>
      </c>
      <c r="B131" s="56"/>
      <c r="C131" s="56"/>
      <c r="D131" s="56"/>
      <c r="E131" s="72"/>
      <c r="F131" s="73">
        <f t="shared" si="869"/>
        <v>4</v>
      </c>
      <c r="G131" s="72"/>
      <c r="H131" s="74">
        <f t="shared" si="870"/>
        <v>0</v>
      </c>
      <c r="I131" s="72"/>
      <c r="J131" s="74">
        <f t="shared" si="871"/>
        <v>2</v>
      </c>
      <c r="K131" s="72"/>
      <c r="L131" s="74">
        <f t="shared" si="872"/>
        <v>2</v>
      </c>
      <c r="M131" s="72"/>
      <c r="N131" s="74">
        <f t="shared" si="873"/>
        <v>3</v>
      </c>
      <c r="O131" s="72"/>
      <c r="P131" s="74">
        <f t="shared" si="874"/>
        <v>6</v>
      </c>
      <c r="Q131" s="72"/>
      <c r="R131" s="74">
        <f t="shared" si="875"/>
        <v>2</v>
      </c>
      <c r="S131" s="72"/>
      <c r="T131" s="74">
        <f t="shared" si="876"/>
        <v>1</v>
      </c>
      <c r="U131" s="72"/>
      <c r="V131" s="74">
        <f t="shared" si="877"/>
        <v>1</v>
      </c>
      <c r="W131" s="72"/>
      <c r="X131" s="74">
        <f t="shared" si="878"/>
        <v>0</v>
      </c>
      <c r="Y131" s="72"/>
      <c r="Z131" s="74">
        <f t="shared" si="879"/>
        <v>0</v>
      </c>
      <c r="AA131" s="72"/>
      <c r="AB131" s="74">
        <f t="shared" si="880"/>
        <v>7</v>
      </c>
      <c r="AC131" s="72"/>
      <c r="AD131" s="74">
        <f t="shared" si="881"/>
        <v>8</v>
      </c>
      <c r="AE131" s="72"/>
      <c r="AF131" s="74">
        <f t="shared" si="882"/>
        <v>7</v>
      </c>
      <c r="AG131" s="72"/>
      <c r="AH131" s="74">
        <f t="shared" si="883"/>
        <v>2</v>
      </c>
      <c r="AI131" s="72"/>
      <c r="AJ131" s="74">
        <f t="shared" si="884"/>
        <v>5</v>
      </c>
      <c r="AK131" s="72"/>
      <c r="AL131" s="74">
        <f t="shared" si="885"/>
        <v>5</v>
      </c>
      <c r="AM131" s="72"/>
      <c r="AN131" s="74">
        <f t="shared" si="886"/>
        <v>6</v>
      </c>
      <c r="AO131" s="72"/>
      <c r="AP131" s="74">
        <f t="shared" si="887"/>
        <v>0</v>
      </c>
      <c r="AQ131" s="72"/>
      <c r="AR131" s="74">
        <f t="shared" si="888"/>
        <v>2</v>
      </c>
      <c r="AS131" s="72"/>
      <c r="AT131" s="74">
        <f t="shared" si="889"/>
        <v>3</v>
      </c>
      <c r="AU131" s="72"/>
      <c r="AV131" s="74">
        <f t="shared" si="890"/>
        <v>1</v>
      </c>
      <c r="AW131" s="72"/>
      <c r="AX131" s="74">
        <f t="shared" si="891"/>
        <v>13</v>
      </c>
      <c r="AY131" s="72"/>
      <c r="AZ131" s="74">
        <f t="shared" si="892"/>
        <v>15</v>
      </c>
      <c r="BA131" s="72"/>
      <c r="BB131" s="74">
        <f t="shared" si="893"/>
        <v>3</v>
      </c>
      <c r="BC131" s="72"/>
      <c r="BD131" s="74">
        <f t="shared" si="894"/>
        <v>8</v>
      </c>
      <c r="BE131" s="72"/>
      <c r="BF131" s="74">
        <f t="shared" si="895"/>
        <v>7</v>
      </c>
      <c r="BG131" s="72"/>
      <c r="BH131" s="74">
        <f t="shared" si="896"/>
        <v>0</v>
      </c>
      <c r="BI131" s="72"/>
      <c r="BJ131" s="74">
        <f t="shared" si="897"/>
        <v>9</v>
      </c>
      <c r="BK131" s="72"/>
      <c r="BL131" s="74">
        <f t="shared" si="898"/>
        <v>7</v>
      </c>
      <c r="BM131" s="72"/>
      <c r="BN131" s="74">
        <f t="shared" si="899"/>
        <v>8</v>
      </c>
      <c r="BO131" s="72"/>
      <c r="BP131" s="74">
        <f t="shared" si="900"/>
        <v>7</v>
      </c>
      <c r="BQ131" s="72"/>
      <c r="BR131" s="74">
        <f t="shared" si="901"/>
        <v>8</v>
      </c>
      <c r="BS131" s="72"/>
      <c r="BT131" s="74">
        <f t="shared" si="902"/>
        <v>8</v>
      </c>
      <c r="BU131" s="72"/>
      <c r="BV131" s="74">
        <f t="shared" si="903"/>
        <v>7</v>
      </c>
      <c r="BW131" s="72"/>
      <c r="BX131" s="74">
        <f t="shared" si="904"/>
        <v>4</v>
      </c>
      <c r="BY131" s="72"/>
      <c r="BZ131" s="74">
        <f t="shared" si="905"/>
        <v>9</v>
      </c>
      <c r="CA131" s="72"/>
      <c r="CB131" s="74">
        <f t="shared" si="906"/>
        <v>13</v>
      </c>
      <c r="CC131" s="72"/>
      <c r="CD131" s="74">
        <f t="shared" si="907"/>
        <v>7</v>
      </c>
      <c r="CF131" s="74">
        <f t="shared" si="907"/>
        <v>0</v>
      </c>
      <c r="CH131" s="74">
        <f t="shared" ref="CH131" si="928">MAX(CH119:CH130)</f>
        <v>0</v>
      </c>
    </row>
    <row r="132" spans="1:86" ht="13.5" customHeight="1" x14ac:dyDescent="0.2">
      <c r="A132" s="56">
        <v>33</v>
      </c>
      <c r="B132" s="56"/>
      <c r="C132" s="56"/>
      <c r="D132" s="56"/>
      <c r="E132" s="72"/>
      <c r="F132" s="73">
        <f t="shared" si="869"/>
        <v>4</v>
      </c>
      <c r="G132" s="72"/>
      <c r="H132" s="74">
        <f t="shared" si="870"/>
        <v>0</v>
      </c>
      <c r="I132" s="72"/>
      <c r="J132" s="74">
        <f t="shared" si="871"/>
        <v>2</v>
      </c>
      <c r="K132" s="72"/>
      <c r="L132" s="74">
        <f t="shared" si="872"/>
        <v>2</v>
      </c>
      <c r="M132" s="72"/>
      <c r="N132" s="74">
        <f t="shared" si="873"/>
        <v>3</v>
      </c>
      <c r="O132" s="72"/>
      <c r="P132" s="74">
        <f t="shared" si="874"/>
        <v>6</v>
      </c>
      <c r="Q132" s="72"/>
      <c r="R132" s="74">
        <f t="shared" si="875"/>
        <v>2</v>
      </c>
      <c r="S132" s="72"/>
      <c r="T132" s="74">
        <f t="shared" si="876"/>
        <v>1</v>
      </c>
      <c r="U132" s="72"/>
      <c r="V132" s="74">
        <f t="shared" si="877"/>
        <v>1</v>
      </c>
      <c r="W132" s="72"/>
      <c r="X132" s="74">
        <f t="shared" si="878"/>
        <v>0</v>
      </c>
      <c r="Y132" s="72"/>
      <c r="Z132" s="74">
        <f t="shared" si="879"/>
        <v>0</v>
      </c>
      <c r="AA132" s="72"/>
      <c r="AB132" s="74">
        <f t="shared" si="880"/>
        <v>7</v>
      </c>
      <c r="AC132" s="72"/>
      <c r="AD132" s="74">
        <f t="shared" si="881"/>
        <v>8</v>
      </c>
      <c r="AE132" s="72"/>
      <c r="AF132" s="74">
        <f t="shared" si="882"/>
        <v>7</v>
      </c>
      <c r="AG132" s="72"/>
      <c r="AH132" s="74">
        <f t="shared" si="883"/>
        <v>2</v>
      </c>
      <c r="AI132" s="72"/>
      <c r="AJ132" s="74">
        <f t="shared" si="884"/>
        <v>5</v>
      </c>
      <c r="AK132" s="72"/>
      <c r="AL132" s="74">
        <f t="shared" si="885"/>
        <v>5</v>
      </c>
      <c r="AM132" s="72"/>
      <c r="AN132" s="74">
        <f t="shared" si="886"/>
        <v>6</v>
      </c>
      <c r="AO132" s="72"/>
      <c r="AP132" s="74">
        <f t="shared" si="887"/>
        <v>0</v>
      </c>
      <c r="AQ132" s="72"/>
      <c r="AR132" s="74">
        <f t="shared" si="888"/>
        <v>2</v>
      </c>
      <c r="AS132" s="72"/>
      <c r="AT132" s="74">
        <f t="shared" si="889"/>
        <v>3</v>
      </c>
      <c r="AU132" s="72"/>
      <c r="AV132" s="74">
        <f t="shared" si="890"/>
        <v>1</v>
      </c>
      <c r="AW132" s="72"/>
      <c r="AX132" s="74">
        <f t="shared" si="891"/>
        <v>13</v>
      </c>
      <c r="AY132" s="72"/>
      <c r="AZ132" s="74">
        <f t="shared" si="892"/>
        <v>15</v>
      </c>
      <c r="BA132" s="72"/>
      <c r="BB132" s="74">
        <f t="shared" si="893"/>
        <v>3</v>
      </c>
      <c r="BC132" s="72"/>
      <c r="BD132" s="74">
        <f t="shared" si="894"/>
        <v>8</v>
      </c>
      <c r="BE132" s="72"/>
      <c r="BF132" s="74">
        <f t="shared" si="895"/>
        <v>7</v>
      </c>
      <c r="BG132" s="72"/>
      <c r="BH132" s="74">
        <f t="shared" si="896"/>
        <v>0</v>
      </c>
      <c r="BI132" s="72"/>
      <c r="BJ132" s="74">
        <f t="shared" si="897"/>
        <v>9</v>
      </c>
      <c r="BK132" s="72"/>
      <c r="BL132" s="74">
        <f t="shared" si="898"/>
        <v>7</v>
      </c>
      <c r="BM132" s="72"/>
      <c r="BN132" s="74">
        <f t="shared" si="899"/>
        <v>8</v>
      </c>
      <c r="BO132" s="72"/>
      <c r="BP132" s="74">
        <f t="shared" si="900"/>
        <v>7</v>
      </c>
      <c r="BQ132" s="72"/>
      <c r="BR132" s="74">
        <f t="shared" si="901"/>
        <v>8</v>
      </c>
      <c r="BS132" s="72"/>
      <c r="BT132" s="74">
        <f t="shared" si="902"/>
        <v>8</v>
      </c>
      <c r="BU132" s="72"/>
      <c r="BV132" s="74">
        <f t="shared" si="903"/>
        <v>7</v>
      </c>
      <c r="BW132" s="72"/>
      <c r="BX132" s="74">
        <f t="shared" si="904"/>
        <v>4</v>
      </c>
      <c r="BY132" s="72"/>
      <c r="BZ132" s="74">
        <f t="shared" si="905"/>
        <v>9</v>
      </c>
      <c r="CA132" s="72"/>
      <c r="CB132" s="74">
        <f t="shared" si="906"/>
        <v>13</v>
      </c>
      <c r="CC132" s="72"/>
      <c r="CD132" s="74">
        <f t="shared" si="907"/>
        <v>7</v>
      </c>
      <c r="CF132" s="74">
        <f t="shared" si="907"/>
        <v>0</v>
      </c>
      <c r="CH132" s="74">
        <f t="shared" ref="CH132" si="929">MAX(CH120:CH131)</f>
        <v>0</v>
      </c>
    </row>
    <row r="133" spans="1:86" ht="13.5" customHeight="1" x14ac:dyDescent="0.2">
      <c r="A133" s="56">
        <v>34</v>
      </c>
      <c r="B133" s="56"/>
      <c r="C133" s="56"/>
      <c r="D133" s="56"/>
      <c r="E133" s="72"/>
      <c r="F133" s="73">
        <f t="shared" si="869"/>
        <v>4</v>
      </c>
      <c r="G133" s="72"/>
      <c r="H133" s="74">
        <f t="shared" si="870"/>
        <v>0</v>
      </c>
      <c r="I133" s="72"/>
      <c r="J133" s="74">
        <f t="shared" si="871"/>
        <v>2</v>
      </c>
      <c r="K133" s="72"/>
      <c r="L133" s="74">
        <f t="shared" si="872"/>
        <v>2</v>
      </c>
      <c r="M133" s="72"/>
      <c r="N133" s="74">
        <f t="shared" si="873"/>
        <v>3</v>
      </c>
      <c r="O133" s="72"/>
      <c r="P133" s="74">
        <f t="shared" si="874"/>
        <v>6</v>
      </c>
      <c r="Q133" s="72"/>
      <c r="R133" s="74">
        <f t="shared" si="875"/>
        <v>2</v>
      </c>
      <c r="S133" s="72"/>
      <c r="T133" s="74">
        <f t="shared" si="876"/>
        <v>1</v>
      </c>
      <c r="U133" s="72"/>
      <c r="V133" s="74">
        <f t="shared" si="877"/>
        <v>1</v>
      </c>
      <c r="W133" s="72"/>
      <c r="X133" s="74">
        <f t="shared" si="878"/>
        <v>0</v>
      </c>
      <c r="Y133" s="72"/>
      <c r="Z133" s="74">
        <f t="shared" si="879"/>
        <v>0</v>
      </c>
      <c r="AA133" s="72"/>
      <c r="AB133" s="74">
        <f t="shared" si="880"/>
        <v>7</v>
      </c>
      <c r="AC133" s="72"/>
      <c r="AD133" s="74">
        <f t="shared" si="881"/>
        <v>8</v>
      </c>
      <c r="AE133" s="72"/>
      <c r="AF133" s="74">
        <f t="shared" si="882"/>
        <v>7</v>
      </c>
      <c r="AG133" s="72"/>
      <c r="AH133" s="74">
        <f t="shared" si="883"/>
        <v>2</v>
      </c>
      <c r="AI133" s="72"/>
      <c r="AJ133" s="74">
        <f t="shared" si="884"/>
        <v>5</v>
      </c>
      <c r="AK133" s="72"/>
      <c r="AL133" s="74">
        <f t="shared" si="885"/>
        <v>5</v>
      </c>
      <c r="AM133" s="72"/>
      <c r="AN133" s="74">
        <f t="shared" si="886"/>
        <v>6</v>
      </c>
      <c r="AO133" s="72"/>
      <c r="AP133" s="74">
        <f t="shared" si="887"/>
        <v>0</v>
      </c>
      <c r="AQ133" s="72"/>
      <c r="AR133" s="74">
        <f t="shared" si="888"/>
        <v>2</v>
      </c>
      <c r="AS133" s="72"/>
      <c r="AT133" s="74">
        <f t="shared" si="889"/>
        <v>3</v>
      </c>
      <c r="AU133" s="72"/>
      <c r="AV133" s="74">
        <f t="shared" si="890"/>
        <v>1</v>
      </c>
      <c r="AW133" s="72"/>
      <c r="AX133" s="74">
        <f t="shared" si="891"/>
        <v>13</v>
      </c>
      <c r="AY133" s="72"/>
      <c r="AZ133" s="74">
        <f t="shared" si="892"/>
        <v>15</v>
      </c>
      <c r="BA133" s="72"/>
      <c r="BB133" s="74">
        <f t="shared" si="893"/>
        <v>3</v>
      </c>
      <c r="BC133" s="72"/>
      <c r="BD133" s="74">
        <f t="shared" si="894"/>
        <v>8</v>
      </c>
      <c r="BE133" s="72"/>
      <c r="BF133" s="74">
        <f t="shared" si="895"/>
        <v>7</v>
      </c>
      <c r="BG133" s="72"/>
      <c r="BH133" s="74">
        <f t="shared" si="896"/>
        <v>0</v>
      </c>
      <c r="BI133" s="72"/>
      <c r="BJ133" s="74">
        <f t="shared" si="897"/>
        <v>9</v>
      </c>
      <c r="BK133" s="72"/>
      <c r="BL133" s="74">
        <f t="shared" si="898"/>
        <v>7</v>
      </c>
      <c r="BM133" s="72"/>
      <c r="BN133" s="74">
        <f t="shared" si="899"/>
        <v>8</v>
      </c>
      <c r="BO133" s="72"/>
      <c r="BP133" s="74">
        <f t="shared" si="900"/>
        <v>7</v>
      </c>
      <c r="BQ133" s="72"/>
      <c r="BR133" s="74">
        <f t="shared" si="901"/>
        <v>8</v>
      </c>
      <c r="BS133" s="72"/>
      <c r="BT133" s="74">
        <f t="shared" si="902"/>
        <v>8</v>
      </c>
      <c r="BU133" s="72"/>
      <c r="BV133" s="74">
        <f t="shared" si="903"/>
        <v>7</v>
      </c>
      <c r="BW133" s="72"/>
      <c r="BX133" s="74">
        <f t="shared" si="904"/>
        <v>4</v>
      </c>
      <c r="BY133" s="72"/>
      <c r="BZ133" s="74">
        <f t="shared" si="905"/>
        <v>9</v>
      </c>
      <c r="CA133" s="72"/>
      <c r="CB133" s="74">
        <f t="shared" si="906"/>
        <v>13</v>
      </c>
      <c r="CC133" s="72"/>
      <c r="CD133" s="74">
        <f t="shared" si="907"/>
        <v>7</v>
      </c>
      <c r="CF133" s="74">
        <f t="shared" si="907"/>
        <v>0</v>
      </c>
      <c r="CH133" s="74">
        <f t="shared" ref="CH133" si="930">MAX(CH121:CH132)</f>
        <v>0</v>
      </c>
    </row>
    <row r="134" spans="1:86" ht="13.5" customHeight="1" x14ac:dyDescent="0.2">
      <c r="A134" s="56">
        <v>35</v>
      </c>
      <c r="B134" s="56"/>
      <c r="C134" s="56"/>
      <c r="D134" s="56"/>
      <c r="E134" s="72"/>
      <c r="F134" s="73">
        <f t="shared" si="869"/>
        <v>4</v>
      </c>
      <c r="G134" s="72"/>
      <c r="H134" s="74">
        <f t="shared" si="870"/>
        <v>0</v>
      </c>
      <c r="I134" s="72"/>
      <c r="J134" s="74">
        <f t="shared" si="871"/>
        <v>2</v>
      </c>
      <c r="K134" s="72"/>
      <c r="L134" s="74">
        <f t="shared" si="872"/>
        <v>2</v>
      </c>
      <c r="M134" s="72"/>
      <c r="N134" s="74">
        <f t="shared" si="873"/>
        <v>3</v>
      </c>
      <c r="O134" s="72"/>
      <c r="P134" s="74">
        <f t="shared" si="874"/>
        <v>6</v>
      </c>
      <c r="Q134" s="72"/>
      <c r="R134" s="74">
        <f t="shared" si="875"/>
        <v>2</v>
      </c>
      <c r="S134" s="72"/>
      <c r="T134" s="74">
        <f t="shared" si="876"/>
        <v>1</v>
      </c>
      <c r="U134" s="72"/>
      <c r="V134" s="74">
        <f t="shared" si="877"/>
        <v>1</v>
      </c>
      <c r="W134" s="72"/>
      <c r="X134" s="74">
        <f t="shared" si="878"/>
        <v>0</v>
      </c>
      <c r="Y134" s="72"/>
      <c r="Z134" s="74">
        <f t="shared" si="879"/>
        <v>0</v>
      </c>
      <c r="AA134" s="72"/>
      <c r="AB134" s="74">
        <f t="shared" si="880"/>
        <v>7</v>
      </c>
      <c r="AC134" s="72"/>
      <c r="AD134" s="74">
        <f t="shared" si="881"/>
        <v>8</v>
      </c>
      <c r="AE134" s="72"/>
      <c r="AF134" s="74">
        <f t="shared" si="882"/>
        <v>7</v>
      </c>
      <c r="AG134" s="72"/>
      <c r="AH134" s="74">
        <f t="shared" si="883"/>
        <v>2</v>
      </c>
      <c r="AI134" s="72"/>
      <c r="AJ134" s="74">
        <f t="shared" si="884"/>
        <v>5</v>
      </c>
      <c r="AK134" s="72"/>
      <c r="AL134" s="74">
        <f t="shared" si="885"/>
        <v>5</v>
      </c>
      <c r="AM134" s="72"/>
      <c r="AN134" s="74">
        <f t="shared" si="886"/>
        <v>6</v>
      </c>
      <c r="AO134" s="72"/>
      <c r="AP134" s="74">
        <f t="shared" si="887"/>
        <v>0</v>
      </c>
      <c r="AQ134" s="72"/>
      <c r="AR134" s="74">
        <f t="shared" si="888"/>
        <v>2</v>
      </c>
      <c r="AS134" s="72"/>
      <c r="AT134" s="74">
        <f t="shared" si="889"/>
        <v>3</v>
      </c>
      <c r="AU134" s="72"/>
      <c r="AV134" s="74">
        <f t="shared" si="890"/>
        <v>1</v>
      </c>
      <c r="AW134" s="72"/>
      <c r="AX134" s="74">
        <f t="shared" si="891"/>
        <v>13</v>
      </c>
      <c r="AY134" s="72"/>
      <c r="AZ134" s="74">
        <f t="shared" si="892"/>
        <v>15</v>
      </c>
      <c r="BA134" s="72"/>
      <c r="BB134" s="74">
        <f t="shared" si="893"/>
        <v>3</v>
      </c>
      <c r="BC134" s="72"/>
      <c r="BD134" s="74">
        <f t="shared" si="894"/>
        <v>8</v>
      </c>
      <c r="BE134" s="72"/>
      <c r="BF134" s="74">
        <f t="shared" si="895"/>
        <v>7</v>
      </c>
      <c r="BG134" s="72"/>
      <c r="BH134" s="74">
        <f t="shared" si="896"/>
        <v>0</v>
      </c>
      <c r="BI134" s="72"/>
      <c r="BJ134" s="74">
        <f t="shared" si="897"/>
        <v>9</v>
      </c>
      <c r="BK134" s="72"/>
      <c r="BL134" s="74">
        <f t="shared" si="898"/>
        <v>7</v>
      </c>
      <c r="BM134" s="72"/>
      <c r="BN134" s="74">
        <f t="shared" si="899"/>
        <v>8</v>
      </c>
      <c r="BO134" s="72"/>
      <c r="BP134" s="74">
        <f t="shared" si="900"/>
        <v>7</v>
      </c>
      <c r="BQ134" s="72"/>
      <c r="BR134" s="74">
        <f t="shared" si="901"/>
        <v>8</v>
      </c>
      <c r="BS134" s="72"/>
      <c r="BT134" s="74">
        <f t="shared" si="902"/>
        <v>8</v>
      </c>
      <c r="BU134" s="72"/>
      <c r="BV134" s="74">
        <f t="shared" si="903"/>
        <v>7</v>
      </c>
      <c r="BW134" s="72"/>
      <c r="BX134" s="74">
        <f t="shared" si="904"/>
        <v>4</v>
      </c>
      <c r="BY134" s="72"/>
      <c r="BZ134" s="74">
        <f t="shared" si="905"/>
        <v>9</v>
      </c>
      <c r="CA134" s="72"/>
      <c r="CB134" s="74">
        <f t="shared" si="906"/>
        <v>13</v>
      </c>
      <c r="CC134" s="72"/>
      <c r="CD134" s="74">
        <f t="shared" si="907"/>
        <v>7</v>
      </c>
      <c r="CF134" s="74">
        <f t="shared" si="907"/>
        <v>0</v>
      </c>
      <c r="CH134" s="74">
        <f t="shared" ref="CH134" si="931">MAX(CH122:CH133)</f>
        <v>0</v>
      </c>
    </row>
    <row r="135" spans="1:86" ht="13.5" customHeight="1" x14ac:dyDescent="0.2">
      <c r="A135" s="56">
        <v>36</v>
      </c>
      <c r="B135" s="56"/>
      <c r="C135" s="56"/>
      <c r="D135" s="56"/>
      <c r="E135" s="72"/>
      <c r="F135" s="73">
        <f t="shared" si="869"/>
        <v>4</v>
      </c>
      <c r="G135" s="72"/>
      <c r="H135" s="74">
        <f t="shared" si="870"/>
        <v>0</v>
      </c>
      <c r="I135" s="72"/>
      <c r="J135" s="74">
        <f t="shared" si="871"/>
        <v>2</v>
      </c>
      <c r="K135" s="72"/>
      <c r="L135" s="74">
        <f t="shared" si="872"/>
        <v>2</v>
      </c>
      <c r="M135" s="72"/>
      <c r="N135" s="74">
        <f t="shared" si="873"/>
        <v>3</v>
      </c>
      <c r="O135" s="72"/>
      <c r="P135" s="74">
        <f t="shared" si="874"/>
        <v>6</v>
      </c>
      <c r="Q135" s="72"/>
      <c r="R135" s="74">
        <f t="shared" si="875"/>
        <v>2</v>
      </c>
      <c r="S135" s="72"/>
      <c r="T135" s="74">
        <f t="shared" si="876"/>
        <v>1</v>
      </c>
      <c r="U135" s="72"/>
      <c r="V135" s="74">
        <f t="shared" si="877"/>
        <v>1</v>
      </c>
      <c r="W135" s="72"/>
      <c r="X135" s="74">
        <f t="shared" si="878"/>
        <v>0</v>
      </c>
      <c r="Y135" s="72"/>
      <c r="Z135" s="74">
        <f t="shared" si="879"/>
        <v>0</v>
      </c>
      <c r="AA135" s="72"/>
      <c r="AB135" s="74">
        <f t="shared" si="880"/>
        <v>7</v>
      </c>
      <c r="AC135" s="72"/>
      <c r="AD135" s="74">
        <f t="shared" si="881"/>
        <v>8</v>
      </c>
      <c r="AE135" s="72"/>
      <c r="AF135" s="74">
        <f t="shared" si="882"/>
        <v>7</v>
      </c>
      <c r="AG135" s="72"/>
      <c r="AH135" s="74">
        <f t="shared" si="883"/>
        <v>2</v>
      </c>
      <c r="AI135" s="72"/>
      <c r="AJ135" s="74">
        <f t="shared" si="884"/>
        <v>5</v>
      </c>
      <c r="AK135" s="72"/>
      <c r="AL135" s="74">
        <f t="shared" si="885"/>
        <v>5</v>
      </c>
      <c r="AM135" s="72"/>
      <c r="AN135" s="74">
        <f t="shared" si="886"/>
        <v>6</v>
      </c>
      <c r="AO135" s="72"/>
      <c r="AP135" s="74">
        <f t="shared" si="887"/>
        <v>0</v>
      </c>
      <c r="AQ135" s="72"/>
      <c r="AR135" s="74">
        <f t="shared" si="888"/>
        <v>2</v>
      </c>
      <c r="AS135" s="72"/>
      <c r="AT135" s="74">
        <f t="shared" si="889"/>
        <v>3</v>
      </c>
      <c r="AU135" s="72"/>
      <c r="AV135" s="74">
        <f t="shared" si="890"/>
        <v>1</v>
      </c>
      <c r="AW135" s="72"/>
      <c r="AX135" s="74">
        <f t="shared" si="891"/>
        <v>13</v>
      </c>
      <c r="AY135" s="72"/>
      <c r="AZ135" s="74">
        <f t="shared" si="892"/>
        <v>15</v>
      </c>
      <c r="BA135" s="72"/>
      <c r="BB135" s="74">
        <f t="shared" si="893"/>
        <v>3</v>
      </c>
      <c r="BC135" s="72"/>
      <c r="BD135" s="74">
        <f t="shared" si="894"/>
        <v>8</v>
      </c>
      <c r="BE135" s="72"/>
      <c r="BF135" s="74">
        <f t="shared" si="895"/>
        <v>7</v>
      </c>
      <c r="BG135" s="72"/>
      <c r="BH135" s="74">
        <f t="shared" si="896"/>
        <v>0</v>
      </c>
      <c r="BI135" s="72"/>
      <c r="BJ135" s="74">
        <f t="shared" si="897"/>
        <v>9</v>
      </c>
      <c r="BK135" s="72"/>
      <c r="BL135" s="74">
        <f t="shared" si="898"/>
        <v>7</v>
      </c>
      <c r="BM135" s="72"/>
      <c r="BN135" s="74">
        <f t="shared" si="899"/>
        <v>8</v>
      </c>
      <c r="BO135" s="72"/>
      <c r="BP135" s="74">
        <f t="shared" si="900"/>
        <v>7</v>
      </c>
      <c r="BQ135" s="72"/>
      <c r="BR135" s="74">
        <f t="shared" si="901"/>
        <v>8</v>
      </c>
      <c r="BS135" s="72"/>
      <c r="BT135" s="74">
        <f t="shared" si="902"/>
        <v>8</v>
      </c>
      <c r="BU135" s="72"/>
      <c r="BV135" s="74">
        <f t="shared" si="903"/>
        <v>7</v>
      </c>
      <c r="BW135" s="72"/>
      <c r="BX135" s="74">
        <f t="shared" si="904"/>
        <v>4</v>
      </c>
      <c r="BY135" s="72"/>
      <c r="BZ135" s="74">
        <f t="shared" si="905"/>
        <v>9</v>
      </c>
      <c r="CA135" s="72"/>
      <c r="CB135" s="74">
        <f t="shared" si="906"/>
        <v>13</v>
      </c>
      <c r="CC135" s="72"/>
      <c r="CD135" s="74">
        <f t="shared" si="907"/>
        <v>7</v>
      </c>
      <c r="CF135" s="74">
        <f t="shared" si="907"/>
        <v>0</v>
      </c>
      <c r="CH135" s="74">
        <f t="shared" ref="CH135" si="932">MAX(CH123:CH134)</f>
        <v>0</v>
      </c>
    </row>
    <row r="136" spans="1:86" ht="13.5" customHeight="1" x14ac:dyDescent="0.2">
      <c r="A136" s="56">
        <v>37</v>
      </c>
      <c r="B136" s="56"/>
      <c r="C136" s="56"/>
      <c r="D136" s="56"/>
      <c r="E136" s="72"/>
      <c r="F136" s="73">
        <f t="shared" si="869"/>
        <v>4</v>
      </c>
      <c r="G136" s="72"/>
      <c r="H136" s="74">
        <f t="shared" si="870"/>
        <v>0</v>
      </c>
      <c r="I136" s="72"/>
      <c r="J136" s="74">
        <f t="shared" si="871"/>
        <v>2</v>
      </c>
      <c r="K136" s="72"/>
      <c r="L136" s="74">
        <f t="shared" si="872"/>
        <v>2</v>
      </c>
      <c r="M136" s="72"/>
      <c r="N136" s="74">
        <f t="shared" si="873"/>
        <v>3</v>
      </c>
      <c r="O136" s="72"/>
      <c r="P136" s="74">
        <f t="shared" si="874"/>
        <v>6</v>
      </c>
      <c r="Q136" s="72"/>
      <c r="R136" s="74">
        <f t="shared" si="875"/>
        <v>2</v>
      </c>
      <c r="S136" s="72"/>
      <c r="T136" s="74">
        <f t="shared" si="876"/>
        <v>1</v>
      </c>
      <c r="U136" s="72"/>
      <c r="V136" s="74">
        <f t="shared" si="877"/>
        <v>1</v>
      </c>
      <c r="W136" s="72"/>
      <c r="X136" s="74">
        <f t="shared" si="878"/>
        <v>0</v>
      </c>
      <c r="Y136" s="72"/>
      <c r="Z136" s="74">
        <f t="shared" si="879"/>
        <v>0</v>
      </c>
      <c r="AA136" s="72"/>
      <c r="AB136" s="74">
        <f t="shared" si="880"/>
        <v>7</v>
      </c>
      <c r="AC136" s="72"/>
      <c r="AD136" s="74">
        <f t="shared" si="881"/>
        <v>8</v>
      </c>
      <c r="AE136" s="72"/>
      <c r="AF136" s="74">
        <f t="shared" si="882"/>
        <v>7</v>
      </c>
      <c r="AG136" s="72"/>
      <c r="AH136" s="74">
        <f t="shared" si="883"/>
        <v>2</v>
      </c>
      <c r="AI136" s="72"/>
      <c r="AJ136" s="74">
        <f t="shared" si="884"/>
        <v>5</v>
      </c>
      <c r="AK136" s="72"/>
      <c r="AL136" s="74">
        <f t="shared" si="885"/>
        <v>5</v>
      </c>
      <c r="AM136" s="72"/>
      <c r="AN136" s="74">
        <f t="shared" si="886"/>
        <v>6</v>
      </c>
      <c r="AO136" s="72"/>
      <c r="AP136" s="74">
        <f t="shared" si="887"/>
        <v>0</v>
      </c>
      <c r="AQ136" s="72"/>
      <c r="AR136" s="74">
        <f t="shared" si="888"/>
        <v>2</v>
      </c>
      <c r="AS136" s="72"/>
      <c r="AT136" s="74">
        <f t="shared" si="889"/>
        <v>3</v>
      </c>
      <c r="AU136" s="72"/>
      <c r="AV136" s="74">
        <f t="shared" si="890"/>
        <v>1</v>
      </c>
      <c r="AW136" s="72"/>
      <c r="AX136" s="74">
        <f t="shared" si="891"/>
        <v>13</v>
      </c>
      <c r="AY136" s="72"/>
      <c r="AZ136" s="74">
        <f t="shared" si="892"/>
        <v>15</v>
      </c>
      <c r="BA136" s="72"/>
      <c r="BB136" s="74">
        <f t="shared" si="893"/>
        <v>3</v>
      </c>
      <c r="BC136" s="72"/>
      <c r="BD136" s="74">
        <f t="shared" si="894"/>
        <v>8</v>
      </c>
      <c r="BE136" s="72"/>
      <c r="BF136" s="74">
        <f t="shared" si="895"/>
        <v>7</v>
      </c>
      <c r="BG136" s="72"/>
      <c r="BH136" s="74">
        <f t="shared" si="896"/>
        <v>0</v>
      </c>
      <c r="BI136" s="72"/>
      <c r="BJ136" s="74">
        <f t="shared" si="897"/>
        <v>9</v>
      </c>
      <c r="BK136" s="72"/>
      <c r="BL136" s="74">
        <f t="shared" si="898"/>
        <v>7</v>
      </c>
      <c r="BM136" s="72"/>
      <c r="BN136" s="74">
        <f t="shared" si="899"/>
        <v>8</v>
      </c>
      <c r="BO136" s="72"/>
      <c r="BP136" s="74">
        <f t="shared" si="900"/>
        <v>7</v>
      </c>
      <c r="BQ136" s="72"/>
      <c r="BR136" s="74">
        <f t="shared" si="901"/>
        <v>8</v>
      </c>
      <c r="BS136" s="72"/>
      <c r="BT136" s="74">
        <f t="shared" si="902"/>
        <v>8</v>
      </c>
      <c r="BU136" s="72"/>
      <c r="BV136" s="74">
        <f t="shared" si="903"/>
        <v>7</v>
      </c>
      <c r="BW136" s="72"/>
      <c r="BX136" s="74">
        <f t="shared" si="904"/>
        <v>4</v>
      </c>
      <c r="BY136" s="72"/>
      <c r="BZ136" s="74">
        <f t="shared" si="905"/>
        <v>9</v>
      </c>
      <c r="CA136" s="72"/>
      <c r="CB136" s="74">
        <f t="shared" si="906"/>
        <v>13</v>
      </c>
      <c r="CC136" s="72"/>
      <c r="CD136" s="74">
        <f t="shared" si="907"/>
        <v>7</v>
      </c>
      <c r="CF136" s="74">
        <f t="shared" si="907"/>
        <v>0</v>
      </c>
      <c r="CH136" s="74">
        <f t="shared" ref="CH136" si="933">MAX(CH124:CH135)</f>
        <v>0</v>
      </c>
    </row>
    <row r="137" spans="1:86" ht="13.5" customHeight="1" x14ac:dyDescent="0.2">
      <c r="A137" s="56">
        <v>38</v>
      </c>
      <c r="B137" s="56"/>
      <c r="C137" s="56"/>
      <c r="D137" s="56"/>
      <c r="E137" s="72"/>
      <c r="F137" s="73">
        <f t="shared" si="869"/>
        <v>4</v>
      </c>
      <c r="G137" s="72"/>
      <c r="H137" s="74">
        <f t="shared" si="870"/>
        <v>0</v>
      </c>
      <c r="I137" s="72"/>
      <c r="J137" s="74">
        <f t="shared" si="871"/>
        <v>2</v>
      </c>
      <c r="K137" s="72"/>
      <c r="L137" s="74">
        <f t="shared" si="872"/>
        <v>2</v>
      </c>
      <c r="M137" s="72"/>
      <c r="N137" s="74">
        <f t="shared" si="873"/>
        <v>3</v>
      </c>
      <c r="O137" s="72"/>
      <c r="P137" s="74">
        <f t="shared" si="874"/>
        <v>6</v>
      </c>
      <c r="Q137" s="72"/>
      <c r="R137" s="74">
        <f t="shared" si="875"/>
        <v>2</v>
      </c>
      <c r="S137" s="72"/>
      <c r="T137" s="74">
        <f t="shared" si="876"/>
        <v>1</v>
      </c>
      <c r="U137" s="72"/>
      <c r="V137" s="74">
        <f t="shared" si="877"/>
        <v>1</v>
      </c>
      <c r="W137" s="72"/>
      <c r="X137" s="74">
        <f t="shared" si="878"/>
        <v>0</v>
      </c>
      <c r="Y137" s="72"/>
      <c r="Z137" s="74">
        <f t="shared" si="879"/>
        <v>0</v>
      </c>
      <c r="AA137" s="72"/>
      <c r="AB137" s="74">
        <f t="shared" si="880"/>
        <v>7</v>
      </c>
      <c r="AC137" s="72"/>
      <c r="AD137" s="74">
        <f t="shared" si="881"/>
        <v>8</v>
      </c>
      <c r="AE137" s="72"/>
      <c r="AF137" s="74">
        <f t="shared" si="882"/>
        <v>7</v>
      </c>
      <c r="AG137" s="72"/>
      <c r="AH137" s="74">
        <f t="shared" si="883"/>
        <v>2</v>
      </c>
      <c r="AI137" s="72"/>
      <c r="AJ137" s="74">
        <f t="shared" si="884"/>
        <v>5</v>
      </c>
      <c r="AK137" s="72"/>
      <c r="AL137" s="74">
        <f t="shared" si="885"/>
        <v>5</v>
      </c>
      <c r="AM137" s="72"/>
      <c r="AN137" s="74">
        <f t="shared" si="886"/>
        <v>6</v>
      </c>
      <c r="AO137" s="72"/>
      <c r="AP137" s="74">
        <f t="shared" si="887"/>
        <v>0</v>
      </c>
      <c r="AQ137" s="72"/>
      <c r="AR137" s="74">
        <f t="shared" si="888"/>
        <v>2</v>
      </c>
      <c r="AS137" s="72"/>
      <c r="AT137" s="74">
        <f t="shared" si="889"/>
        <v>3</v>
      </c>
      <c r="AU137" s="72"/>
      <c r="AV137" s="74">
        <f t="shared" si="890"/>
        <v>1</v>
      </c>
      <c r="AW137" s="72"/>
      <c r="AX137" s="74">
        <f t="shared" si="891"/>
        <v>13</v>
      </c>
      <c r="AY137" s="72"/>
      <c r="AZ137" s="74">
        <f t="shared" si="892"/>
        <v>15</v>
      </c>
      <c r="BA137" s="72"/>
      <c r="BB137" s="74">
        <f t="shared" si="893"/>
        <v>3</v>
      </c>
      <c r="BC137" s="72"/>
      <c r="BD137" s="74">
        <f t="shared" si="894"/>
        <v>8</v>
      </c>
      <c r="BE137" s="72"/>
      <c r="BF137" s="74">
        <f t="shared" si="895"/>
        <v>7</v>
      </c>
      <c r="BG137" s="72"/>
      <c r="BH137" s="74">
        <f t="shared" si="896"/>
        <v>0</v>
      </c>
      <c r="BI137" s="72"/>
      <c r="BJ137" s="74">
        <f t="shared" si="897"/>
        <v>9</v>
      </c>
      <c r="BK137" s="72"/>
      <c r="BL137" s="74">
        <f t="shared" si="898"/>
        <v>7</v>
      </c>
      <c r="BM137" s="72"/>
      <c r="BN137" s="74">
        <f t="shared" si="899"/>
        <v>8</v>
      </c>
      <c r="BO137" s="72"/>
      <c r="BP137" s="74">
        <f t="shared" si="900"/>
        <v>7</v>
      </c>
      <c r="BQ137" s="72"/>
      <c r="BR137" s="74">
        <f t="shared" si="901"/>
        <v>8</v>
      </c>
      <c r="BS137" s="72"/>
      <c r="BT137" s="74">
        <f t="shared" si="902"/>
        <v>8</v>
      </c>
      <c r="BU137" s="72"/>
      <c r="BV137" s="74">
        <f t="shared" si="903"/>
        <v>7</v>
      </c>
      <c r="BW137" s="72"/>
      <c r="BX137" s="74">
        <f t="shared" si="904"/>
        <v>4</v>
      </c>
      <c r="BY137" s="72"/>
      <c r="BZ137" s="74">
        <f t="shared" si="905"/>
        <v>9</v>
      </c>
      <c r="CA137" s="72"/>
      <c r="CB137" s="74">
        <f t="shared" si="906"/>
        <v>13</v>
      </c>
      <c r="CC137" s="72"/>
      <c r="CD137" s="74">
        <f t="shared" si="907"/>
        <v>7</v>
      </c>
      <c r="CF137" s="74">
        <f t="shared" si="907"/>
        <v>0</v>
      </c>
      <c r="CH137" s="74">
        <f t="shared" ref="CH137" si="934">MAX(CH125:CH136)</f>
        <v>0</v>
      </c>
    </row>
    <row r="138" spans="1:86" ht="13.5" customHeight="1" x14ac:dyDescent="0.2">
      <c r="A138" s="56">
        <v>39</v>
      </c>
      <c r="B138" s="56"/>
      <c r="C138" s="56"/>
      <c r="D138" s="56"/>
      <c r="E138" s="72"/>
      <c r="F138" s="73">
        <f t="shared" si="869"/>
        <v>4</v>
      </c>
      <c r="G138" s="72"/>
      <c r="H138" s="74">
        <f t="shared" si="870"/>
        <v>0</v>
      </c>
      <c r="I138" s="72"/>
      <c r="J138" s="74">
        <f t="shared" si="871"/>
        <v>2</v>
      </c>
      <c r="K138" s="72"/>
      <c r="L138" s="74">
        <f t="shared" si="872"/>
        <v>2</v>
      </c>
      <c r="M138" s="72"/>
      <c r="N138" s="74">
        <f t="shared" si="873"/>
        <v>3</v>
      </c>
      <c r="O138" s="72"/>
      <c r="P138" s="74">
        <f t="shared" si="874"/>
        <v>6</v>
      </c>
      <c r="Q138" s="72"/>
      <c r="R138" s="74">
        <f t="shared" si="875"/>
        <v>2</v>
      </c>
      <c r="S138" s="72"/>
      <c r="T138" s="74">
        <f t="shared" si="876"/>
        <v>1</v>
      </c>
      <c r="U138" s="72"/>
      <c r="V138" s="74">
        <f t="shared" si="877"/>
        <v>1</v>
      </c>
      <c r="W138" s="72"/>
      <c r="X138" s="74">
        <f t="shared" si="878"/>
        <v>0</v>
      </c>
      <c r="Y138" s="72"/>
      <c r="Z138" s="74">
        <f t="shared" si="879"/>
        <v>0</v>
      </c>
      <c r="AA138" s="72"/>
      <c r="AB138" s="74">
        <f t="shared" si="880"/>
        <v>7</v>
      </c>
      <c r="AC138" s="72"/>
      <c r="AD138" s="74">
        <f t="shared" si="881"/>
        <v>8</v>
      </c>
      <c r="AE138" s="72"/>
      <c r="AF138" s="74">
        <f t="shared" si="882"/>
        <v>7</v>
      </c>
      <c r="AG138" s="72"/>
      <c r="AH138" s="74">
        <f t="shared" si="883"/>
        <v>2</v>
      </c>
      <c r="AI138" s="72"/>
      <c r="AJ138" s="74">
        <f t="shared" si="884"/>
        <v>5</v>
      </c>
      <c r="AK138" s="72"/>
      <c r="AL138" s="74">
        <f t="shared" si="885"/>
        <v>5</v>
      </c>
      <c r="AM138" s="72"/>
      <c r="AN138" s="74">
        <f t="shared" si="886"/>
        <v>6</v>
      </c>
      <c r="AO138" s="72"/>
      <c r="AP138" s="74">
        <f t="shared" si="887"/>
        <v>0</v>
      </c>
      <c r="AQ138" s="72"/>
      <c r="AR138" s="74">
        <f t="shared" si="888"/>
        <v>2</v>
      </c>
      <c r="AS138" s="72"/>
      <c r="AT138" s="74">
        <f t="shared" si="889"/>
        <v>3</v>
      </c>
      <c r="AU138" s="72"/>
      <c r="AV138" s="74">
        <f t="shared" si="890"/>
        <v>1</v>
      </c>
      <c r="AW138" s="72"/>
      <c r="AX138" s="74">
        <f t="shared" si="891"/>
        <v>13</v>
      </c>
      <c r="AY138" s="72"/>
      <c r="AZ138" s="74">
        <f t="shared" si="892"/>
        <v>15</v>
      </c>
      <c r="BA138" s="72"/>
      <c r="BB138" s="74">
        <f t="shared" si="893"/>
        <v>3</v>
      </c>
      <c r="BC138" s="72"/>
      <c r="BD138" s="74">
        <f t="shared" si="894"/>
        <v>8</v>
      </c>
      <c r="BE138" s="72"/>
      <c r="BF138" s="74">
        <f t="shared" si="895"/>
        <v>7</v>
      </c>
      <c r="BG138" s="72"/>
      <c r="BH138" s="74">
        <f t="shared" si="896"/>
        <v>0</v>
      </c>
      <c r="BI138" s="72"/>
      <c r="BJ138" s="74">
        <f t="shared" si="897"/>
        <v>9</v>
      </c>
      <c r="BK138" s="72"/>
      <c r="BL138" s="74">
        <f t="shared" si="898"/>
        <v>7</v>
      </c>
      <c r="BM138" s="72"/>
      <c r="BN138" s="74">
        <f t="shared" si="899"/>
        <v>8</v>
      </c>
      <c r="BO138" s="72"/>
      <c r="BP138" s="74">
        <f t="shared" si="900"/>
        <v>7</v>
      </c>
      <c r="BQ138" s="72"/>
      <c r="BR138" s="74">
        <f t="shared" si="901"/>
        <v>8</v>
      </c>
      <c r="BS138" s="72"/>
      <c r="BT138" s="74">
        <f t="shared" si="902"/>
        <v>8</v>
      </c>
      <c r="BU138" s="72"/>
      <c r="BV138" s="74">
        <f t="shared" si="903"/>
        <v>7</v>
      </c>
      <c r="BW138" s="72"/>
      <c r="BX138" s="74">
        <f t="shared" si="904"/>
        <v>4</v>
      </c>
      <c r="BY138" s="72"/>
      <c r="BZ138" s="74">
        <f t="shared" si="905"/>
        <v>9</v>
      </c>
      <c r="CA138" s="72"/>
      <c r="CB138" s="74">
        <f t="shared" si="906"/>
        <v>13</v>
      </c>
      <c r="CC138" s="72"/>
      <c r="CD138" s="74">
        <f t="shared" si="907"/>
        <v>7</v>
      </c>
      <c r="CF138" s="74">
        <f t="shared" si="907"/>
        <v>0</v>
      </c>
      <c r="CH138" s="74">
        <f t="shared" ref="CH138" si="935">MAX(CH126:CH137)</f>
        <v>0</v>
      </c>
    </row>
    <row r="139" spans="1:86" ht="13.5" customHeight="1" x14ac:dyDescent="0.2">
      <c r="A139" s="56">
        <v>40</v>
      </c>
      <c r="B139" s="56"/>
      <c r="C139" s="56"/>
      <c r="D139" s="56"/>
      <c r="E139" s="72"/>
      <c r="F139" s="73">
        <f t="shared" si="869"/>
        <v>4</v>
      </c>
      <c r="G139" s="72"/>
      <c r="H139" s="74">
        <f t="shared" si="870"/>
        <v>0</v>
      </c>
      <c r="I139" s="72"/>
      <c r="J139" s="74">
        <f t="shared" si="871"/>
        <v>2</v>
      </c>
      <c r="K139" s="72"/>
      <c r="L139" s="74">
        <f t="shared" si="872"/>
        <v>2</v>
      </c>
      <c r="M139" s="72"/>
      <c r="N139" s="74">
        <f t="shared" si="873"/>
        <v>3</v>
      </c>
      <c r="O139" s="72"/>
      <c r="P139" s="74">
        <f t="shared" si="874"/>
        <v>6</v>
      </c>
      <c r="Q139" s="72"/>
      <c r="R139" s="74">
        <f t="shared" si="875"/>
        <v>2</v>
      </c>
      <c r="S139" s="72"/>
      <c r="T139" s="74">
        <f t="shared" si="876"/>
        <v>1</v>
      </c>
      <c r="U139" s="72"/>
      <c r="V139" s="74">
        <f t="shared" si="877"/>
        <v>1</v>
      </c>
      <c r="W139" s="72"/>
      <c r="X139" s="74">
        <f t="shared" si="878"/>
        <v>0</v>
      </c>
      <c r="Y139" s="72"/>
      <c r="Z139" s="74">
        <f t="shared" si="879"/>
        <v>0</v>
      </c>
      <c r="AA139" s="72"/>
      <c r="AB139" s="74">
        <f t="shared" si="880"/>
        <v>7</v>
      </c>
      <c r="AC139" s="72"/>
      <c r="AD139" s="74">
        <f t="shared" si="881"/>
        <v>8</v>
      </c>
      <c r="AE139" s="72"/>
      <c r="AF139" s="74">
        <f t="shared" si="882"/>
        <v>7</v>
      </c>
      <c r="AG139" s="72"/>
      <c r="AH139" s="74">
        <f t="shared" si="883"/>
        <v>2</v>
      </c>
      <c r="AI139" s="72"/>
      <c r="AJ139" s="74">
        <f t="shared" si="884"/>
        <v>5</v>
      </c>
      <c r="AK139" s="72"/>
      <c r="AL139" s="74">
        <f t="shared" si="885"/>
        <v>5</v>
      </c>
      <c r="AM139" s="72"/>
      <c r="AN139" s="74">
        <f t="shared" si="886"/>
        <v>6</v>
      </c>
      <c r="AO139" s="72"/>
      <c r="AP139" s="74">
        <f t="shared" si="887"/>
        <v>0</v>
      </c>
      <c r="AQ139" s="72"/>
      <c r="AR139" s="74">
        <f t="shared" si="888"/>
        <v>2</v>
      </c>
      <c r="AS139" s="72"/>
      <c r="AT139" s="74">
        <f t="shared" si="889"/>
        <v>3</v>
      </c>
      <c r="AU139" s="72"/>
      <c r="AV139" s="74">
        <f t="shared" si="890"/>
        <v>1</v>
      </c>
      <c r="AW139" s="72"/>
      <c r="AX139" s="74">
        <f t="shared" si="891"/>
        <v>13</v>
      </c>
      <c r="AY139" s="72"/>
      <c r="AZ139" s="74">
        <f t="shared" si="892"/>
        <v>15</v>
      </c>
      <c r="BA139" s="72"/>
      <c r="BB139" s="74">
        <f t="shared" si="893"/>
        <v>3</v>
      </c>
      <c r="BC139" s="72"/>
      <c r="BD139" s="74">
        <f t="shared" si="894"/>
        <v>8</v>
      </c>
      <c r="BE139" s="72"/>
      <c r="BF139" s="74">
        <f t="shared" si="895"/>
        <v>7</v>
      </c>
      <c r="BG139" s="72"/>
      <c r="BH139" s="74">
        <f t="shared" si="896"/>
        <v>0</v>
      </c>
      <c r="BI139" s="72"/>
      <c r="BJ139" s="74">
        <f t="shared" si="897"/>
        <v>9</v>
      </c>
      <c r="BK139" s="72"/>
      <c r="BL139" s="74">
        <f t="shared" si="898"/>
        <v>7</v>
      </c>
      <c r="BM139" s="72"/>
      <c r="BN139" s="74">
        <f t="shared" si="899"/>
        <v>8</v>
      </c>
      <c r="BO139" s="72"/>
      <c r="BP139" s="74">
        <f t="shared" si="900"/>
        <v>7</v>
      </c>
      <c r="BQ139" s="72"/>
      <c r="BR139" s="74">
        <f t="shared" si="901"/>
        <v>8</v>
      </c>
      <c r="BS139" s="72"/>
      <c r="BT139" s="74">
        <f t="shared" si="902"/>
        <v>8</v>
      </c>
      <c r="BU139" s="72"/>
      <c r="BV139" s="74">
        <f t="shared" si="903"/>
        <v>7</v>
      </c>
      <c r="BW139" s="72"/>
      <c r="BX139" s="74">
        <f t="shared" si="904"/>
        <v>4</v>
      </c>
      <c r="BY139" s="72"/>
      <c r="BZ139" s="74">
        <f t="shared" si="905"/>
        <v>9</v>
      </c>
      <c r="CA139" s="72"/>
      <c r="CB139" s="74">
        <f t="shared" si="906"/>
        <v>13</v>
      </c>
      <c r="CC139" s="72"/>
      <c r="CD139" s="74">
        <f t="shared" si="907"/>
        <v>7</v>
      </c>
      <c r="CF139" s="74">
        <f t="shared" si="907"/>
        <v>0</v>
      </c>
      <c r="CH139" s="74">
        <f t="shared" ref="CH139" si="936">MAX(CH127:CH138)</f>
        <v>0</v>
      </c>
    </row>
    <row r="140" spans="1:86" ht="13.5" customHeight="1" x14ac:dyDescent="0.2">
      <c r="A140" s="56">
        <v>41</v>
      </c>
      <c r="B140" s="56"/>
      <c r="C140" s="56"/>
      <c r="D140" s="56"/>
      <c r="E140" s="72"/>
      <c r="F140" s="73">
        <f t="shared" si="869"/>
        <v>4</v>
      </c>
      <c r="G140" s="72"/>
      <c r="H140" s="74">
        <f t="shared" si="870"/>
        <v>0</v>
      </c>
      <c r="I140" s="72"/>
      <c r="J140" s="74">
        <f t="shared" si="871"/>
        <v>2</v>
      </c>
      <c r="K140" s="72"/>
      <c r="L140" s="74">
        <f t="shared" si="872"/>
        <v>2</v>
      </c>
      <c r="M140" s="72"/>
      <c r="N140" s="74">
        <f t="shared" si="873"/>
        <v>3</v>
      </c>
      <c r="O140" s="72"/>
      <c r="P140" s="74">
        <f t="shared" si="874"/>
        <v>6</v>
      </c>
      <c r="Q140" s="72"/>
      <c r="R140" s="74">
        <f t="shared" si="875"/>
        <v>2</v>
      </c>
      <c r="S140" s="72"/>
      <c r="T140" s="74">
        <f t="shared" si="876"/>
        <v>1</v>
      </c>
      <c r="U140" s="72"/>
      <c r="V140" s="74">
        <f t="shared" si="877"/>
        <v>1</v>
      </c>
      <c r="W140" s="72"/>
      <c r="X140" s="74">
        <f t="shared" si="878"/>
        <v>0</v>
      </c>
      <c r="Y140" s="72"/>
      <c r="Z140" s="74">
        <f t="shared" si="879"/>
        <v>0</v>
      </c>
      <c r="AA140" s="72"/>
      <c r="AB140" s="74">
        <f t="shared" si="880"/>
        <v>7</v>
      </c>
      <c r="AC140" s="72"/>
      <c r="AD140" s="74">
        <f t="shared" si="881"/>
        <v>8</v>
      </c>
      <c r="AE140" s="72"/>
      <c r="AF140" s="74">
        <f t="shared" si="882"/>
        <v>7</v>
      </c>
      <c r="AG140" s="72"/>
      <c r="AH140" s="74">
        <f t="shared" si="883"/>
        <v>2</v>
      </c>
      <c r="AI140" s="72"/>
      <c r="AJ140" s="74">
        <f t="shared" si="884"/>
        <v>5</v>
      </c>
      <c r="AK140" s="72"/>
      <c r="AL140" s="74">
        <f t="shared" si="885"/>
        <v>5</v>
      </c>
      <c r="AM140" s="72"/>
      <c r="AN140" s="74">
        <f t="shared" si="886"/>
        <v>6</v>
      </c>
      <c r="AO140" s="72"/>
      <c r="AP140" s="74">
        <f t="shared" si="887"/>
        <v>0</v>
      </c>
      <c r="AQ140" s="72"/>
      <c r="AR140" s="74">
        <f t="shared" si="888"/>
        <v>2</v>
      </c>
      <c r="AS140" s="72"/>
      <c r="AT140" s="74">
        <f t="shared" si="889"/>
        <v>3</v>
      </c>
      <c r="AU140" s="72"/>
      <c r="AV140" s="74">
        <f t="shared" si="890"/>
        <v>1</v>
      </c>
      <c r="AW140" s="72"/>
      <c r="AX140" s="74">
        <f t="shared" si="891"/>
        <v>13</v>
      </c>
      <c r="AY140" s="72"/>
      <c r="AZ140" s="74">
        <f t="shared" si="892"/>
        <v>15</v>
      </c>
      <c r="BA140" s="72"/>
      <c r="BB140" s="74">
        <f t="shared" si="893"/>
        <v>3</v>
      </c>
      <c r="BC140" s="72"/>
      <c r="BD140" s="74">
        <f t="shared" si="894"/>
        <v>8</v>
      </c>
      <c r="BE140" s="72"/>
      <c r="BF140" s="74">
        <f t="shared" si="895"/>
        <v>7</v>
      </c>
      <c r="BG140" s="72"/>
      <c r="BH140" s="74">
        <f t="shared" si="896"/>
        <v>0</v>
      </c>
      <c r="BI140" s="72"/>
      <c r="BJ140" s="74">
        <f t="shared" si="897"/>
        <v>9</v>
      </c>
      <c r="BK140" s="72"/>
      <c r="BL140" s="74">
        <f t="shared" si="898"/>
        <v>7</v>
      </c>
      <c r="BM140" s="72"/>
      <c r="BN140" s="74">
        <f t="shared" si="899"/>
        <v>8</v>
      </c>
      <c r="BO140" s="72"/>
      <c r="BP140" s="74">
        <f t="shared" si="900"/>
        <v>7</v>
      </c>
      <c r="BQ140" s="72"/>
      <c r="BR140" s="74">
        <f t="shared" si="901"/>
        <v>8</v>
      </c>
      <c r="BS140" s="72"/>
      <c r="BT140" s="74">
        <f t="shared" si="902"/>
        <v>8</v>
      </c>
      <c r="BU140" s="72"/>
      <c r="BV140" s="74">
        <f t="shared" si="903"/>
        <v>7</v>
      </c>
      <c r="BW140" s="72"/>
      <c r="BX140" s="74">
        <f t="shared" si="904"/>
        <v>4</v>
      </c>
      <c r="BY140" s="72"/>
      <c r="BZ140" s="74">
        <f t="shared" si="905"/>
        <v>9</v>
      </c>
      <c r="CA140" s="72"/>
      <c r="CB140" s="74">
        <f t="shared" si="906"/>
        <v>13</v>
      </c>
      <c r="CC140" s="72"/>
      <c r="CD140" s="74">
        <f t="shared" si="907"/>
        <v>7</v>
      </c>
      <c r="CF140" s="74">
        <f t="shared" si="907"/>
        <v>0</v>
      </c>
      <c r="CH140" s="74">
        <f t="shared" ref="CH140" si="937">MAX(CH128:CH139)</f>
        <v>0</v>
      </c>
    </row>
    <row r="141" spans="1:86" ht="13.5" customHeight="1" x14ac:dyDescent="0.2">
      <c r="A141" s="56">
        <v>42</v>
      </c>
      <c r="B141" s="56"/>
      <c r="C141" s="56"/>
      <c r="D141" s="56"/>
      <c r="E141" s="72"/>
      <c r="F141" s="73">
        <f t="shared" si="869"/>
        <v>4</v>
      </c>
      <c r="G141" s="72"/>
      <c r="H141" s="74">
        <f t="shared" si="870"/>
        <v>0</v>
      </c>
      <c r="I141" s="72"/>
      <c r="J141" s="74">
        <f t="shared" si="871"/>
        <v>2</v>
      </c>
      <c r="K141" s="72"/>
      <c r="L141" s="74">
        <f t="shared" si="872"/>
        <v>2</v>
      </c>
      <c r="M141" s="72"/>
      <c r="N141" s="74">
        <f t="shared" si="873"/>
        <v>3</v>
      </c>
      <c r="O141" s="72"/>
      <c r="P141" s="74">
        <f t="shared" si="874"/>
        <v>6</v>
      </c>
      <c r="Q141" s="72"/>
      <c r="R141" s="74">
        <f t="shared" si="875"/>
        <v>2</v>
      </c>
      <c r="S141" s="72"/>
      <c r="T141" s="74">
        <f t="shared" si="876"/>
        <v>1</v>
      </c>
      <c r="U141" s="72"/>
      <c r="V141" s="74">
        <f t="shared" si="877"/>
        <v>1</v>
      </c>
      <c r="W141" s="72"/>
      <c r="X141" s="74">
        <f t="shared" si="878"/>
        <v>0</v>
      </c>
      <c r="Y141" s="72"/>
      <c r="Z141" s="74">
        <f t="shared" si="879"/>
        <v>0</v>
      </c>
      <c r="AA141" s="72"/>
      <c r="AB141" s="74">
        <f t="shared" si="880"/>
        <v>7</v>
      </c>
      <c r="AC141" s="72"/>
      <c r="AD141" s="74">
        <f t="shared" si="881"/>
        <v>8</v>
      </c>
      <c r="AE141" s="72"/>
      <c r="AF141" s="74">
        <f t="shared" si="882"/>
        <v>7</v>
      </c>
      <c r="AG141" s="72"/>
      <c r="AH141" s="74">
        <f t="shared" si="883"/>
        <v>2</v>
      </c>
      <c r="AI141" s="72"/>
      <c r="AJ141" s="74">
        <f t="shared" si="884"/>
        <v>5</v>
      </c>
      <c r="AK141" s="72"/>
      <c r="AL141" s="74">
        <f t="shared" si="885"/>
        <v>5</v>
      </c>
      <c r="AM141" s="72"/>
      <c r="AN141" s="74">
        <f t="shared" si="886"/>
        <v>6</v>
      </c>
      <c r="AO141" s="72"/>
      <c r="AP141" s="74">
        <f t="shared" si="887"/>
        <v>0</v>
      </c>
      <c r="AQ141" s="72"/>
      <c r="AR141" s="74">
        <f t="shared" si="888"/>
        <v>2</v>
      </c>
      <c r="AS141" s="72"/>
      <c r="AT141" s="74">
        <f t="shared" si="889"/>
        <v>3</v>
      </c>
      <c r="AU141" s="72"/>
      <c r="AV141" s="74">
        <f t="shared" si="890"/>
        <v>1</v>
      </c>
      <c r="AW141" s="72"/>
      <c r="AX141" s="74">
        <f t="shared" si="891"/>
        <v>13</v>
      </c>
      <c r="AY141" s="72"/>
      <c r="AZ141" s="74">
        <f t="shared" si="892"/>
        <v>15</v>
      </c>
      <c r="BA141" s="72"/>
      <c r="BB141" s="74">
        <f t="shared" si="893"/>
        <v>3</v>
      </c>
      <c r="BC141" s="72"/>
      <c r="BD141" s="74">
        <f t="shared" si="894"/>
        <v>8</v>
      </c>
      <c r="BE141" s="72"/>
      <c r="BF141" s="74">
        <f t="shared" si="895"/>
        <v>7</v>
      </c>
      <c r="BG141" s="72"/>
      <c r="BH141" s="74">
        <f t="shared" si="896"/>
        <v>0</v>
      </c>
      <c r="BI141" s="72"/>
      <c r="BJ141" s="74">
        <f t="shared" si="897"/>
        <v>9</v>
      </c>
      <c r="BK141" s="72"/>
      <c r="BL141" s="74">
        <f t="shared" si="898"/>
        <v>7</v>
      </c>
      <c r="BM141" s="72"/>
      <c r="BN141" s="74">
        <f t="shared" si="899"/>
        <v>8</v>
      </c>
      <c r="BO141" s="72"/>
      <c r="BP141" s="74">
        <f t="shared" si="900"/>
        <v>7</v>
      </c>
      <c r="BQ141" s="72"/>
      <c r="BR141" s="74">
        <f t="shared" si="901"/>
        <v>8</v>
      </c>
      <c r="BS141" s="72"/>
      <c r="BT141" s="74">
        <f t="shared" si="902"/>
        <v>8</v>
      </c>
      <c r="BU141" s="72"/>
      <c r="BV141" s="74">
        <f t="shared" si="903"/>
        <v>7</v>
      </c>
      <c r="BW141" s="72"/>
      <c r="BX141" s="74">
        <f t="shared" si="904"/>
        <v>4</v>
      </c>
      <c r="BY141" s="72"/>
      <c r="BZ141" s="74">
        <f t="shared" si="905"/>
        <v>9</v>
      </c>
      <c r="CA141" s="72"/>
      <c r="CB141" s="74">
        <f t="shared" si="906"/>
        <v>13</v>
      </c>
      <c r="CC141" s="72"/>
      <c r="CD141" s="74">
        <f t="shared" si="907"/>
        <v>7</v>
      </c>
      <c r="CF141" s="74">
        <f t="shared" si="907"/>
        <v>0</v>
      </c>
      <c r="CH141" s="74">
        <f t="shared" ref="CH141" si="938">MAX(CH129:CH140)</f>
        <v>0</v>
      </c>
    </row>
    <row r="142" spans="1:86" ht="13.5" customHeight="1" x14ac:dyDescent="0.2">
      <c r="A142" s="56">
        <v>43</v>
      </c>
      <c r="B142" s="56"/>
      <c r="C142" s="56"/>
      <c r="D142" s="56"/>
      <c r="E142" s="72"/>
      <c r="F142" s="73">
        <f t="shared" si="869"/>
        <v>4</v>
      </c>
      <c r="G142" s="72"/>
      <c r="H142" s="74">
        <f t="shared" si="870"/>
        <v>0</v>
      </c>
      <c r="I142" s="72"/>
      <c r="J142" s="74">
        <f t="shared" si="871"/>
        <v>2</v>
      </c>
      <c r="K142" s="72"/>
      <c r="L142" s="74">
        <f t="shared" si="872"/>
        <v>2</v>
      </c>
      <c r="M142" s="72"/>
      <c r="N142" s="74">
        <f t="shared" si="873"/>
        <v>3</v>
      </c>
      <c r="O142" s="72"/>
      <c r="P142" s="74">
        <f t="shared" si="874"/>
        <v>6</v>
      </c>
      <c r="Q142" s="72"/>
      <c r="R142" s="74">
        <f t="shared" si="875"/>
        <v>2</v>
      </c>
      <c r="S142" s="72"/>
      <c r="T142" s="74">
        <f t="shared" si="876"/>
        <v>1</v>
      </c>
      <c r="U142" s="72"/>
      <c r="V142" s="74">
        <f t="shared" si="877"/>
        <v>1</v>
      </c>
      <c r="W142" s="72"/>
      <c r="X142" s="74">
        <f t="shared" si="878"/>
        <v>0</v>
      </c>
      <c r="Y142" s="72"/>
      <c r="Z142" s="74">
        <f t="shared" si="879"/>
        <v>0</v>
      </c>
      <c r="AA142" s="72"/>
      <c r="AB142" s="74">
        <f t="shared" si="880"/>
        <v>7</v>
      </c>
      <c r="AC142" s="72"/>
      <c r="AD142" s="74">
        <f t="shared" si="881"/>
        <v>8</v>
      </c>
      <c r="AE142" s="72"/>
      <c r="AF142" s="74">
        <f t="shared" si="882"/>
        <v>7</v>
      </c>
      <c r="AG142" s="72"/>
      <c r="AH142" s="74">
        <f t="shared" si="883"/>
        <v>2</v>
      </c>
      <c r="AI142" s="72"/>
      <c r="AJ142" s="74">
        <f t="shared" si="884"/>
        <v>5</v>
      </c>
      <c r="AK142" s="72"/>
      <c r="AL142" s="74">
        <f t="shared" si="885"/>
        <v>5</v>
      </c>
      <c r="AM142" s="72"/>
      <c r="AN142" s="74">
        <f t="shared" si="886"/>
        <v>6</v>
      </c>
      <c r="AO142" s="72"/>
      <c r="AP142" s="74">
        <f t="shared" si="887"/>
        <v>0</v>
      </c>
      <c r="AQ142" s="72"/>
      <c r="AR142" s="74">
        <f t="shared" si="888"/>
        <v>2</v>
      </c>
      <c r="AS142" s="72"/>
      <c r="AT142" s="74">
        <f t="shared" si="889"/>
        <v>3</v>
      </c>
      <c r="AU142" s="72"/>
      <c r="AV142" s="74">
        <f t="shared" si="890"/>
        <v>1</v>
      </c>
      <c r="AW142" s="72"/>
      <c r="AX142" s="74">
        <f t="shared" si="891"/>
        <v>13</v>
      </c>
      <c r="AY142" s="72"/>
      <c r="AZ142" s="74">
        <f t="shared" si="892"/>
        <v>15</v>
      </c>
      <c r="BA142" s="72"/>
      <c r="BB142" s="74">
        <f t="shared" si="893"/>
        <v>3</v>
      </c>
      <c r="BC142" s="72"/>
      <c r="BD142" s="74">
        <f t="shared" si="894"/>
        <v>8</v>
      </c>
      <c r="BE142" s="72"/>
      <c r="BF142" s="74">
        <f t="shared" si="895"/>
        <v>7</v>
      </c>
      <c r="BG142" s="72"/>
      <c r="BH142" s="74">
        <f t="shared" si="896"/>
        <v>0</v>
      </c>
      <c r="BI142" s="72"/>
      <c r="BJ142" s="74">
        <f t="shared" si="897"/>
        <v>9</v>
      </c>
      <c r="BK142" s="72"/>
      <c r="BL142" s="74">
        <f t="shared" si="898"/>
        <v>7</v>
      </c>
      <c r="BM142" s="72"/>
      <c r="BN142" s="74">
        <f t="shared" si="899"/>
        <v>8</v>
      </c>
      <c r="BO142" s="72"/>
      <c r="BP142" s="74">
        <f t="shared" si="900"/>
        <v>7</v>
      </c>
      <c r="BQ142" s="72"/>
      <c r="BR142" s="74">
        <f t="shared" si="901"/>
        <v>8</v>
      </c>
      <c r="BS142" s="72"/>
      <c r="BT142" s="74">
        <f t="shared" si="902"/>
        <v>8</v>
      </c>
      <c r="BU142" s="72"/>
      <c r="BV142" s="74">
        <f t="shared" si="903"/>
        <v>7</v>
      </c>
      <c r="BW142" s="72"/>
      <c r="BX142" s="74">
        <f t="shared" si="904"/>
        <v>4</v>
      </c>
      <c r="BY142" s="72"/>
      <c r="BZ142" s="74">
        <f t="shared" si="905"/>
        <v>9</v>
      </c>
      <c r="CA142" s="72"/>
      <c r="CB142" s="74">
        <f t="shared" si="906"/>
        <v>13</v>
      </c>
      <c r="CC142" s="72"/>
      <c r="CD142" s="74">
        <f t="shared" si="907"/>
        <v>7</v>
      </c>
      <c r="CF142" s="74">
        <f t="shared" si="907"/>
        <v>0</v>
      </c>
      <c r="CH142" s="74">
        <f t="shared" ref="CH142" si="939">MAX(CH130:CH141)</f>
        <v>0</v>
      </c>
    </row>
    <row r="143" spans="1:86" ht="13.5" customHeight="1" x14ac:dyDescent="0.2">
      <c r="A143" s="56">
        <v>44</v>
      </c>
      <c r="B143" s="56"/>
      <c r="C143" s="56"/>
      <c r="D143" s="56"/>
      <c r="E143" s="72"/>
      <c r="F143" s="73">
        <f t="shared" si="869"/>
        <v>4</v>
      </c>
      <c r="G143" s="72"/>
      <c r="H143" s="74">
        <f t="shared" si="870"/>
        <v>0</v>
      </c>
      <c r="I143" s="72"/>
      <c r="J143" s="74">
        <f t="shared" si="871"/>
        <v>2</v>
      </c>
      <c r="K143" s="72"/>
      <c r="L143" s="74">
        <f t="shared" si="872"/>
        <v>2</v>
      </c>
      <c r="M143" s="72"/>
      <c r="N143" s="74">
        <f t="shared" si="873"/>
        <v>3</v>
      </c>
      <c r="O143" s="72"/>
      <c r="P143" s="74">
        <f t="shared" si="874"/>
        <v>6</v>
      </c>
      <c r="Q143" s="72"/>
      <c r="R143" s="74">
        <f t="shared" si="875"/>
        <v>2</v>
      </c>
      <c r="S143" s="72"/>
      <c r="T143" s="74">
        <f t="shared" si="876"/>
        <v>1</v>
      </c>
      <c r="U143" s="72"/>
      <c r="V143" s="74">
        <f t="shared" si="877"/>
        <v>1</v>
      </c>
      <c r="W143" s="72"/>
      <c r="X143" s="74">
        <f t="shared" si="878"/>
        <v>0</v>
      </c>
      <c r="Y143" s="72"/>
      <c r="Z143" s="74">
        <f t="shared" si="879"/>
        <v>0</v>
      </c>
      <c r="AA143" s="72"/>
      <c r="AB143" s="74">
        <f t="shared" si="880"/>
        <v>7</v>
      </c>
      <c r="AC143" s="72"/>
      <c r="AD143" s="74">
        <f t="shared" si="881"/>
        <v>8</v>
      </c>
      <c r="AE143" s="72"/>
      <c r="AF143" s="74">
        <f t="shared" si="882"/>
        <v>7</v>
      </c>
      <c r="AG143" s="72"/>
      <c r="AH143" s="74">
        <f t="shared" si="883"/>
        <v>2</v>
      </c>
      <c r="AI143" s="72"/>
      <c r="AJ143" s="74">
        <f t="shared" si="884"/>
        <v>5</v>
      </c>
      <c r="AK143" s="72"/>
      <c r="AL143" s="74">
        <f t="shared" si="885"/>
        <v>5</v>
      </c>
      <c r="AM143" s="72"/>
      <c r="AN143" s="74">
        <f t="shared" si="886"/>
        <v>6</v>
      </c>
      <c r="AO143" s="72"/>
      <c r="AP143" s="74">
        <f t="shared" si="887"/>
        <v>0</v>
      </c>
      <c r="AQ143" s="72"/>
      <c r="AR143" s="74">
        <f t="shared" si="888"/>
        <v>2</v>
      </c>
      <c r="AS143" s="72"/>
      <c r="AT143" s="74">
        <f t="shared" si="889"/>
        <v>3</v>
      </c>
      <c r="AU143" s="72"/>
      <c r="AV143" s="74">
        <f t="shared" si="890"/>
        <v>1</v>
      </c>
      <c r="AW143" s="72"/>
      <c r="AX143" s="74">
        <f t="shared" si="891"/>
        <v>13</v>
      </c>
      <c r="AY143" s="72"/>
      <c r="AZ143" s="74">
        <f t="shared" si="892"/>
        <v>15</v>
      </c>
      <c r="BA143" s="72"/>
      <c r="BB143" s="74">
        <f t="shared" si="893"/>
        <v>3</v>
      </c>
      <c r="BC143" s="72"/>
      <c r="BD143" s="74">
        <f t="shared" si="894"/>
        <v>8</v>
      </c>
      <c r="BE143" s="72"/>
      <c r="BF143" s="74">
        <f t="shared" si="895"/>
        <v>7</v>
      </c>
      <c r="BG143" s="72"/>
      <c r="BH143" s="74">
        <f t="shared" si="896"/>
        <v>0</v>
      </c>
      <c r="BI143" s="72"/>
      <c r="BJ143" s="74">
        <f t="shared" si="897"/>
        <v>9</v>
      </c>
      <c r="BK143" s="72"/>
      <c r="BL143" s="74">
        <f t="shared" si="898"/>
        <v>7</v>
      </c>
      <c r="BM143" s="72"/>
      <c r="BN143" s="74">
        <f t="shared" si="899"/>
        <v>8</v>
      </c>
      <c r="BO143" s="72"/>
      <c r="BP143" s="74">
        <f t="shared" si="900"/>
        <v>7</v>
      </c>
      <c r="BQ143" s="72"/>
      <c r="BR143" s="74">
        <f t="shared" si="901"/>
        <v>8</v>
      </c>
      <c r="BS143" s="72"/>
      <c r="BT143" s="74">
        <f t="shared" si="902"/>
        <v>8</v>
      </c>
      <c r="BU143" s="72"/>
      <c r="BV143" s="74">
        <f t="shared" si="903"/>
        <v>7</v>
      </c>
      <c r="BW143" s="72"/>
      <c r="BX143" s="74">
        <f t="shared" si="904"/>
        <v>4</v>
      </c>
      <c r="BY143" s="72"/>
      <c r="BZ143" s="74">
        <f t="shared" si="905"/>
        <v>9</v>
      </c>
      <c r="CA143" s="72"/>
      <c r="CB143" s="74">
        <f t="shared" si="906"/>
        <v>13</v>
      </c>
      <c r="CC143" s="72"/>
      <c r="CD143" s="74">
        <f t="shared" si="907"/>
        <v>7</v>
      </c>
      <c r="CF143" s="74">
        <f t="shared" si="907"/>
        <v>0</v>
      </c>
      <c r="CH143" s="74">
        <f t="shared" ref="CH143" si="940">MAX(CH131:CH142)</f>
        <v>0</v>
      </c>
    </row>
    <row r="144" spans="1:86" ht="13.5" customHeight="1" x14ac:dyDescent="0.2">
      <c r="A144" s="56">
        <v>45</v>
      </c>
      <c r="B144" s="56"/>
      <c r="C144" s="56"/>
      <c r="D144" s="56"/>
      <c r="E144" s="72"/>
      <c r="F144" s="73">
        <f t="shared" si="869"/>
        <v>4</v>
      </c>
      <c r="G144" s="72"/>
      <c r="H144" s="74">
        <f t="shared" si="870"/>
        <v>0</v>
      </c>
      <c r="I144" s="72"/>
      <c r="J144" s="74">
        <f t="shared" si="871"/>
        <v>2</v>
      </c>
      <c r="K144" s="72"/>
      <c r="L144" s="74">
        <f t="shared" si="872"/>
        <v>2</v>
      </c>
      <c r="M144" s="72"/>
      <c r="N144" s="74">
        <f t="shared" si="873"/>
        <v>3</v>
      </c>
      <c r="O144" s="72"/>
      <c r="P144" s="74">
        <f t="shared" si="874"/>
        <v>6</v>
      </c>
      <c r="Q144" s="72"/>
      <c r="R144" s="74">
        <f t="shared" si="875"/>
        <v>2</v>
      </c>
      <c r="S144" s="72"/>
      <c r="T144" s="74">
        <f t="shared" si="876"/>
        <v>1</v>
      </c>
      <c r="U144" s="72"/>
      <c r="V144" s="74">
        <f t="shared" si="877"/>
        <v>1</v>
      </c>
      <c r="W144" s="72"/>
      <c r="X144" s="74">
        <f t="shared" si="878"/>
        <v>0</v>
      </c>
      <c r="Y144" s="72"/>
      <c r="Z144" s="74">
        <f t="shared" si="879"/>
        <v>0</v>
      </c>
      <c r="AA144" s="72"/>
      <c r="AB144" s="74">
        <f t="shared" si="880"/>
        <v>7</v>
      </c>
      <c r="AC144" s="72"/>
      <c r="AD144" s="74">
        <f t="shared" si="881"/>
        <v>8</v>
      </c>
      <c r="AE144" s="72"/>
      <c r="AF144" s="74">
        <f t="shared" si="882"/>
        <v>7</v>
      </c>
      <c r="AG144" s="72"/>
      <c r="AH144" s="74">
        <f t="shared" si="883"/>
        <v>2</v>
      </c>
      <c r="AI144" s="72"/>
      <c r="AJ144" s="74">
        <f t="shared" si="884"/>
        <v>5</v>
      </c>
      <c r="AK144" s="72"/>
      <c r="AL144" s="74">
        <f t="shared" si="885"/>
        <v>5</v>
      </c>
      <c r="AM144" s="72"/>
      <c r="AN144" s="74">
        <f t="shared" si="886"/>
        <v>6</v>
      </c>
      <c r="AO144" s="72"/>
      <c r="AP144" s="74">
        <f t="shared" si="887"/>
        <v>0</v>
      </c>
      <c r="AQ144" s="72"/>
      <c r="AR144" s="74">
        <f t="shared" si="888"/>
        <v>2</v>
      </c>
      <c r="AS144" s="72"/>
      <c r="AT144" s="74">
        <f t="shared" si="889"/>
        <v>3</v>
      </c>
      <c r="AU144" s="72"/>
      <c r="AV144" s="74">
        <f t="shared" si="890"/>
        <v>1</v>
      </c>
      <c r="AW144" s="72"/>
      <c r="AX144" s="74">
        <f t="shared" si="891"/>
        <v>13</v>
      </c>
      <c r="AY144" s="72"/>
      <c r="AZ144" s="74">
        <f t="shared" si="892"/>
        <v>15</v>
      </c>
      <c r="BA144" s="72"/>
      <c r="BB144" s="74">
        <f t="shared" si="893"/>
        <v>3</v>
      </c>
      <c r="BC144" s="72"/>
      <c r="BD144" s="74">
        <f t="shared" si="894"/>
        <v>8</v>
      </c>
      <c r="BE144" s="72"/>
      <c r="BF144" s="74">
        <f t="shared" si="895"/>
        <v>7</v>
      </c>
      <c r="BG144" s="72"/>
      <c r="BH144" s="74">
        <f t="shared" si="896"/>
        <v>0</v>
      </c>
      <c r="BI144" s="72"/>
      <c r="BJ144" s="74">
        <f t="shared" si="897"/>
        <v>9</v>
      </c>
      <c r="BK144" s="72"/>
      <c r="BL144" s="74">
        <f t="shared" si="898"/>
        <v>7</v>
      </c>
      <c r="BM144" s="72"/>
      <c r="BN144" s="74">
        <f t="shared" si="899"/>
        <v>8</v>
      </c>
      <c r="BO144" s="72"/>
      <c r="BP144" s="74">
        <f t="shared" si="900"/>
        <v>7</v>
      </c>
      <c r="BQ144" s="72"/>
      <c r="BR144" s="74">
        <f t="shared" si="901"/>
        <v>8</v>
      </c>
      <c r="BS144" s="72"/>
      <c r="BT144" s="74">
        <f t="shared" si="902"/>
        <v>8</v>
      </c>
      <c r="BU144" s="72"/>
      <c r="BV144" s="74">
        <f t="shared" si="903"/>
        <v>7</v>
      </c>
      <c r="BW144" s="72"/>
      <c r="BX144" s="74">
        <f t="shared" si="904"/>
        <v>4</v>
      </c>
      <c r="BY144" s="72"/>
      <c r="BZ144" s="74">
        <f t="shared" si="905"/>
        <v>9</v>
      </c>
      <c r="CA144" s="72"/>
      <c r="CB144" s="74">
        <f t="shared" si="906"/>
        <v>13</v>
      </c>
      <c r="CC144" s="72"/>
      <c r="CD144" s="74">
        <f t="shared" si="907"/>
        <v>7</v>
      </c>
      <c r="CF144" s="74">
        <f t="shared" si="907"/>
        <v>0</v>
      </c>
      <c r="CH144" s="74">
        <f t="shared" ref="CH144" si="941">MAX(CH132:CH143)</f>
        <v>0</v>
      </c>
    </row>
    <row r="145" spans="1:86" ht="13.5" customHeight="1" x14ac:dyDescent="0.2">
      <c r="A145" s="56">
        <v>46</v>
      </c>
      <c r="B145" s="56"/>
      <c r="C145" s="56"/>
      <c r="D145" s="56"/>
      <c r="E145" s="72"/>
      <c r="F145" s="73">
        <f t="shared" si="869"/>
        <v>4</v>
      </c>
      <c r="G145" s="72"/>
      <c r="H145" s="74">
        <f t="shared" si="870"/>
        <v>0</v>
      </c>
      <c r="I145" s="72"/>
      <c r="J145" s="74">
        <f t="shared" si="871"/>
        <v>2</v>
      </c>
      <c r="K145" s="72"/>
      <c r="L145" s="74">
        <f t="shared" si="872"/>
        <v>2</v>
      </c>
      <c r="M145" s="72"/>
      <c r="N145" s="74">
        <f t="shared" si="873"/>
        <v>3</v>
      </c>
      <c r="O145" s="72"/>
      <c r="P145" s="74">
        <f t="shared" si="874"/>
        <v>6</v>
      </c>
      <c r="Q145" s="72"/>
      <c r="R145" s="74">
        <f t="shared" si="875"/>
        <v>2</v>
      </c>
      <c r="S145" s="72"/>
      <c r="T145" s="74">
        <f t="shared" si="876"/>
        <v>1</v>
      </c>
      <c r="U145" s="72"/>
      <c r="V145" s="74">
        <f t="shared" si="877"/>
        <v>1</v>
      </c>
      <c r="W145" s="72"/>
      <c r="X145" s="74">
        <f t="shared" si="878"/>
        <v>0</v>
      </c>
      <c r="Y145" s="72"/>
      <c r="Z145" s="74">
        <f t="shared" si="879"/>
        <v>0</v>
      </c>
      <c r="AA145" s="72"/>
      <c r="AB145" s="74">
        <f t="shared" si="880"/>
        <v>7</v>
      </c>
      <c r="AC145" s="72"/>
      <c r="AD145" s="74">
        <f t="shared" si="881"/>
        <v>8</v>
      </c>
      <c r="AE145" s="72"/>
      <c r="AF145" s="74">
        <f t="shared" si="882"/>
        <v>7</v>
      </c>
      <c r="AG145" s="72"/>
      <c r="AH145" s="74">
        <f t="shared" si="883"/>
        <v>2</v>
      </c>
      <c r="AI145" s="72"/>
      <c r="AJ145" s="74">
        <f t="shared" si="884"/>
        <v>5</v>
      </c>
      <c r="AK145" s="72"/>
      <c r="AL145" s="74">
        <f t="shared" si="885"/>
        <v>5</v>
      </c>
      <c r="AM145" s="72"/>
      <c r="AN145" s="74">
        <f t="shared" si="886"/>
        <v>6</v>
      </c>
      <c r="AO145" s="72"/>
      <c r="AP145" s="74">
        <f t="shared" si="887"/>
        <v>0</v>
      </c>
      <c r="AQ145" s="72"/>
      <c r="AR145" s="74">
        <f t="shared" si="888"/>
        <v>2</v>
      </c>
      <c r="AS145" s="72"/>
      <c r="AT145" s="74">
        <f t="shared" si="889"/>
        <v>3</v>
      </c>
      <c r="AU145" s="72"/>
      <c r="AV145" s="74">
        <f t="shared" si="890"/>
        <v>1</v>
      </c>
      <c r="AW145" s="72"/>
      <c r="AX145" s="74">
        <f t="shared" si="891"/>
        <v>13</v>
      </c>
      <c r="AY145" s="72"/>
      <c r="AZ145" s="74">
        <f t="shared" si="892"/>
        <v>15</v>
      </c>
      <c r="BA145" s="72"/>
      <c r="BB145" s="74">
        <f t="shared" si="893"/>
        <v>3</v>
      </c>
      <c r="BC145" s="72"/>
      <c r="BD145" s="74">
        <f t="shared" si="894"/>
        <v>8</v>
      </c>
      <c r="BE145" s="72"/>
      <c r="BF145" s="74">
        <f t="shared" si="895"/>
        <v>7</v>
      </c>
      <c r="BG145" s="72"/>
      <c r="BH145" s="74">
        <f t="shared" si="896"/>
        <v>0</v>
      </c>
      <c r="BI145" s="72"/>
      <c r="BJ145" s="74">
        <f t="shared" si="897"/>
        <v>9</v>
      </c>
      <c r="BK145" s="72"/>
      <c r="BL145" s="74">
        <f t="shared" si="898"/>
        <v>7</v>
      </c>
      <c r="BM145" s="72"/>
      <c r="BN145" s="74">
        <f t="shared" si="899"/>
        <v>8</v>
      </c>
      <c r="BO145" s="72"/>
      <c r="BP145" s="74">
        <f t="shared" si="900"/>
        <v>7</v>
      </c>
      <c r="BQ145" s="72"/>
      <c r="BR145" s="74">
        <f t="shared" si="901"/>
        <v>8</v>
      </c>
      <c r="BS145" s="72"/>
      <c r="BT145" s="74">
        <f t="shared" si="902"/>
        <v>8</v>
      </c>
      <c r="BU145" s="72"/>
      <c r="BV145" s="74">
        <f t="shared" si="903"/>
        <v>7</v>
      </c>
      <c r="BW145" s="72"/>
      <c r="BX145" s="74">
        <f t="shared" si="904"/>
        <v>4</v>
      </c>
      <c r="BY145" s="72"/>
      <c r="BZ145" s="74">
        <f t="shared" si="905"/>
        <v>9</v>
      </c>
      <c r="CA145" s="72"/>
      <c r="CB145" s="74">
        <f t="shared" si="906"/>
        <v>13</v>
      </c>
      <c r="CC145" s="72"/>
      <c r="CD145" s="74">
        <f t="shared" si="907"/>
        <v>7</v>
      </c>
      <c r="CF145" s="74">
        <f t="shared" si="907"/>
        <v>0</v>
      </c>
      <c r="CH145" s="74">
        <f t="shared" ref="CH145" si="942">MAX(CH133:CH144)</f>
        <v>0</v>
      </c>
    </row>
    <row r="146" spans="1:86" ht="13.5" customHeight="1" x14ac:dyDescent="0.2">
      <c r="A146" s="56">
        <v>47</v>
      </c>
      <c r="B146" s="56"/>
      <c r="C146" s="56"/>
      <c r="D146" s="56"/>
      <c r="E146" s="72"/>
      <c r="F146" s="73">
        <f t="shared" si="869"/>
        <v>4</v>
      </c>
      <c r="G146" s="72"/>
      <c r="H146" s="74">
        <f t="shared" si="870"/>
        <v>0</v>
      </c>
      <c r="I146" s="72"/>
      <c r="J146" s="74">
        <f t="shared" si="871"/>
        <v>2</v>
      </c>
      <c r="K146" s="72"/>
      <c r="L146" s="74">
        <f t="shared" si="872"/>
        <v>2</v>
      </c>
      <c r="M146" s="72"/>
      <c r="N146" s="74">
        <f t="shared" si="873"/>
        <v>3</v>
      </c>
      <c r="O146" s="72"/>
      <c r="P146" s="74">
        <f t="shared" si="874"/>
        <v>6</v>
      </c>
      <c r="Q146" s="72"/>
      <c r="R146" s="74">
        <f t="shared" si="875"/>
        <v>2</v>
      </c>
      <c r="S146" s="72"/>
      <c r="T146" s="74">
        <f t="shared" si="876"/>
        <v>1</v>
      </c>
      <c r="U146" s="72"/>
      <c r="V146" s="74">
        <f t="shared" si="877"/>
        <v>1</v>
      </c>
      <c r="W146" s="72"/>
      <c r="X146" s="74">
        <f t="shared" si="878"/>
        <v>0</v>
      </c>
      <c r="Y146" s="72"/>
      <c r="Z146" s="74">
        <f t="shared" si="879"/>
        <v>0</v>
      </c>
      <c r="AA146" s="72"/>
      <c r="AB146" s="74">
        <f t="shared" si="880"/>
        <v>7</v>
      </c>
      <c r="AC146" s="72"/>
      <c r="AD146" s="74">
        <f t="shared" si="881"/>
        <v>8</v>
      </c>
      <c r="AE146" s="72"/>
      <c r="AF146" s="74">
        <f t="shared" si="882"/>
        <v>7</v>
      </c>
      <c r="AG146" s="72"/>
      <c r="AH146" s="74">
        <f t="shared" si="883"/>
        <v>2</v>
      </c>
      <c r="AI146" s="72"/>
      <c r="AJ146" s="74">
        <f t="shared" si="884"/>
        <v>5</v>
      </c>
      <c r="AK146" s="72"/>
      <c r="AL146" s="74">
        <f t="shared" si="885"/>
        <v>5</v>
      </c>
      <c r="AM146" s="72"/>
      <c r="AN146" s="74">
        <f t="shared" si="886"/>
        <v>6</v>
      </c>
      <c r="AO146" s="72"/>
      <c r="AP146" s="74">
        <f t="shared" si="887"/>
        <v>0</v>
      </c>
      <c r="AQ146" s="72"/>
      <c r="AR146" s="74">
        <f t="shared" si="888"/>
        <v>2</v>
      </c>
      <c r="AS146" s="72"/>
      <c r="AT146" s="74">
        <f t="shared" si="889"/>
        <v>3</v>
      </c>
      <c r="AU146" s="72"/>
      <c r="AV146" s="74">
        <f t="shared" si="890"/>
        <v>1</v>
      </c>
      <c r="AW146" s="72"/>
      <c r="AX146" s="74">
        <f t="shared" si="891"/>
        <v>13</v>
      </c>
      <c r="AY146" s="72"/>
      <c r="AZ146" s="74">
        <f t="shared" si="892"/>
        <v>15</v>
      </c>
      <c r="BA146" s="72"/>
      <c r="BB146" s="74">
        <f t="shared" si="893"/>
        <v>3</v>
      </c>
      <c r="BC146" s="72"/>
      <c r="BD146" s="74">
        <f t="shared" si="894"/>
        <v>8</v>
      </c>
      <c r="BE146" s="72"/>
      <c r="BF146" s="74">
        <f t="shared" si="895"/>
        <v>7</v>
      </c>
      <c r="BG146" s="72"/>
      <c r="BH146" s="74">
        <f t="shared" si="896"/>
        <v>0</v>
      </c>
      <c r="BI146" s="72"/>
      <c r="BJ146" s="74">
        <f t="shared" si="897"/>
        <v>9</v>
      </c>
      <c r="BK146" s="72"/>
      <c r="BL146" s="74">
        <f t="shared" si="898"/>
        <v>7</v>
      </c>
      <c r="BM146" s="72"/>
      <c r="BN146" s="74">
        <f t="shared" si="899"/>
        <v>8</v>
      </c>
      <c r="BO146" s="72"/>
      <c r="BP146" s="74">
        <f t="shared" si="900"/>
        <v>7</v>
      </c>
      <c r="BQ146" s="72"/>
      <c r="BR146" s="74">
        <f t="shared" si="901"/>
        <v>8</v>
      </c>
      <c r="BS146" s="72"/>
      <c r="BT146" s="74">
        <f t="shared" si="902"/>
        <v>8</v>
      </c>
      <c r="BU146" s="72"/>
      <c r="BV146" s="74">
        <f t="shared" si="903"/>
        <v>7</v>
      </c>
      <c r="BW146" s="72"/>
      <c r="BX146" s="74">
        <f t="shared" si="904"/>
        <v>4</v>
      </c>
      <c r="BY146" s="72"/>
      <c r="BZ146" s="74">
        <f t="shared" si="905"/>
        <v>9</v>
      </c>
      <c r="CA146" s="72"/>
      <c r="CB146" s="74">
        <f t="shared" si="906"/>
        <v>13</v>
      </c>
      <c r="CC146" s="72"/>
      <c r="CD146" s="74">
        <f t="shared" si="907"/>
        <v>7</v>
      </c>
      <c r="CF146" s="74">
        <f t="shared" si="907"/>
        <v>0</v>
      </c>
      <c r="CH146" s="74">
        <f t="shared" ref="CH146" si="943">MAX(CH134:CH145)</f>
        <v>0</v>
      </c>
    </row>
    <row r="147" spans="1:86" ht="13.5" customHeight="1" x14ac:dyDescent="0.2">
      <c r="A147" s="56">
        <v>48</v>
      </c>
      <c r="B147" s="56"/>
      <c r="C147" s="56"/>
      <c r="D147" s="56"/>
      <c r="E147" s="72"/>
      <c r="F147" s="73">
        <f t="shared" si="869"/>
        <v>4</v>
      </c>
      <c r="G147" s="72"/>
      <c r="H147" s="74">
        <f t="shared" si="870"/>
        <v>0</v>
      </c>
      <c r="I147" s="72"/>
      <c r="J147" s="74">
        <f t="shared" si="871"/>
        <v>2</v>
      </c>
      <c r="K147" s="72"/>
      <c r="L147" s="74">
        <f t="shared" si="872"/>
        <v>2</v>
      </c>
      <c r="M147" s="72"/>
      <c r="N147" s="74">
        <f t="shared" si="873"/>
        <v>3</v>
      </c>
      <c r="O147" s="72"/>
      <c r="P147" s="74">
        <f t="shared" si="874"/>
        <v>6</v>
      </c>
      <c r="Q147" s="72"/>
      <c r="R147" s="74">
        <f t="shared" si="875"/>
        <v>2</v>
      </c>
      <c r="S147" s="72"/>
      <c r="T147" s="74">
        <f t="shared" si="876"/>
        <v>1</v>
      </c>
      <c r="U147" s="72"/>
      <c r="V147" s="74">
        <f t="shared" si="877"/>
        <v>1</v>
      </c>
      <c r="W147" s="72"/>
      <c r="X147" s="74">
        <f t="shared" si="878"/>
        <v>0</v>
      </c>
      <c r="Y147" s="72"/>
      <c r="Z147" s="74">
        <f t="shared" si="879"/>
        <v>0</v>
      </c>
      <c r="AA147" s="72"/>
      <c r="AB147" s="74">
        <f t="shared" si="880"/>
        <v>7</v>
      </c>
      <c r="AC147" s="72"/>
      <c r="AD147" s="74">
        <f t="shared" si="881"/>
        <v>8</v>
      </c>
      <c r="AE147" s="72"/>
      <c r="AF147" s="74">
        <f t="shared" si="882"/>
        <v>7</v>
      </c>
      <c r="AG147" s="72"/>
      <c r="AH147" s="74">
        <f t="shared" si="883"/>
        <v>2</v>
      </c>
      <c r="AI147" s="72"/>
      <c r="AJ147" s="74">
        <f t="shared" si="884"/>
        <v>5</v>
      </c>
      <c r="AK147" s="72"/>
      <c r="AL147" s="74">
        <f t="shared" si="885"/>
        <v>5</v>
      </c>
      <c r="AM147" s="72"/>
      <c r="AN147" s="74">
        <f t="shared" si="886"/>
        <v>6</v>
      </c>
      <c r="AO147" s="72"/>
      <c r="AP147" s="74">
        <f t="shared" si="887"/>
        <v>0</v>
      </c>
      <c r="AQ147" s="72"/>
      <c r="AR147" s="74">
        <f t="shared" si="888"/>
        <v>2</v>
      </c>
      <c r="AS147" s="72"/>
      <c r="AT147" s="74">
        <f t="shared" si="889"/>
        <v>3</v>
      </c>
      <c r="AU147" s="72"/>
      <c r="AV147" s="74">
        <f t="shared" si="890"/>
        <v>1</v>
      </c>
      <c r="AW147" s="72"/>
      <c r="AX147" s="74">
        <f t="shared" si="891"/>
        <v>13</v>
      </c>
      <c r="AY147" s="72"/>
      <c r="AZ147" s="74">
        <f t="shared" si="892"/>
        <v>15</v>
      </c>
      <c r="BA147" s="72"/>
      <c r="BB147" s="74">
        <f t="shared" si="893"/>
        <v>3</v>
      </c>
      <c r="BC147" s="72"/>
      <c r="BD147" s="74">
        <f t="shared" si="894"/>
        <v>8</v>
      </c>
      <c r="BE147" s="72"/>
      <c r="BF147" s="74">
        <f t="shared" si="895"/>
        <v>7</v>
      </c>
      <c r="BG147" s="72"/>
      <c r="BH147" s="74">
        <f t="shared" si="896"/>
        <v>0</v>
      </c>
      <c r="BI147" s="72"/>
      <c r="BJ147" s="74">
        <f t="shared" si="897"/>
        <v>9</v>
      </c>
      <c r="BK147" s="72"/>
      <c r="BL147" s="74">
        <f t="shared" si="898"/>
        <v>7</v>
      </c>
      <c r="BM147" s="72"/>
      <c r="BN147" s="74">
        <f t="shared" si="899"/>
        <v>8</v>
      </c>
      <c r="BO147" s="72"/>
      <c r="BP147" s="74">
        <f t="shared" si="900"/>
        <v>7</v>
      </c>
      <c r="BQ147" s="72"/>
      <c r="BR147" s="74">
        <f t="shared" si="901"/>
        <v>8</v>
      </c>
      <c r="BS147" s="72"/>
      <c r="BT147" s="74">
        <f t="shared" si="902"/>
        <v>8</v>
      </c>
      <c r="BU147" s="72"/>
      <c r="BV147" s="74">
        <f t="shared" si="903"/>
        <v>7</v>
      </c>
      <c r="BW147" s="72"/>
      <c r="BX147" s="74">
        <f t="shared" si="904"/>
        <v>4</v>
      </c>
      <c r="BY147" s="72"/>
      <c r="BZ147" s="74">
        <f t="shared" si="905"/>
        <v>9</v>
      </c>
      <c r="CA147" s="72"/>
      <c r="CB147" s="74">
        <f t="shared" si="906"/>
        <v>13</v>
      </c>
      <c r="CC147" s="72"/>
      <c r="CD147" s="74">
        <f t="shared" si="907"/>
        <v>7</v>
      </c>
      <c r="CF147" s="74">
        <f t="shared" si="907"/>
        <v>0</v>
      </c>
      <c r="CH147" s="74">
        <f t="shared" ref="CH147" si="944">MAX(CH135:CH146)</f>
        <v>0</v>
      </c>
    </row>
    <row r="148" spans="1:86" ht="13.5" customHeight="1" x14ac:dyDescent="0.2">
      <c r="A148" s="56">
        <v>49</v>
      </c>
      <c r="B148" s="56"/>
      <c r="C148" s="56"/>
      <c r="D148" s="56"/>
      <c r="E148" s="72"/>
      <c r="F148" s="73">
        <f t="shared" si="869"/>
        <v>4</v>
      </c>
      <c r="G148" s="72"/>
      <c r="H148" s="74">
        <f t="shared" si="870"/>
        <v>0</v>
      </c>
      <c r="I148" s="72"/>
      <c r="J148" s="74">
        <f t="shared" si="871"/>
        <v>2</v>
      </c>
      <c r="K148" s="72"/>
      <c r="L148" s="74">
        <f t="shared" si="872"/>
        <v>2</v>
      </c>
      <c r="M148" s="72"/>
      <c r="N148" s="74">
        <f t="shared" si="873"/>
        <v>3</v>
      </c>
      <c r="O148" s="72"/>
      <c r="P148" s="74">
        <f t="shared" si="874"/>
        <v>6</v>
      </c>
      <c r="Q148" s="72"/>
      <c r="R148" s="74">
        <f t="shared" si="875"/>
        <v>2</v>
      </c>
      <c r="S148" s="72"/>
      <c r="T148" s="74">
        <f t="shared" si="876"/>
        <v>1</v>
      </c>
      <c r="U148" s="72"/>
      <c r="V148" s="74">
        <f t="shared" si="877"/>
        <v>1</v>
      </c>
      <c r="W148" s="72"/>
      <c r="X148" s="74">
        <f t="shared" si="878"/>
        <v>0</v>
      </c>
      <c r="Y148" s="72"/>
      <c r="Z148" s="74">
        <f t="shared" si="879"/>
        <v>0</v>
      </c>
      <c r="AA148" s="72"/>
      <c r="AB148" s="74">
        <f t="shared" si="880"/>
        <v>7</v>
      </c>
      <c r="AC148" s="72"/>
      <c r="AD148" s="74">
        <f t="shared" si="881"/>
        <v>8</v>
      </c>
      <c r="AE148" s="72"/>
      <c r="AF148" s="74">
        <f t="shared" si="882"/>
        <v>7</v>
      </c>
      <c r="AG148" s="72"/>
      <c r="AH148" s="74">
        <f t="shared" si="883"/>
        <v>2</v>
      </c>
      <c r="AI148" s="72"/>
      <c r="AJ148" s="74">
        <f t="shared" si="884"/>
        <v>5</v>
      </c>
      <c r="AK148" s="72"/>
      <c r="AL148" s="74">
        <f t="shared" si="885"/>
        <v>5</v>
      </c>
      <c r="AM148" s="72"/>
      <c r="AN148" s="74">
        <f t="shared" si="886"/>
        <v>6</v>
      </c>
      <c r="AO148" s="72"/>
      <c r="AP148" s="74">
        <f t="shared" si="887"/>
        <v>0</v>
      </c>
      <c r="AQ148" s="72"/>
      <c r="AR148" s="74">
        <f t="shared" si="888"/>
        <v>2</v>
      </c>
      <c r="AS148" s="72"/>
      <c r="AT148" s="74">
        <f t="shared" si="889"/>
        <v>3</v>
      </c>
      <c r="AU148" s="72"/>
      <c r="AV148" s="74">
        <f t="shared" si="890"/>
        <v>1</v>
      </c>
      <c r="AW148" s="72"/>
      <c r="AX148" s="74">
        <f t="shared" si="891"/>
        <v>13</v>
      </c>
      <c r="AY148" s="72"/>
      <c r="AZ148" s="74">
        <f t="shared" si="892"/>
        <v>15</v>
      </c>
      <c r="BA148" s="72"/>
      <c r="BB148" s="74">
        <f t="shared" si="893"/>
        <v>3</v>
      </c>
      <c r="BC148" s="72"/>
      <c r="BD148" s="74">
        <f t="shared" si="894"/>
        <v>8</v>
      </c>
      <c r="BE148" s="72"/>
      <c r="BF148" s="74">
        <f t="shared" si="895"/>
        <v>7</v>
      </c>
      <c r="BG148" s="72"/>
      <c r="BH148" s="74">
        <f t="shared" si="896"/>
        <v>0</v>
      </c>
      <c r="BI148" s="72"/>
      <c r="BJ148" s="74">
        <f t="shared" si="897"/>
        <v>9</v>
      </c>
      <c r="BK148" s="72"/>
      <c r="BL148" s="74">
        <f t="shared" si="898"/>
        <v>7</v>
      </c>
      <c r="BM148" s="72"/>
      <c r="BN148" s="74">
        <f t="shared" si="899"/>
        <v>8</v>
      </c>
      <c r="BO148" s="72"/>
      <c r="BP148" s="74">
        <f t="shared" si="900"/>
        <v>7</v>
      </c>
      <c r="BQ148" s="72"/>
      <c r="BR148" s="74">
        <f t="shared" si="901"/>
        <v>8</v>
      </c>
      <c r="BS148" s="72"/>
      <c r="BT148" s="74">
        <f t="shared" si="902"/>
        <v>8</v>
      </c>
      <c r="BU148" s="72"/>
      <c r="BV148" s="74">
        <f t="shared" si="903"/>
        <v>7</v>
      </c>
      <c r="BW148" s="72"/>
      <c r="BX148" s="74">
        <f t="shared" si="904"/>
        <v>4</v>
      </c>
      <c r="BY148" s="72"/>
      <c r="BZ148" s="74">
        <f t="shared" si="905"/>
        <v>9</v>
      </c>
      <c r="CA148" s="72"/>
      <c r="CB148" s="74">
        <f t="shared" si="906"/>
        <v>13</v>
      </c>
      <c r="CC148" s="72"/>
      <c r="CD148" s="74">
        <f t="shared" si="907"/>
        <v>7</v>
      </c>
      <c r="CF148" s="74">
        <f t="shared" si="907"/>
        <v>0</v>
      </c>
      <c r="CH148" s="74">
        <f t="shared" ref="CH148" si="945">MAX(CH136:CH147)</f>
        <v>0</v>
      </c>
    </row>
    <row r="149" spans="1:86" ht="13.5" customHeight="1" x14ac:dyDescent="0.2">
      <c r="A149" s="56">
        <v>50</v>
      </c>
      <c r="B149" s="56"/>
      <c r="C149" s="56"/>
      <c r="D149" s="56"/>
      <c r="E149" s="72"/>
      <c r="F149" s="73">
        <f t="shared" si="869"/>
        <v>4</v>
      </c>
      <c r="G149" s="72"/>
      <c r="H149" s="74">
        <f t="shared" si="870"/>
        <v>0</v>
      </c>
      <c r="I149" s="72"/>
      <c r="J149" s="74">
        <f t="shared" si="871"/>
        <v>2</v>
      </c>
      <c r="K149" s="72"/>
      <c r="L149" s="74">
        <f t="shared" si="872"/>
        <v>2</v>
      </c>
      <c r="M149" s="72"/>
      <c r="N149" s="74">
        <f t="shared" si="873"/>
        <v>3</v>
      </c>
      <c r="O149" s="72"/>
      <c r="P149" s="74">
        <f t="shared" si="874"/>
        <v>6</v>
      </c>
      <c r="Q149" s="72"/>
      <c r="R149" s="74">
        <f t="shared" si="875"/>
        <v>2</v>
      </c>
      <c r="S149" s="72"/>
      <c r="T149" s="74">
        <f t="shared" si="876"/>
        <v>1</v>
      </c>
      <c r="U149" s="72"/>
      <c r="V149" s="74">
        <f t="shared" si="877"/>
        <v>1</v>
      </c>
      <c r="W149" s="72"/>
      <c r="X149" s="74">
        <f t="shared" si="878"/>
        <v>0</v>
      </c>
      <c r="Y149" s="72"/>
      <c r="Z149" s="74">
        <f t="shared" si="879"/>
        <v>0</v>
      </c>
      <c r="AA149" s="72"/>
      <c r="AB149" s="74">
        <f t="shared" si="880"/>
        <v>7</v>
      </c>
      <c r="AC149" s="72"/>
      <c r="AD149" s="74">
        <f t="shared" si="881"/>
        <v>8</v>
      </c>
      <c r="AE149" s="72"/>
      <c r="AF149" s="74">
        <f t="shared" si="882"/>
        <v>7</v>
      </c>
      <c r="AG149" s="72"/>
      <c r="AH149" s="74">
        <f t="shared" si="883"/>
        <v>2</v>
      </c>
      <c r="AI149" s="72"/>
      <c r="AJ149" s="74">
        <f t="shared" si="884"/>
        <v>5</v>
      </c>
      <c r="AK149" s="72"/>
      <c r="AL149" s="74">
        <f t="shared" si="885"/>
        <v>5</v>
      </c>
      <c r="AM149" s="72"/>
      <c r="AN149" s="74">
        <f t="shared" si="886"/>
        <v>6</v>
      </c>
      <c r="AO149" s="72"/>
      <c r="AP149" s="74">
        <f t="shared" si="887"/>
        <v>0</v>
      </c>
      <c r="AQ149" s="72"/>
      <c r="AR149" s="74">
        <f t="shared" si="888"/>
        <v>2</v>
      </c>
      <c r="AS149" s="72"/>
      <c r="AT149" s="74">
        <f t="shared" si="889"/>
        <v>3</v>
      </c>
      <c r="AU149" s="72"/>
      <c r="AV149" s="74">
        <f t="shared" si="890"/>
        <v>1</v>
      </c>
      <c r="AW149" s="72"/>
      <c r="AX149" s="74">
        <f t="shared" si="891"/>
        <v>13</v>
      </c>
      <c r="AY149" s="72"/>
      <c r="AZ149" s="74">
        <f t="shared" si="892"/>
        <v>15</v>
      </c>
      <c r="BA149" s="72"/>
      <c r="BB149" s="74">
        <f t="shared" si="893"/>
        <v>3</v>
      </c>
      <c r="BC149" s="72"/>
      <c r="BD149" s="74">
        <f t="shared" si="894"/>
        <v>8</v>
      </c>
      <c r="BE149" s="72"/>
      <c r="BF149" s="74">
        <f t="shared" si="895"/>
        <v>7</v>
      </c>
      <c r="BG149" s="72"/>
      <c r="BH149" s="74">
        <f t="shared" si="896"/>
        <v>0</v>
      </c>
      <c r="BI149" s="72"/>
      <c r="BJ149" s="74">
        <f t="shared" si="897"/>
        <v>9</v>
      </c>
      <c r="BK149" s="72"/>
      <c r="BL149" s="74">
        <f t="shared" si="898"/>
        <v>7</v>
      </c>
      <c r="BM149" s="72"/>
      <c r="BN149" s="74">
        <f t="shared" si="899"/>
        <v>8</v>
      </c>
      <c r="BO149" s="72"/>
      <c r="BP149" s="74">
        <f t="shared" si="900"/>
        <v>7</v>
      </c>
      <c r="BQ149" s="72"/>
      <c r="BR149" s="74">
        <f t="shared" si="901"/>
        <v>8</v>
      </c>
      <c r="BS149" s="72"/>
      <c r="BT149" s="74">
        <f t="shared" si="902"/>
        <v>8</v>
      </c>
      <c r="BU149" s="72"/>
      <c r="BV149" s="74">
        <f t="shared" si="903"/>
        <v>7</v>
      </c>
      <c r="BW149" s="72"/>
      <c r="BX149" s="74">
        <f t="shared" si="904"/>
        <v>4</v>
      </c>
      <c r="BY149" s="72"/>
      <c r="BZ149" s="74">
        <f t="shared" si="905"/>
        <v>9</v>
      </c>
      <c r="CA149" s="72"/>
      <c r="CB149" s="74">
        <f t="shared" si="906"/>
        <v>13</v>
      </c>
      <c r="CC149" s="72"/>
      <c r="CD149" s="74">
        <f t="shared" si="907"/>
        <v>7</v>
      </c>
      <c r="CF149" s="74">
        <f t="shared" si="907"/>
        <v>0</v>
      </c>
      <c r="CH149" s="74">
        <f t="shared" ref="CH149" si="946">MAX(CH137:CH148)</f>
        <v>0</v>
      </c>
    </row>
    <row r="150" spans="1:86" ht="13.5" customHeight="1" x14ac:dyDescent="0.2">
      <c r="A150" s="56">
        <v>51</v>
      </c>
      <c r="B150" s="56"/>
      <c r="C150" s="56"/>
      <c r="D150" s="56"/>
      <c r="E150" s="72"/>
      <c r="F150" s="73">
        <f t="shared" si="869"/>
        <v>4</v>
      </c>
      <c r="G150" s="72"/>
      <c r="H150" s="74">
        <f t="shared" si="870"/>
        <v>0</v>
      </c>
      <c r="I150" s="72"/>
      <c r="J150" s="74">
        <f t="shared" si="871"/>
        <v>2</v>
      </c>
      <c r="K150" s="72"/>
      <c r="L150" s="74">
        <f t="shared" si="872"/>
        <v>2</v>
      </c>
      <c r="M150" s="72"/>
      <c r="N150" s="74">
        <f t="shared" si="873"/>
        <v>3</v>
      </c>
      <c r="O150" s="72"/>
      <c r="P150" s="74">
        <f t="shared" si="874"/>
        <v>6</v>
      </c>
      <c r="Q150" s="72"/>
      <c r="R150" s="74">
        <f t="shared" si="875"/>
        <v>2</v>
      </c>
      <c r="S150" s="72"/>
      <c r="T150" s="74">
        <f t="shared" si="876"/>
        <v>1</v>
      </c>
      <c r="U150" s="72"/>
      <c r="V150" s="74">
        <f t="shared" si="877"/>
        <v>1</v>
      </c>
      <c r="W150" s="72"/>
      <c r="X150" s="74">
        <f t="shared" si="878"/>
        <v>0</v>
      </c>
      <c r="Y150" s="72"/>
      <c r="Z150" s="74">
        <f t="shared" si="879"/>
        <v>0</v>
      </c>
      <c r="AA150" s="72"/>
      <c r="AB150" s="74">
        <f t="shared" si="880"/>
        <v>7</v>
      </c>
      <c r="AC150" s="72"/>
      <c r="AD150" s="74">
        <f t="shared" si="881"/>
        <v>8</v>
      </c>
      <c r="AE150" s="72"/>
      <c r="AF150" s="74">
        <f t="shared" si="882"/>
        <v>7</v>
      </c>
      <c r="AG150" s="72"/>
      <c r="AH150" s="74">
        <f t="shared" si="883"/>
        <v>2</v>
      </c>
      <c r="AI150" s="72"/>
      <c r="AJ150" s="74">
        <f t="shared" si="884"/>
        <v>5</v>
      </c>
      <c r="AK150" s="72"/>
      <c r="AL150" s="74">
        <f t="shared" si="885"/>
        <v>5</v>
      </c>
      <c r="AM150" s="72"/>
      <c r="AN150" s="74">
        <f t="shared" si="886"/>
        <v>6</v>
      </c>
      <c r="AO150" s="72"/>
      <c r="AP150" s="74">
        <f t="shared" si="887"/>
        <v>0</v>
      </c>
      <c r="AQ150" s="72"/>
      <c r="AR150" s="74">
        <f t="shared" si="888"/>
        <v>2</v>
      </c>
      <c r="AS150" s="72"/>
      <c r="AT150" s="74">
        <f t="shared" si="889"/>
        <v>3</v>
      </c>
      <c r="AU150" s="72"/>
      <c r="AV150" s="74">
        <f t="shared" si="890"/>
        <v>1</v>
      </c>
      <c r="AW150" s="72"/>
      <c r="AX150" s="74">
        <f t="shared" si="891"/>
        <v>13</v>
      </c>
      <c r="AY150" s="72"/>
      <c r="AZ150" s="74">
        <f t="shared" si="892"/>
        <v>15</v>
      </c>
      <c r="BA150" s="72"/>
      <c r="BB150" s="74">
        <f t="shared" si="893"/>
        <v>3</v>
      </c>
      <c r="BC150" s="72"/>
      <c r="BD150" s="74">
        <f t="shared" si="894"/>
        <v>8</v>
      </c>
      <c r="BE150" s="72"/>
      <c r="BF150" s="74">
        <f t="shared" si="895"/>
        <v>7</v>
      </c>
      <c r="BG150" s="72"/>
      <c r="BH150" s="74">
        <f t="shared" si="896"/>
        <v>0</v>
      </c>
      <c r="BI150" s="72"/>
      <c r="BJ150" s="74">
        <f t="shared" si="897"/>
        <v>9</v>
      </c>
      <c r="BK150" s="72"/>
      <c r="BL150" s="74">
        <f t="shared" si="898"/>
        <v>7</v>
      </c>
      <c r="BM150" s="72"/>
      <c r="BN150" s="74">
        <f t="shared" si="899"/>
        <v>8</v>
      </c>
      <c r="BO150" s="72"/>
      <c r="BP150" s="74">
        <f t="shared" si="900"/>
        <v>7</v>
      </c>
      <c r="BQ150" s="72"/>
      <c r="BR150" s="74">
        <f t="shared" si="901"/>
        <v>8</v>
      </c>
      <c r="BS150" s="72"/>
      <c r="BT150" s="74">
        <f t="shared" si="902"/>
        <v>8</v>
      </c>
      <c r="BU150" s="72"/>
      <c r="BV150" s="74">
        <f t="shared" si="903"/>
        <v>7</v>
      </c>
      <c r="BW150" s="72"/>
      <c r="BX150" s="74">
        <f t="shared" si="904"/>
        <v>4</v>
      </c>
      <c r="BY150" s="72"/>
      <c r="BZ150" s="74">
        <f t="shared" si="905"/>
        <v>9</v>
      </c>
      <c r="CA150" s="72"/>
      <c r="CB150" s="74">
        <f t="shared" si="906"/>
        <v>13</v>
      </c>
      <c r="CC150" s="72"/>
      <c r="CD150" s="74">
        <f t="shared" si="907"/>
        <v>7</v>
      </c>
      <c r="CF150" s="74">
        <f t="shared" si="907"/>
        <v>0</v>
      </c>
      <c r="CH150" s="74">
        <f t="shared" ref="CH150" si="947">MAX(CH138:CH149)</f>
        <v>0</v>
      </c>
    </row>
    <row r="151" spans="1:86" ht="13.5" customHeight="1" x14ac:dyDescent="0.2">
      <c r="A151" s="56">
        <v>52</v>
      </c>
      <c r="B151" s="56"/>
      <c r="C151" s="56"/>
      <c r="D151" s="56"/>
      <c r="E151" s="72"/>
      <c r="F151" s="73">
        <f t="shared" si="869"/>
        <v>4</v>
      </c>
      <c r="G151" s="72"/>
      <c r="H151" s="74">
        <f t="shared" si="870"/>
        <v>0</v>
      </c>
      <c r="I151" s="72"/>
      <c r="J151" s="74">
        <f t="shared" si="871"/>
        <v>2</v>
      </c>
      <c r="K151" s="72"/>
      <c r="L151" s="74">
        <f t="shared" si="872"/>
        <v>2</v>
      </c>
      <c r="M151" s="72"/>
      <c r="N151" s="74">
        <f t="shared" si="873"/>
        <v>3</v>
      </c>
      <c r="O151" s="72"/>
      <c r="P151" s="74">
        <f t="shared" si="874"/>
        <v>6</v>
      </c>
      <c r="Q151" s="72"/>
      <c r="R151" s="74">
        <f t="shared" si="875"/>
        <v>2</v>
      </c>
      <c r="S151" s="72"/>
      <c r="T151" s="74">
        <f t="shared" si="876"/>
        <v>1</v>
      </c>
      <c r="U151" s="72"/>
      <c r="V151" s="74">
        <f t="shared" si="877"/>
        <v>1</v>
      </c>
      <c r="W151" s="72"/>
      <c r="X151" s="74">
        <f t="shared" si="878"/>
        <v>0</v>
      </c>
      <c r="Y151" s="72"/>
      <c r="Z151" s="74">
        <f t="shared" si="879"/>
        <v>0</v>
      </c>
      <c r="AA151" s="72"/>
      <c r="AB151" s="74">
        <f t="shared" si="880"/>
        <v>7</v>
      </c>
      <c r="AC151" s="72"/>
      <c r="AD151" s="74">
        <f t="shared" si="881"/>
        <v>8</v>
      </c>
      <c r="AE151" s="72"/>
      <c r="AF151" s="74">
        <f t="shared" si="882"/>
        <v>7</v>
      </c>
      <c r="AG151" s="72"/>
      <c r="AH151" s="74">
        <f t="shared" si="883"/>
        <v>2</v>
      </c>
      <c r="AI151" s="72"/>
      <c r="AJ151" s="74">
        <f t="shared" si="884"/>
        <v>5</v>
      </c>
      <c r="AK151" s="72"/>
      <c r="AL151" s="74">
        <f t="shared" si="885"/>
        <v>5</v>
      </c>
      <c r="AM151" s="72"/>
      <c r="AN151" s="74">
        <f t="shared" si="886"/>
        <v>6</v>
      </c>
      <c r="AO151" s="72"/>
      <c r="AP151" s="74">
        <f t="shared" si="887"/>
        <v>0</v>
      </c>
      <c r="AQ151" s="72"/>
      <c r="AR151" s="74">
        <f t="shared" si="888"/>
        <v>2</v>
      </c>
      <c r="AS151" s="72"/>
      <c r="AT151" s="74">
        <f t="shared" si="889"/>
        <v>3</v>
      </c>
      <c r="AU151" s="72"/>
      <c r="AV151" s="74">
        <f t="shared" si="890"/>
        <v>1</v>
      </c>
      <c r="AW151" s="72"/>
      <c r="AX151" s="74">
        <f t="shared" si="891"/>
        <v>13</v>
      </c>
      <c r="AY151" s="72"/>
      <c r="AZ151" s="74">
        <f t="shared" si="892"/>
        <v>15</v>
      </c>
      <c r="BA151" s="72"/>
      <c r="BB151" s="74">
        <f t="shared" si="893"/>
        <v>3</v>
      </c>
      <c r="BC151" s="72"/>
      <c r="BD151" s="74">
        <f t="shared" si="894"/>
        <v>8</v>
      </c>
      <c r="BE151" s="72"/>
      <c r="BF151" s="74">
        <f t="shared" si="895"/>
        <v>7</v>
      </c>
      <c r="BG151" s="72"/>
      <c r="BH151" s="74">
        <f t="shared" si="896"/>
        <v>0</v>
      </c>
      <c r="BI151" s="72"/>
      <c r="BJ151" s="74">
        <f t="shared" si="897"/>
        <v>9</v>
      </c>
      <c r="BK151" s="72"/>
      <c r="BL151" s="74">
        <f t="shared" si="898"/>
        <v>7</v>
      </c>
      <c r="BM151" s="72"/>
      <c r="BN151" s="74">
        <f t="shared" si="899"/>
        <v>8</v>
      </c>
      <c r="BO151" s="72"/>
      <c r="BP151" s="74">
        <f t="shared" si="900"/>
        <v>7</v>
      </c>
      <c r="BQ151" s="72"/>
      <c r="BR151" s="74">
        <f t="shared" si="901"/>
        <v>8</v>
      </c>
      <c r="BS151" s="72"/>
      <c r="BT151" s="74">
        <f t="shared" si="902"/>
        <v>8</v>
      </c>
      <c r="BU151" s="72"/>
      <c r="BV151" s="74">
        <f t="shared" si="903"/>
        <v>7</v>
      </c>
      <c r="BW151" s="72"/>
      <c r="BX151" s="74">
        <f t="shared" si="904"/>
        <v>4</v>
      </c>
      <c r="BY151" s="72"/>
      <c r="BZ151" s="74">
        <f t="shared" si="905"/>
        <v>9</v>
      </c>
      <c r="CA151" s="72"/>
      <c r="CB151" s="74">
        <f t="shared" si="906"/>
        <v>13</v>
      </c>
      <c r="CC151" s="72"/>
      <c r="CD151" s="74">
        <f t="shared" si="907"/>
        <v>7</v>
      </c>
      <c r="CF151" s="74">
        <f t="shared" si="907"/>
        <v>0</v>
      </c>
      <c r="CH151" s="74">
        <f t="shared" ref="CH151" si="948">MAX(CH139:CH150)</f>
        <v>0</v>
      </c>
    </row>
    <row r="152" spans="1:86" ht="13.5" customHeight="1" x14ac:dyDescent="0.2">
      <c r="A152" s="56">
        <v>53</v>
      </c>
      <c r="B152" s="56"/>
      <c r="C152" s="56"/>
      <c r="D152" s="56"/>
      <c r="E152" s="72"/>
      <c r="F152" s="73">
        <f t="shared" si="869"/>
        <v>4</v>
      </c>
      <c r="G152" s="72"/>
      <c r="H152" s="74">
        <f t="shared" si="870"/>
        <v>0</v>
      </c>
      <c r="I152" s="72"/>
      <c r="J152" s="74">
        <f t="shared" si="871"/>
        <v>2</v>
      </c>
      <c r="K152" s="72"/>
      <c r="L152" s="74">
        <f t="shared" si="872"/>
        <v>2</v>
      </c>
      <c r="M152" s="72"/>
      <c r="N152" s="74">
        <f t="shared" si="873"/>
        <v>3</v>
      </c>
      <c r="O152" s="72"/>
      <c r="P152" s="74">
        <f t="shared" si="874"/>
        <v>6</v>
      </c>
      <c r="Q152" s="72"/>
      <c r="R152" s="74">
        <f t="shared" si="875"/>
        <v>2</v>
      </c>
      <c r="S152" s="72"/>
      <c r="T152" s="74">
        <f t="shared" si="876"/>
        <v>1</v>
      </c>
      <c r="U152" s="72"/>
      <c r="V152" s="74">
        <f t="shared" si="877"/>
        <v>1</v>
      </c>
      <c r="W152" s="72"/>
      <c r="X152" s="74">
        <f t="shared" si="878"/>
        <v>0</v>
      </c>
      <c r="Y152" s="72"/>
      <c r="Z152" s="74">
        <f t="shared" si="879"/>
        <v>0</v>
      </c>
      <c r="AA152" s="72"/>
      <c r="AB152" s="74">
        <f t="shared" si="880"/>
        <v>7</v>
      </c>
      <c r="AC152" s="72"/>
      <c r="AD152" s="74">
        <f t="shared" si="881"/>
        <v>8</v>
      </c>
      <c r="AE152" s="72"/>
      <c r="AF152" s="74">
        <f t="shared" si="882"/>
        <v>7</v>
      </c>
      <c r="AG152" s="72"/>
      <c r="AH152" s="74">
        <f t="shared" si="883"/>
        <v>2</v>
      </c>
      <c r="AI152" s="72"/>
      <c r="AJ152" s="74">
        <f t="shared" si="884"/>
        <v>5</v>
      </c>
      <c r="AK152" s="72"/>
      <c r="AL152" s="74">
        <f t="shared" si="885"/>
        <v>5</v>
      </c>
      <c r="AM152" s="72"/>
      <c r="AN152" s="74">
        <f t="shared" si="886"/>
        <v>6</v>
      </c>
      <c r="AO152" s="72"/>
      <c r="AP152" s="74">
        <f t="shared" si="887"/>
        <v>0</v>
      </c>
      <c r="AQ152" s="72"/>
      <c r="AR152" s="74">
        <f t="shared" si="888"/>
        <v>2</v>
      </c>
      <c r="AS152" s="72"/>
      <c r="AT152" s="74">
        <f t="shared" si="889"/>
        <v>3</v>
      </c>
      <c r="AU152" s="72"/>
      <c r="AV152" s="74">
        <f t="shared" si="890"/>
        <v>1</v>
      </c>
      <c r="AW152" s="72"/>
      <c r="AX152" s="74">
        <f t="shared" si="891"/>
        <v>13</v>
      </c>
      <c r="AY152" s="72"/>
      <c r="AZ152" s="74">
        <f t="shared" si="892"/>
        <v>15</v>
      </c>
      <c r="BA152" s="72"/>
      <c r="BB152" s="74">
        <f t="shared" si="893"/>
        <v>3</v>
      </c>
      <c r="BC152" s="72"/>
      <c r="BD152" s="74">
        <f t="shared" si="894"/>
        <v>8</v>
      </c>
      <c r="BE152" s="72"/>
      <c r="BF152" s="74">
        <f t="shared" si="895"/>
        <v>7</v>
      </c>
      <c r="BG152" s="72"/>
      <c r="BH152" s="74">
        <f t="shared" si="896"/>
        <v>0</v>
      </c>
      <c r="BI152" s="72"/>
      <c r="BJ152" s="74">
        <f t="shared" si="897"/>
        <v>9</v>
      </c>
      <c r="BK152" s="72"/>
      <c r="BL152" s="74">
        <f t="shared" si="898"/>
        <v>7</v>
      </c>
      <c r="BM152" s="72"/>
      <c r="BN152" s="74">
        <f t="shared" si="899"/>
        <v>8</v>
      </c>
      <c r="BO152" s="72"/>
      <c r="BP152" s="74">
        <f t="shared" si="900"/>
        <v>7</v>
      </c>
      <c r="BQ152" s="72"/>
      <c r="BR152" s="74">
        <f t="shared" si="901"/>
        <v>8</v>
      </c>
      <c r="BS152" s="72"/>
      <c r="BT152" s="74">
        <f t="shared" si="902"/>
        <v>8</v>
      </c>
      <c r="BU152" s="72"/>
      <c r="BV152" s="74">
        <f t="shared" si="903"/>
        <v>7</v>
      </c>
      <c r="BW152" s="72"/>
      <c r="BX152" s="74">
        <f t="shared" si="904"/>
        <v>4</v>
      </c>
      <c r="BY152" s="72"/>
      <c r="BZ152" s="74">
        <f t="shared" si="905"/>
        <v>9</v>
      </c>
      <c r="CA152" s="72"/>
      <c r="CB152" s="74">
        <f t="shared" si="906"/>
        <v>13</v>
      </c>
      <c r="CC152" s="72"/>
      <c r="CD152" s="74">
        <f t="shared" si="907"/>
        <v>7</v>
      </c>
      <c r="CF152" s="74">
        <f t="shared" si="907"/>
        <v>0</v>
      </c>
      <c r="CH152" s="74">
        <f t="shared" ref="CH152" si="949">MAX(CH140:CH151)</f>
        <v>0</v>
      </c>
    </row>
    <row r="153" spans="1:86" ht="13.5" customHeight="1" x14ac:dyDescent="0.2">
      <c r="A153" s="56">
        <v>54</v>
      </c>
      <c r="B153" s="56"/>
      <c r="C153" s="56"/>
      <c r="D153" s="56"/>
      <c r="E153" s="72"/>
      <c r="F153" s="73">
        <f t="shared" si="869"/>
        <v>4</v>
      </c>
      <c r="G153" s="72"/>
      <c r="H153" s="74">
        <f t="shared" si="870"/>
        <v>0</v>
      </c>
      <c r="I153" s="72"/>
      <c r="J153" s="74">
        <f t="shared" si="871"/>
        <v>2</v>
      </c>
      <c r="K153" s="72"/>
      <c r="L153" s="74">
        <f t="shared" si="872"/>
        <v>2</v>
      </c>
      <c r="M153" s="72"/>
      <c r="N153" s="74">
        <f t="shared" si="873"/>
        <v>3</v>
      </c>
      <c r="O153" s="72"/>
      <c r="P153" s="74">
        <f t="shared" si="874"/>
        <v>6</v>
      </c>
      <c r="Q153" s="72"/>
      <c r="R153" s="74">
        <f t="shared" si="875"/>
        <v>2</v>
      </c>
      <c r="S153" s="72"/>
      <c r="T153" s="74">
        <f t="shared" si="876"/>
        <v>1</v>
      </c>
      <c r="U153" s="72"/>
      <c r="V153" s="74">
        <f t="shared" si="877"/>
        <v>1</v>
      </c>
      <c r="W153" s="72"/>
      <c r="X153" s="74">
        <f t="shared" si="878"/>
        <v>0</v>
      </c>
      <c r="Y153" s="72"/>
      <c r="Z153" s="74">
        <f t="shared" si="879"/>
        <v>0</v>
      </c>
      <c r="AA153" s="72"/>
      <c r="AB153" s="74">
        <f t="shared" si="880"/>
        <v>7</v>
      </c>
      <c r="AC153" s="72"/>
      <c r="AD153" s="74">
        <f t="shared" si="881"/>
        <v>8</v>
      </c>
      <c r="AE153" s="72"/>
      <c r="AF153" s="74">
        <f t="shared" si="882"/>
        <v>7</v>
      </c>
      <c r="AG153" s="72"/>
      <c r="AH153" s="74">
        <f t="shared" si="883"/>
        <v>2</v>
      </c>
      <c r="AI153" s="72"/>
      <c r="AJ153" s="74">
        <f t="shared" si="884"/>
        <v>5</v>
      </c>
      <c r="AK153" s="72"/>
      <c r="AL153" s="74">
        <f t="shared" si="885"/>
        <v>5</v>
      </c>
      <c r="AM153" s="72"/>
      <c r="AN153" s="74">
        <f t="shared" si="886"/>
        <v>6</v>
      </c>
      <c r="AO153" s="72"/>
      <c r="AP153" s="74">
        <f t="shared" si="887"/>
        <v>0</v>
      </c>
      <c r="AQ153" s="72"/>
      <c r="AR153" s="74">
        <f t="shared" si="888"/>
        <v>2</v>
      </c>
      <c r="AS153" s="72"/>
      <c r="AT153" s="74">
        <f t="shared" si="889"/>
        <v>3</v>
      </c>
      <c r="AU153" s="72"/>
      <c r="AV153" s="74">
        <f t="shared" si="890"/>
        <v>1</v>
      </c>
      <c r="AW153" s="72"/>
      <c r="AX153" s="74">
        <f t="shared" si="891"/>
        <v>13</v>
      </c>
      <c r="AY153" s="72"/>
      <c r="AZ153" s="74">
        <f t="shared" si="892"/>
        <v>15</v>
      </c>
      <c r="BA153" s="72"/>
      <c r="BB153" s="74">
        <f t="shared" si="893"/>
        <v>3</v>
      </c>
      <c r="BC153" s="72"/>
      <c r="BD153" s="74">
        <f t="shared" si="894"/>
        <v>8</v>
      </c>
      <c r="BE153" s="72"/>
      <c r="BF153" s="74">
        <f t="shared" si="895"/>
        <v>7</v>
      </c>
      <c r="BG153" s="72"/>
      <c r="BH153" s="74">
        <f t="shared" si="896"/>
        <v>0</v>
      </c>
      <c r="BI153" s="72"/>
      <c r="BJ153" s="74">
        <f t="shared" si="897"/>
        <v>9</v>
      </c>
      <c r="BK153" s="72"/>
      <c r="BL153" s="74">
        <f t="shared" si="898"/>
        <v>7</v>
      </c>
      <c r="BM153" s="72"/>
      <c r="BN153" s="74">
        <f t="shared" si="899"/>
        <v>8</v>
      </c>
      <c r="BO153" s="72"/>
      <c r="BP153" s="74">
        <f t="shared" si="900"/>
        <v>7</v>
      </c>
      <c r="BQ153" s="72"/>
      <c r="BR153" s="74">
        <f t="shared" si="901"/>
        <v>8</v>
      </c>
      <c r="BS153" s="72"/>
      <c r="BT153" s="74">
        <f t="shared" si="902"/>
        <v>8</v>
      </c>
      <c r="BU153" s="72"/>
      <c r="BV153" s="74">
        <f t="shared" si="903"/>
        <v>7</v>
      </c>
      <c r="BW153" s="72"/>
      <c r="BX153" s="74">
        <f t="shared" si="904"/>
        <v>4</v>
      </c>
      <c r="BY153" s="72"/>
      <c r="BZ153" s="74">
        <f t="shared" si="905"/>
        <v>9</v>
      </c>
      <c r="CA153" s="72"/>
      <c r="CB153" s="74">
        <f t="shared" si="906"/>
        <v>13</v>
      </c>
      <c r="CC153" s="72"/>
      <c r="CD153" s="74">
        <f t="shared" si="907"/>
        <v>7</v>
      </c>
      <c r="CF153" s="74">
        <f t="shared" si="907"/>
        <v>0</v>
      </c>
      <c r="CH153" s="74">
        <f t="shared" ref="CH153" si="950">MAX(CH141:CH152)</f>
        <v>0</v>
      </c>
    </row>
    <row r="154" spans="1:86" ht="13.5" customHeight="1" x14ac:dyDescent="0.2">
      <c r="A154" s="56">
        <v>55</v>
      </c>
      <c r="B154" s="56"/>
      <c r="C154" s="56"/>
      <c r="D154" s="56"/>
      <c r="E154" s="72"/>
      <c r="F154" s="73">
        <f t="shared" si="869"/>
        <v>4</v>
      </c>
      <c r="G154" s="72"/>
      <c r="H154" s="74">
        <f t="shared" si="870"/>
        <v>0</v>
      </c>
      <c r="I154" s="72"/>
      <c r="J154" s="74">
        <f t="shared" si="871"/>
        <v>2</v>
      </c>
      <c r="K154" s="72"/>
      <c r="L154" s="74">
        <f t="shared" si="872"/>
        <v>2</v>
      </c>
      <c r="M154" s="72"/>
      <c r="N154" s="74">
        <f t="shared" si="873"/>
        <v>3</v>
      </c>
      <c r="O154" s="72"/>
      <c r="P154" s="74">
        <f t="shared" si="874"/>
        <v>6</v>
      </c>
      <c r="Q154" s="72"/>
      <c r="R154" s="74">
        <f t="shared" si="875"/>
        <v>2</v>
      </c>
      <c r="S154" s="72"/>
      <c r="T154" s="74">
        <f t="shared" si="876"/>
        <v>1</v>
      </c>
      <c r="U154" s="72"/>
      <c r="V154" s="74">
        <f t="shared" si="877"/>
        <v>1</v>
      </c>
      <c r="W154" s="72"/>
      <c r="X154" s="74">
        <f t="shared" si="878"/>
        <v>0</v>
      </c>
      <c r="Y154" s="72"/>
      <c r="Z154" s="74">
        <f t="shared" si="879"/>
        <v>0</v>
      </c>
      <c r="AA154" s="72"/>
      <c r="AB154" s="74">
        <f t="shared" si="880"/>
        <v>7</v>
      </c>
      <c r="AC154" s="72"/>
      <c r="AD154" s="74">
        <f t="shared" si="881"/>
        <v>8</v>
      </c>
      <c r="AE154" s="72"/>
      <c r="AF154" s="74">
        <f t="shared" si="882"/>
        <v>7</v>
      </c>
      <c r="AG154" s="72"/>
      <c r="AH154" s="74">
        <f t="shared" si="883"/>
        <v>2</v>
      </c>
      <c r="AI154" s="72"/>
      <c r="AJ154" s="74">
        <f t="shared" si="884"/>
        <v>5</v>
      </c>
      <c r="AK154" s="72"/>
      <c r="AL154" s="74">
        <f t="shared" si="885"/>
        <v>5</v>
      </c>
      <c r="AM154" s="72"/>
      <c r="AN154" s="74">
        <f t="shared" si="886"/>
        <v>6</v>
      </c>
      <c r="AO154" s="72"/>
      <c r="AP154" s="74">
        <f t="shared" si="887"/>
        <v>0</v>
      </c>
      <c r="AQ154" s="72"/>
      <c r="AR154" s="74">
        <f t="shared" si="888"/>
        <v>2</v>
      </c>
      <c r="AS154" s="72"/>
      <c r="AT154" s="74">
        <f t="shared" si="889"/>
        <v>3</v>
      </c>
      <c r="AU154" s="72"/>
      <c r="AV154" s="74">
        <f t="shared" si="890"/>
        <v>1</v>
      </c>
      <c r="AW154" s="72"/>
      <c r="AX154" s="74">
        <f t="shared" si="891"/>
        <v>13</v>
      </c>
      <c r="AY154" s="72"/>
      <c r="AZ154" s="74">
        <f t="shared" si="892"/>
        <v>15</v>
      </c>
      <c r="BA154" s="72"/>
      <c r="BB154" s="74">
        <f t="shared" si="893"/>
        <v>3</v>
      </c>
      <c r="BC154" s="72"/>
      <c r="BD154" s="74">
        <f t="shared" si="894"/>
        <v>8</v>
      </c>
      <c r="BE154" s="72"/>
      <c r="BF154" s="74">
        <f t="shared" si="895"/>
        <v>7</v>
      </c>
      <c r="BG154" s="72"/>
      <c r="BH154" s="74">
        <f t="shared" si="896"/>
        <v>0</v>
      </c>
      <c r="BI154" s="72"/>
      <c r="BJ154" s="74">
        <f t="shared" si="897"/>
        <v>9</v>
      </c>
      <c r="BK154" s="72"/>
      <c r="BL154" s="74">
        <f t="shared" si="898"/>
        <v>7</v>
      </c>
      <c r="BM154" s="72"/>
      <c r="BN154" s="74">
        <f t="shared" si="899"/>
        <v>8</v>
      </c>
      <c r="BO154" s="72"/>
      <c r="BP154" s="74">
        <f t="shared" si="900"/>
        <v>7</v>
      </c>
      <c r="BQ154" s="72"/>
      <c r="BR154" s="74">
        <f t="shared" si="901"/>
        <v>8</v>
      </c>
      <c r="BS154" s="72"/>
      <c r="BT154" s="74">
        <f t="shared" si="902"/>
        <v>8</v>
      </c>
      <c r="BU154" s="72"/>
      <c r="BV154" s="74">
        <f t="shared" si="903"/>
        <v>7</v>
      </c>
      <c r="BW154" s="72"/>
      <c r="BX154" s="74">
        <f t="shared" si="904"/>
        <v>4</v>
      </c>
      <c r="BY154" s="72"/>
      <c r="BZ154" s="74">
        <f t="shared" si="905"/>
        <v>9</v>
      </c>
      <c r="CA154" s="72"/>
      <c r="CB154" s="74">
        <f t="shared" si="906"/>
        <v>13</v>
      </c>
      <c r="CC154" s="72"/>
      <c r="CD154" s="74">
        <f t="shared" si="907"/>
        <v>7</v>
      </c>
      <c r="CF154" s="74">
        <f t="shared" si="907"/>
        <v>0</v>
      </c>
      <c r="CH154" s="74">
        <f t="shared" ref="CH154" si="951">MAX(CH142:CH153)</f>
        <v>0</v>
      </c>
    </row>
    <row r="155" spans="1:86" ht="13.5" customHeight="1" x14ac:dyDescent="0.2">
      <c r="A155" s="56">
        <v>56</v>
      </c>
      <c r="B155" s="56"/>
      <c r="C155" s="56"/>
      <c r="D155" s="56"/>
      <c r="E155" s="72"/>
      <c r="F155" s="73">
        <f t="shared" si="869"/>
        <v>4</v>
      </c>
      <c r="G155" s="72"/>
      <c r="H155" s="74">
        <f t="shared" si="870"/>
        <v>0</v>
      </c>
      <c r="I155" s="72"/>
      <c r="J155" s="74">
        <f t="shared" si="871"/>
        <v>2</v>
      </c>
      <c r="K155" s="72"/>
      <c r="L155" s="74">
        <f t="shared" si="872"/>
        <v>2</v>
      </c>
      <c r="M155" s="72"/>
      <c r="N155" s="74">
        <f t="shared" si="873"/>
        <v>3</v>
      </c>
      <c r="O155" s="72"/>
      <c r="P155" s="74">
        <f t="shared" si="874"/>
        <v>6</v>
      </c>
      <c r="Q155" s="72"/>
      <c r="R155" s="74">
        <f t="shared" si="875"/>
        <v>2</v>
      </c>
      <c r="S155" s="72"/>
      <c r="T155" s="74">
        <f t="shared" si="876"/>
        <v>1</v>
      </c>
      <c r="U155" s="72"/>
      <c r="V155" s="74">
        <f t="shared" si="877"/>
        <v>1</v>
      </c>
      <c r="W155" s="72"/>
      <c r="X155" s="74">
        <f t="shared" si="878"/>
        <v>0</v>
      </c>
      <c r="Y155" s="72"/>
      <c r="Z155" s="74">
        <f t="shared" si="879"/>
        <v>0</v>
      </c>
      <c r="AA155" s="72"/>
      <c r="AB155" s="74">
        <f t="shared" si="880"/>
        <v>7</v>
      </c>
      <c r="AC155" s="72"/>
      <c r="AD155" s="74">
        <f t="shared" si="881"/>
        <v>8</v>
      </c>
      <c r="AE155" s="72"/>
      <c r="AF155" s="74">
        <f t="shared" si="882"/>
        <v>7</v>
      </c>
      <c r="AG155" s="72"/>
      <c r="AH155" s="74">
        <f t="shared" si="883"/>
        <v>2</v>
      </c>
      <c r="AI155" s="72"/>
      <c r="AJ155" s="74">
        <f t="shared" si="884"/>
        <v>5</v>
      </c>
      <c r="AK155" s="72"/>
      <c r="AL155" s="74">
        <f t="shared" si="885"/>
        <v>5</v>
      </c>
      <c r="AM155" s="72"/>
      <c r="AN155" s="74">
        <f t="shared" si="886"/>
        <v>6</v>
      </c>
      <c r="AO155" s="72"/>
      <c r="AP155" s="74">
        <f t="shared" si="887"/>
        <v>0</v>
      </c>
      <c r="AQ155" s="72"/>
      <c r="AR155" s="74">
        <f t="shared" si="888"/>
        <v>2</v>
      </c>
      <c r="AS155" s="72"/>
      <c r="AT155" s="74">
        <f t="shared" si="889"/>
        <v>3</v>
      </c>
      <c r="AU155" s="72"/>
      <c r="AV155" s="74">
        <f t="shared" si="890"/>
        <v>1</v>
      </c>
      <c r="AW155" s="72"/>
      <c r="AX155" s="74">
        <f t="shared" si="891"/>
        <v>13</v>
      </c>
      <c r="AY155" s="72"/>
      <c r="AZ155" s="74">
        <f t="shared" si="892"/>
        <v>15</v>
      </c>
      <c r="BA155" s="72"/>
      <c r="BB155" s="74">
        <f t="shared" si="893"/>
        <v>3</v>
      </c>
      <c r="BC155" s="72"/>
      <c r="BD155" s="74">
        <f t="shared" si="894"/>
        <v>8</v>
      </c>
      <c r="BE155" s="72"/>
      <c r="BF155" s="74">
        <f t="shared" si="895"/>
        <v>7</v>
      </c>
      <c r="BG155" s="72"/>
      <c r="BH155" s="74">
        <f t="shared" si="896"/>
        <v>0</v>
      </c>
      <c r="BI155" s="72"/>
      <c r="BJ155" s="74">
        <f t="shared" si="897"/>
        <v>9</v>
      </c>
      <c r="BK155" s="72"/>
      <c r="BL155" s="74">
        <f t="shared" si="898"/>
        <v>7</v>
      </c>
      <c r="BM155" s="72"/>
      <c r="BN155" s="74">
        <f t="shared" si="899"/>
        <v>8</v>
      </c>
      <c r="BO155" s="72"/>
      <c r="BP155" s="74">
        <f t="shared" si="900"/>
        <v>7</v>
      </c>
      <c r="BQ155" s="72"/>
      <c r="BR155" s="74">
        <f t="shared" si="901"/>
        <v>8</v>
      </c>
      <c r="BS155" s="72"/>
      <c r="BT155" s="74">
        <f t="shared" si="902"/>
        <v>8</v>
      </c>
      <c r="BU155" s="72"/>
      <c r="BV155" s="74">
        <f t="shared" si="903"/>
        <v>7</v>
      </c>
      <c r="BW155" s="72"/>
      <c r="BX155" s="74">
        <f t="shared" si="904"/>
        <v>4</v>
      </c>
      <c r="BY155" s="72"/>
      <c r="BZ155" s="74">
        <f t="shared" si="905"/>
        <v>9</v>
      </c>
      <c r="CA155" s="72"/>
      <c r="CB155" s="74">
        <f t="shared" si="906"/>
        <v>13</v>
      </c>
      <c r="CC155" s="72"/>
      <c r="CD155" s="74">
        <f t="shared" si="907"/>
        <v>7</v>
      </c>
      <c r="CF155" s="74">
        <f t="shared" si="907"/>
        <v>0</v>
      </c>
      <c r="CH155" s="74">
        <f t="shared" ref="CH155" si="952">MAX(CH143:CH154)</f>
        <v>0</v>
      </c>
    </row>
    <row r="156" spans="1:86" ht="13.5" customHeight="1" x14ac:dyDescent="0.2">
      <c r="A156" s="56">
        <v>57</v>
      </c>
      <c r="B156" s="56"/>
      <c r="C156" s="56"/>
      <c r="D156" s="56"/>
      <c r="E156" s="72"/>
      <c r="F156" s="73">
        <f t="shared" si="869"/>
        <v>4</v>
      </c>
      <c r="G156" s="72"/>
      <c r="H156" s="74">
        <f t="shared" si="870"/>
        <v>0</v>
      </c>
      <c r="I156" s="72"/>
      <c r="J156" s="74">
        <f t="shared" si="871"/>
        <v>2</v>
      </c>
      <c r="K156" s="72"/>
      <c r="L156" s="74">
        <f t="shared" si="872"/>
        <v>2</v>
      </c>
      <c r="M156" s="72"/>
      <c r="N156" s="74">
        <f t="shared" si="873"/>
        <v>3</v>
      </c>
      <c r="O156" s="72"/>
      <c r="P156" s="74">
        <f t="shared" si="874"/>
        <v>6</v>
      </c>
      <c r="Q156" s="72"/>
      <c r="R156" s="74">
        <f t="shared" si="875"/>
        <v>2</v>
      </c>
      <c r="S156" s="72"/>
      <c r="T156" s="74">
        <f t="shared" si="876"/>
        <v>1</v>
      </c>
      <c r="U156" s="72"/>
      <c r="V156" s="74">
        <f t="shared" si="877"/>
        <v>1</v>
      </c>
      <c r="W156" s="72"/>
      <c r="X156" s="74">
        <f t="shared" si="878"/>
        <v>0</v>
      </c>
      <c r="Y156" s="72"/>
      <c r="Z156" s="74">
        <f t="shared" si="879"/>
        <v>0</v>
      </c>
      <c r="AA156" s="72"/>
      <c r="AB156" s="74">
        <f t="shared" si="880"/>
        <v>7</v>
      </c>
      <c r="AC156" s="72"/>
      <c r="AD156" s="74">
        <f t="shared" si="881"/>
        <v>8</v>
      </c>
      <c r="AE156" s="72"/>
      <c r="AF156" s="74">
        <f t="shared" si="882"/>
        <v>7</v>
      </c>
      <c r="AG156" s="72"/>
      <c r="AH156" s="74">
        <f t="shared" si="883"/>
        <v>2</v>
      </c>
      <c r="AI156" s="72"/>
      <c r="AJ156" s="74">
        <f t="shared" si="884"/>
        <v>5</v>
      </c>
      <c r="AK156" s="72"/>
      <c r="AL156" s="74">
        <f t="shared" si="885"/>
        <v>5</v>
      </c>
      <c r="AM156" s="72"/>
      <c r="AN156" s="74">
        <f t="shared" si="886"/>
        <v>6</v>
      </c>
      <c r="AO156" s="72"/>
      <c r="AP156" s="74">
        <f t="shared" si="887"/>
        <v>0</v>
      </c>
      <c r="AQ156" s="72"/>
      <c r="AR156" s="74">
        <f t="shared" si="888"/>
        <v>2</v>
      </c>
      <c r="AS156" s="72"/>
      <c r="AT156" s="74">
        <f t="shared" si="889"/>
        <v>3</v>
      </c>
      <c r="AU156" s="72"/>
      <c r="AV156" s="74">
        <f t="shared" si="890"/>
        <v>1</v>
      </c>
      <c r="AW156" s="72"/>
      <c r="AX156" s="74">
        <f t="shared" si="891"/>
        <v>13</v>
      </c>
      <c r="AY156" s="72"/>
      <c r="AZ156" s="74">
        <f t="shared" si="892"/>
        <v>15</v>
      </c>
      <c r="BA156" s="72"/>
      <c r="BB156" s="74">
        <f t="shared" si="893"/>
        <v>3</v>
      </c>
      <c r="BC156" s="72"/>
      <c r="BD156" s="74">
        <f t="shared" si="894"/>
        <v>8</v>
      </c>
      <c r="BE156" s="72"/>
      <c r="BF156" s="74">
        <f t="shared" si="895"/>
        <v>7</v>
      </c>
      <c r="BG156" s="72"/>
      <c r="BH156" s="74">
        <f t="shared" si="896"/>
        <v>0</v>
      </c>
      <c r="BI156" s="72"/>
      <c r="BJ156" s="74">
        <f t="shared" si="897"/>
        <v>9</v>
      </c>
      <c r="BK156" s="72"/>
      <c r="BL156" s="74">
        <f t="shared" si="898"/>
        <v>7</v>
      </c>
      <c r="BM156" s="72"/>
      <c r="BN156" s="74">
        <f t="shared" si="899"/>
        <v>8</v>
      </c>
      <c r="BO156" s="72"/>
      <c r="BP156" s="74">
        <f t="shared" si="900"/>
        <v>7</v>
      </c>
      <c r="BQ156" s="72"/>
      <c r="BR156" s="74">
        <f t="shared" si="901"/>
        <v>8</v>
      </c>
      <c r="BS156" s="72"/>
      <c r="BT156" s="74">
        <f t="shared" si="902"/>
        <v>8</v>
      </c>
      <c r="BU156" s="72"/>
      <c r="BV156" s="74">
        <f t="shared" si="903"/>
        <v>7</v>
      </c>
      <c r="BW156" s="72"/>
      <c r="BX156" s="74">
        <f t="shared" si="904"/>
        <v>4</v>
      </c>
      <c r="BY156" s="72"/>
      <c r="BZ156" s="74">
        <f t="shared" si="905"/>
        <v>9</v>
      </c>
      <c r="CA156" s="72"/>
      <c r="CB156" s="74">
        <f t="shared" si="906"/>
        <v>13</v>
      </c>
      <c r="CC156" s="72"/>
      <c r="CD156" s="74">
        <f t="shared" si="907"/>
        <v>7</v>
      </c>
      <c r="CF156" s="74">
        <f t="shared" si="907"/>
        <v>0</v>
      </c>
      <c r="CH156" s="74">
        <f t="shared" ref="CH156" si="953">MAX(CH144:CH155)</f>
        <v>0</v>
      </c>
    </row>
    <row r="157" spans="1:86" ht="13.5" customHeight="1" x14ac:dyDescent="0.2">
      <c r="A157" s="56">
        <v>58</v>
      </c>
      <c r="B157" s="56"/>
      <c r="C157" s="56"/>
      <c r="D157" s="56"/>
      <c r="E157" s="72"/>
      <c r="F157" s="73">
        <f t="shared" si="869"/>
        <v>4</v>
      </c>
      <c r="G157" s="72"/>
      <c r="H157" s="74">
        <f t="shared" si="870"/>
        <v>0</v>
      </c>
      <c r="I157" s="72"/>
      <c r="J157" s="74">
        <f t="shared" si="871"/>
        <v>2</v>
      </c>
      <c r="K157" s="72"/>
      <c r="L157" s="74">
        <f t="shared" si="872"/>
        <v>2</v>
      </c>
      <c r="M157" s="72"/>
      <c r="N157" s="74">
        <f t="shared" si="873"/>
        <v>3</v>
      </c>
      <c r="O157" s="72"/>
      <c r="P157" s="74">
        <f t="shared" si="874"/>
        <v>6</v>
      </c>
      <c r="Q157" s="72"/>
      <c r="R157" s="74">
        <f t="shared" si="875"/>
        <v>2</v>
      </c>
      <c r="S157" s="72"/>
      <c r="T157" s="74">
        <f t="shared" si="876"/>
        <v>1</v>
      </c>
      <c r="U157" s="72"/>
      <c r="V157" s="74">
        <f t="shared" si="877"/>
        <v>1</v>
      </c>
      <c r="W157" s="72"/>
      <c r="X157" s="74">
        <f t="shared" si="878"/>
        <v>0</v>
      </c>
      <c r="Y157" s="72"/>
      <c r="Z157" s="74">
        <f t="shared" si="879"/>
        <v>0</v>
      </c>
      <c r="AA157" s="72"/>
      <c r="AB157" s="74">
        <f t="shared" si="880"/>
        <v>7</v>
      </c>
      <c r="AC157" s="72"/>
      <c r="AD157" s="74">
        <f t="shared" si="881"/>
        <v>8</v>
      </c>
      <c r="AE157" s="72"/>
      <c r="AF157" s="74">
        <f t="shared" si="882"/>
        <v>7</v>
      </c>
      <c r="AG157" s="72"/>
      <c r="AH157" s="74">
        <f t="shared" si="883"/>
        <v>2</v>
      </c>
      <c r="AI157" s="72"/>
      <c r="AJ157" s="74">
        <f t="shared" si="884"/>
        <v>5</v>
      </c>
      <c r="AK157" s="72"/>
      <c r="AL157" s="74">
        <f t="shared" si="885"/>
        <v>5</v>
      </c>
      <c r="AM157" s="72"/>
      <c r="AN157" s="74">
        <f t="shared" si="886"/>
        <v>6</v>
      </c>
      <c r="AO157" s="72"/>
      <c r="AP157" s="74">
        <f t="shared" si="887"/>
        <v>0</v>
      </c>
      <c r="AQ157" s="72"/>
      <c r="AR157" s="74">
        <f t="shared" si="888"/>
        <v>2</v>
      </c>
      <c r="AS157" s="72"/>
      <c r="AT157" s="74">
        <f t="shared" si="889"/>
        <v>3</v>
      </c>
      <c r="AU157" s="72"/>
      <c r="AV157" s="74">
        <f t="shared" si="890"/>
        <v>1</v>
      </c>
      <c r="AW157" s="72"/>
      <c r="AX157" s="74">
        <f t="shared" si="891"/>
        <v>13</v>
      </c>
      <c r="AY157" s="72"/>
      <c r="AZ157" s="74">
        <f t="shared" si="892"/>
        <v>15</v>
      </c>
      <c r="BA157" s="72"/>
      <c r="BB157" s="74">
        <f t="shared" si="893"/>
        <v>3</v>
      </c>
      <c r="BC157" s="72"/>
      <c r="BD157" s="74">
        <f t="shared" si="894"/>
        <v>8</v>
      </c>
      <c r="BE157" s="72"/>
      <c r="BF157" s="74">
        <f t="shared" si="895"/>
        <v>7</v>
      </c>
      <c r="BG157" s="72"/>
      <c r="BH157" s="74">
        <f t="shared" si="896"/>
        <v>0</v>
      </c>
      <c r="BI157" s="72"/>
      <c r="BJ157" s="74">
        <f t="shared" si="897"/>
        <v>9</v>
      </c>
      <c r="BK157" s="72"/>
      <c r="BL157" s="74">
        <f t="shared" si="898"/>
        <v>7</v>
      </c>
      <c r="BM157" s="72"/>
      <c r="BN157" s="74">
        <f t="shared" si="899"/>
        <v>8</v>
      </c>
      <c r="BO157" s="72"/>
      <c r="BP157" s="74">
        <f t="shared" si="900"/>
        <v>7</v>
      </c>
      <c r="BQ157" s="72"/>
      <c r="BR157" s="74">
        <f t="shared" si="901"/>
        <v>8</v>
      </c>
      <c r="BS157" s="72"/>
      <c r="BT157" s="74">
        <f t="shared" si="902"/>
        <v>8</v>
      </c>
      <c r="BU157" s="72"/>
      <c r="BV157" s="74">
        <f t="shared" si="903"/>
        <v>7</v>
      </c>
      <c r="BW157" s="72"/>
      <c r="BX157" s="74">
        <f t="shared" si="904"/>
        <v>4</v>
      </c>
      <c r="BY157" s="72"/>
      <c r="BZ157" s="74">
        <f t="shared" si="905"/>
        <v>9</v>
      </c>
      <c r="CA157" s="72"/>
      <c r="CB157" s="74">
        <f t="shared" si="906"/>
        <v>13</v>
      </c>
      <c r="CC157" s="72"/>
      <c r="CD157" s="74">
        <f t="shared" si="907"/>
        <v>7</v>
      </c>
      <c r="CF157" s="74">
        <f t="shared" si="907"/>
        <v>0</v>
      </c>
      <c r="CH157" s="74">
        <f t="shared" ref="CH157" si="954">MAX(CH145:CH156)</f>
        <v>0</v>
      </c>
    </row>
    <row r="158" spans="1:86" ht="13.5" customHeight="1" x14ac:dyDescent="0.2">
      <c r="A158" s="56">
        <v>59</v>
      </c>
      <c r="B158" s="56"/>
      <c r="C158" s="56"/>
      <c r="D158" s="56"/>
      <c r="E158" s="72"/>
      <c r="F158" s="73">
        <f t="shared" si="869"/>
        <v>4</v>
      </c>
      <c r="G158" s="72"/>
      <c r="H158" s="74">
        <f t="shared" si="870"/>
        <v>0</v>
      </c>
      <c r="I158" s="72"/>
      <c r="J158" s="74">
        <f t="shared" si="871"/>
        <v>2</v>
      </c>
      <c r="K158" s="72"/>
      <c r="L158" s="74">
        <f t="shared" si="872"/>
        <v>2</v>
      </c>
      <c r="M158" s="72"/>
      <c r="N158" s="74">
        <f t="shared" si="873"/>
        <v>3</v>
      </c>
      <c r="O158" s="72"/>
      <c r="P158" s="74">
        <f t="shared" si="874"/>
        <v>6</v>
      </c>
      <c r="Q158" s="72"/>
      <c r="R158" s="74">
        <f t="shared" si="875"/>
        <v>2</v>
      </c>
      <c r="S158" s="72"/>
      <c r="T158" s="74">
        <f t="shared" si="876"/>
        <v>1</v>
      </c>
      <c r="U158" s="72"/>
      <c r="V158" s="74">
        <f t="shared" si="877"/>
        <v>1</v>
      </c>
      <c r="W158" s="72"/>
      <c r="X158" s="74">
        <f t="shared" si="878"/>
        <v>0</v>
      </c>
      <c r="Y158" s="72"/>
      <c r="Z158" s="74">
        <f t="shared" si="879"/>
        <v>0</v>
      </c>
      <c r="AA158" s="72"/>
      <c r="AB158" s="74">
        <f t="shared" si="880"/>
        <v>7</v>
      </c>
      <c r="AC158" s="72"/>
      <c r="AD158" s="74">
        <f t="shared" si="881"/>
        <v>8</v>
      </c>
      <c r="AE158" s="72"/>
      <c r="AF158" s="74">
        <f t="shared" si="882"/>
        <v>7</v>
      </c>
      <c r="AG158" s="72"/>
      <c r="AH158" s="74">
        <f t="shared" si="883"/>
        <v>2</v>
      </c>
      <c r="AI158" s="72"/>
      <c r="AJ158" s="74">
        <f t="shared" si="884"/>
        <v>5</v>
      </c>
      <c r="AK158" s="72"/>
      <c r="AL158" s="74">
        <f t="shared" si="885"/>
        <v>5</v>
      </c>
      <c r="AM158" s="72"/>
      <c r="AN158" s="74">
        <f t="shared" si="886"/>
        <v>6</v>
      </c>
      <c r="AO158" s="72"/>
      <c r="AP158" s="74">
        <f t="shared" si="887"/>
        <v>0</v>
      </c>
      <c r="AQ158" s="72"/>
      <c r="AR158" s="74">
        <f t="shared" si="888"/>
        <v>2</v>
      </c>
      <c r="AS158" s="72"/>
      <c r="AT158" s="74">
        <f t="shared" si="889"/>
        <v>3</v>
      </c>
      <c r="AU158" s="72"/>
      <c r="AV158" s="74">
        <f t="shared" si="890"/>
        <v>1</v>
      </c>
      <c r="AW158" s="72"/>
      <c r="AX158" s="74">
        <f t="shared" si="891"/>
        <v>13</v>
      </c>
      <c r="AY158" s="72"/>
      <c r="AZ158" s="74">
        <f t="shared" si="892"/>
        <v>15</v>
      </c>
      <c r="BA158" s="72"/>
      <c r="BB158" s="74">
        <f t="shared" si="893"/>
        <v>3</v>
      </c>
      <c r="BC158" s="72"/>
      <c r="BD158" s="74">
        <f t="shared" si="894"/>
        <v>8</v>
      </c>
      <c r="BE158" s="72"/>
      <c r="BF158" s="74">
        <f t="shared" si="895"/>
        <v>7</v>
      </c>
      <c r="BG158" s="72"/>
      <c r="BH158" s="74">
        <f t="shared" si="896"/>
        <v>0</v>
      </c>
      <c r="BI158" s="72"/>
      <c r="BJ158" s="74">
        <f t="shared" si="897"/>
        <v>9</v>
      </c>
      <c r="BK158" s="72"/>
      <c r="BL158" s="74">
        <f t="shared" si="898"/>
        <v>7</v>
      </c>
      <c r="BM158" s="72"/>
      <c r="BN158" s="74">
        <f t="shared" si="899"/>
        <v>8</v>
      </c>
      <c r="BO158" s="72"/>
      <c r="BP158" s="74">
        <f t="shared" si="900"/>
        <v>7</v>
      </c>
      <c r="BQ158" s="72"/>
      <c r="BR158" s="74">
        <f t="shared" si="901"/>
        <v>8</v>
      </c>
      <c r="BS158" s="72"/>
      <c r="BT158" s="74">
        <f t="shared" si="902"/>
        <v>8</v>
      </c>
      <c r="BU158" s="72"/>
      <c r="BV158" s="74">
        <f t="shared" si="903"/>
        <v>7</v>
      </c>
      <c r="BW158" s="72"/>
      <c r="BX158" s="74">
        <f t="shared" si="904"/>
        <v>4</v>
      </c>
      <c r="BY158" s="72"/>
      <c r="BZ158" s="74">
        <f t="shared" si="905"/>
        <v>9</v>
      </c>
      <c r="CA158" s="72"/>
      <c r="CB158" s="74">
        <f t="shared" si="906"/>
        <v>13</v>
      </c>
      <c r="CC158" s="72"/>
      <c r="CD158" s="74">
        <f t="shared" si="907"/>
        <v>7</v>
      </c>
      <c r="CF158" s="74">
        <f t="shared" si="907"/>
        <v>0</v>
      </c>
      <c r="CH158" s="74">
        <f t="shared" ref="CH158" si="955">MAX(CH146:CH157)</f>
        <v>0</v>
      </c>
    </row>
    <row r="159" spans="1:86" ht="13.5" customHeight="1" x14ac:dyDescent="0.2">
      <c r="A159" s="56">
        <v>60</v>
      </c>
      <c r="B159" s="56"/>
      <c r="C159" s="56"/>
      <c r="D159" s="56"/>
      <c r="E159" s="72"/>
      <c r="F159" s="73">
        <f t="shared" si="869"/>
        <v>4</v>
      </c>
      <c r="G159" s="72"/>
      <c r="H159" s="74">
        <f t="shared" si="870"/>
        <v>0</v>
      </c>
      <c r="I159" s="72"/>
      <c r="J159" s="74">
        <f t="shared" si="871"/>
        <v>2</v>
      </c>
      <c r="K159" s="72"/>
      <c r="L159" s="74">
        <f t="shared" si="872"/>
        <v>2</v>
      </c>
      <c r="M159" s="72"/>
      <c r="N159" s="74">
        <f t="shared" si="873"/>
        <v>3</v>
      </c>
      <c r="O159" s="72"/>
      <c r="P159" s="74">
        <f t="shared" si="874"/>
        <v>6</v>
      </c>
      <c r="Q159" s="72"/>
      <c r="R159" s="74">
        <f t="shared" si="875"/>
        <v>2</v>
      </c>
      <c r="S159" s="72"/>
      <c r="T159" s="74">
        <f t="shared" si="876"/>
        <v>1</v>
      </c>
      <c r="U159" s="72"/>
      <c r="V159" s="74">
        <f t="shared" si="877"/>
        <v>1</v>
      </c>
      <c r="W159" s="72"/>
      <c r="X159" s="74">
        <f t="shared" si="878"/>
        <v>0</v>
      </c>
      <c r="Y159" s="72"/>
      <c r="Z159" s="74">
        <f t="shared" si="879"/>
        <v>0</v>
      </c>
      <c r="AA159" s="72"/>
      <c r="AB159" s="74">
        <f t="shared" si="880"/>
        <v>7</v>
      </c>
      <c r="AC159" s="72"/>
      <c r="AD159" s="74">
        <f t="shared" si="881"/>
        <v>8</v>
      </c>
      <c r="AE159" s="72"/>
      <c r="AF159" s="74">
        <f t="shared" si="882"/>
        <v>7</v>
      </c>
      <c r="AG159" s="72"/>
      <c r="AH159" s="74">
        <f t="shared" si="883"/>
        <v>2</v>
      </c>
      <c r="AI159" s="72"/>
      <c r="AJ159" s="74">
        <f t="shared" si="884"/>
        <v>5</v>
      </c>
      <c r="AK159" s="72"/>
      <c r="AL159" s="74">
        <f t="shared" si="885"/>
        <v>5</v>
      </c>
      <c r="AM159" s="72"/>
      <c r="AN159" s="74">
        <f t="shared" si="886"/>
        <v>6</v>
      </c>
      <c r="AO159" s="72"/>
      <c r="AP159" s="74">
        <f t="shared" si="887"/>
        <v>0</v>
      </c>
      <c r="AQ159" s="72"/>
      <c r="AR159" s="74">
        <f t="shared" si="888"/>
        <v>2</v>
      </c>
      <c r="AS159" s="72"/>
      <c r="AT159" s="74">
        <f t="shared" si="889"/>
        <v>3</v>
      </c>
      <c r="AU159" s="72"/>
      <c r="AV159" s="74">
        <f t="shared" si="890"/>
        <v>1</v>
      </c>
      <c r="AW159" s="72"/>
      <c r="AX159" s="74">
        <f t="shared" si="891"/>
        <v>13</v>
      </c>
      <c r="AY159" s="72"/>
      <c r="AZ159" s="74">
        <f t="shared" si="892"/>
        <v>15</v>
      </c>
      <c r="BA159" s="72"/>
      <c r="BB159" s="74">
        <f t="shared" si="893"/>
        <v>3</v>
      </c>
      <c r="BC159" s="72"/>
      <c r="BD159" s="74">
        <f t="shared" si="894"/>
        <v>8</v>
      </c>
      <c r="BE159" s="72"/>
      <c r="BF159" s="74">
        <f t="shared" si="895"/>
        <v>7</v>
      </c>
      <c r="BG159" s="72"/>
      <c r="BH159" s="74">
        <f t="shared" si="896"/>
        <v>0</v>
      </c>
      <c r="BI159" s="72"/>
      <c r="BJ159" s="74">
        <f t="shared" si="897"/>
        <v>9</v>
      </c>
      <c r="BK159" s="72"/>
      <c r="BL159" s="74">
        <f t="shared" si="898"/>
        <v>7</v>
      </c>
      <c r="BM159" s="72"/>
      <c r="BN159" s="74">
        <f t="shared" si="899"/>
        <v>8</v>
      </c>
      <c r="BO159" s="72"/>
      <c r="BP159" s="74">
        <f t="shared" si="900"/>
        <v>7</v>
      </c>
      <c r="BQ159" s="72"/>
      <c r="BR159" s="74">
        <f t="shared" si="901"/>
        <v>8</v>
      </c>
      <c r="BS159" s="72"/>
      <c r="BT159" s="74">
        <f t="shared" si="902"/>
        <v>8</v>
      </c>
      <c r="BU159" s="72"/>
      <c r="BV159" s="74">
        <f t="shared" si="903"/>
        <v>7</v>
      </c>
      <c r="BW159" s="72"/>
      <c r="BX159" s="74">
        <f t="shared" si="904"/>
        <v>4</v>
      </c>
      <c r="BY159" s="72"/>
      <c r="BZ159" s="74">
        <f t="shared" si="905"/>
        <v>9</v>
      </c>
      <c r="CA159" s="72"/>
      <c r="CB159" s="74">
        <f t="shared" si="906"/>
        <v>13</v>
      </c>
      <c r="CC159" s="72"/>
      <c r="CD159" s="74">
        <f t="shared" si="907"/>
        <v>7</v>
      </c>
      <c r="CF159" s="74">
        <f t="shared" si="907"/>
        <v>0</v>
      </c>
      <c r="CH159" s="74">
        <f t="shared" ref="CH159" si="956">MAX(CH147:CH158)</f>
        <v>0</v>
      </c>
    </row>
    <row r="160" spans="1:86" ht="13.5" customHeight="1" x14ac:dyDescent="0.2">
      <c r="A160" s="56">
        <v>61</v>
      </c>
      <c r="B160" s="56"/>
      <c r="C160" s="56"/>
      <c r="D160" s="56"/>
      <c r="E160" s="72"/>
      <c r="F160" s="73">
        <f t="shared" si="869"/>
        <v>4</v>
      </c>
      <c r="G160" s="72"/>
      <c r="H160" s="74">
        <f t="shared" si="870"/>
        <v>0</v>
      </c>
      <c r="I160" s="72"/>
      <c r="J160" s="74">
        <f t="shared" si="871"/>
        <v>2</v>
      </c>
      <c r="K160" s="72"/>
      <c r="L160" s="74">
        <f t="shared" si="872"/>
        <v>2</v>
      </c>
      <c r="M160" s="72"/>
      <c r="N160" s="74">
        <f t="shared" si="873"/>
        <v>3</v>
      </c>
      <c r="O160" s="72"/>
      <c r="P160" s="74">
        <f t="shared" si="874"/>
        <v>6</v>
      </c>
      <c r="Q160" s="72"/>
      <c r="R160" s="74">
        <f t="shared" si="875"/>
        <v>2</v>
      </c>
      <c r="S160" s="72"/>
      <c r="T160" s="74">
        <f t="shared" si="876"/>
        <v>1</v>
      </c>
      <c r="U160" s="72"/>
      <c r="V160" s="74">
        <f t="shared" si="877"/>
        <v>1</v>
      </c>
      <c r="W160" s="72"/>
      <c r="X160" s="74">
        <f t="shared" si="878"/>
        <v>0</v>
      </c>
      <c r="Y160" s="72"/>
      <c r="Z160" s="74">
        <f t="shared" si="879"/>
        <v>0</v>
      </c>
      <c r="AA160" s="72"/>
      <c r="AB160" s="74">
        <f t="shared" si="880"/>
        <v>7</v>
      </c>
      <c r="AC160" s="72"/>
      <c r="AD160" s="74">
        <f t="shared" si="881"/>
        <v>8</v>
      </c>
      <c r="AE160" s="72"/>
      <c r="AF160" s="74">
        <f t="shared" si="882"/>
        <v>7</v>
      </c>
      <c r="AG160" s="72"/>
      <c r="AH160" s="74">
        <f t="shared" si="883"/>
        <v>2</v>
      </c>
      <c r="AI160" s="72"/>
      <c r="AJ160" s="74">
        <f t="shared" si="884"/>
        <v>5</v>
      </c>
      <c r="AK160" s="72"/>
      <c r="AL160" s="74">
        <f t="shared" si="885"/>
        <v>5</v>
      </c>
      <c r="AM160" s="72"/>
      <c r="AN160" s="74">
        <f t="shared" si="886"/>
        <v>6</v>
      </c>
      <c r="AO160" s="72"/>
      <c r="AP160" s="74">
        <f t="shared" si="887"/>
        <v>0</v>
      </c>
      <c r="AQ160" s="72"/>
      <c r="AR160" s="74">
        <f t="shared" si="888"/>
        <v>2</v>
      </c>
      <c r="AS160" s="72"/>
      <c r="AT160" s="74">
        <f t="shared" si="889"/>
        <v>3</v>
      </c>
      <c r="AU160" s="72"/>
      <c r="AV160" s="74">
        <f t="shared" si="890"/>
        <v>1</v>
      </c>
      <c r="AW160" s="72"/>
      <c r="AX160" s="74">
        <f t="shared" si="891"/>
        <v>13</v>
      </c>
      <c r="AY160" s="72"/>
      <c r="AZ160" s="74">
        <f t="shared" si="892"/>
        <v>15</v>
      </c>
      <c r="BA160" s="72"/>
      <c r="BB160" s="74">
        <f t="shared" si="893"/>
        <v>3</v>
      </c>
      <c r="BC160" s="72"/>
      <c r="BD160" s="74">
        <f t="shared" si="894"/>
        <v>8</v>
      </c>
      <c r="BE160" s="72"/>
      <c r="BF160" s="74">
        <f t="shared" si="895"/>
        <v>7</v>
      </c>
      <c r="BG160" s="72"/>
      <c r="BH160" s="74">
        <f t="shared" si="896"/>
        <v>0</v>
      </c>
      <c r="BI160" s="72"/>
      <c r="BJ160" s="74">
        <f t="shared" si="897"/>
        <v>9</v>
      </c>
      <c r="BK160" s="72"/>
      <c r="BL160" s="74">
        <f t="shared" si="898"/>
        <v>7</v>
      </c>
      <c r="BM160" s="72"/>
      <c r="BN160" s="74">
        <f t="shared" si="899"/>
        <v>8</v>
      </c>
      <c r="BO160" s="72"/>
      <c r="BP160" s="74">
        <f t="shared" si="900"/>
        <v>7</v>
      </c>
      <c r="BQ160" s="72"/>
      <c r="BR160" s="74">
        <f t="shared" si="901"/>
        <v>8</v>
      </c>
      <c r="BS160" s="72"/>
      <c r="BT160" s="74">
        <f t="shared" si="902"/>
        <v>8</v>
      </c>
      <c r="BU160" s="72"/>
      <c r="BV160" s="74">
        <f t="shared" si="903"/>
        <v>7</v>
      </c>
      <c r="BW160" s="72"/>
      <c r="BX160" s="74">
        <f t="shared" si="904"/>
        <v>4</v>
      </c>
      <c r="BY160" s="72"/>
      <c r="BZ160" s="74">
        <f t="shared" si="905"/>
        <v>9</v>
      </c>
      <c r="CA160" s="72"/>
      <c r="CB160" s="74">
        <f t="shared" si="906"/>
        <v>13</v>
      </c>
      <c r="CC160" s="72"/>
      <c r="CD160" s="74">
        <f t="shared" si="907"/>
        <v>7</v>
      </c>
      <c r="CF160" s="74">
        <f t="shared" si="907"/>
        <v>0</v>
      </c>
      <c r="CH160" s="74">
        <f t="shared" ref="CH160" si="957">MAX(CH148:CH159)</f>
        <v>0</v>
      </c>
    </row>
    <row r="161" spans="1:86" ht="13.5" customHeight="1" x14ac:dyDescent="0.2">
      <c r="A161" s="56">
        <v>62</v>
      </c>
      <c r="B161" s="56"/>
      <c r="C161" s="56"/>
      <c r="D161" s="56"/>
      <c r="E161" s="72"/>
      <c r="F161" s="73">
        <f t="shared" si="869"/>
        <v>4</v>
      </c>
      <c r="G161" s="72"/>
      <c r="H161" s="74">
        <f t="shared" si="870"/>
        <v>0</v>
      </c>
      <c r="I161" s="72"/>
      <c r="J161" s="74">
        <f t="shared" si="871"/>
        <v>2</v>
      </c>
      <c r="K161" s="72"/>
      <c r="L161" s="74">
        <f t="shared" si="872"/>
        <v>2</v>
      </c>
      <c r="M161" s="72"/>
      <c r="N161" s="74">
        <f t="shared" si="873"/>
        <v>3</v>
      </c>
      <c r="O161" s="72"/>
      <c r="P161" s="74">
        <f t="shared" si="874"/>
        <v>6</v>
      </c>
      <c r="Q161" s="72"/>
      <c r="R161" s="74">
        <f t="shared" si="875"/>
        <v>2</v>
      </c>
      <c r="S161" s="72"/>
      <c r="T161" s="74">
        <f t="shared" si="876"/>
        <v>1</v>
      </c>
      <c r="U161" s="72"/>
      <c r="V161" s="74">
        <f t="shared" si="877"/>
        <v>1</v>
      </c>
      <c r="W161" s="72"/>
      <c r="X161" s="74">
        <f t="shared" si="878"/>
        <v>0</v>
      </c>
      <c r="Y161" s="72"/>
      <c r="Z161" s="74">
        <f t="shared" si="879"/>
        <v>0</v>
      </c>
      <c r="AA161" s="72"/>
      <c r="AB161" s="74">
        <f t="shared" si="880"/>
        <v>7</v>
      </c>
      <c r="AC161" s="72"/>
      <c r="AD161" s="74">
        <f t="shared" si="881"/>
        <v>8</v>
      </c>
      <c r="AE161" s="72"/>
      <c r="AF161" s="74">
        <f t="shared" si="882"/>
        <v>7</v>
      </c>
      <c r="AG161" s="72"/>
      <c r="AH161" s="74">
        <f t="shared" si="883"/>
        <v>2</v>
      </c>
      <c r="AI161" s="72"/>
      <c r="AJ161" s="74">
        <f t="shared" si="884"/>
        <v>5</v>
      </c>
      <c r="AK161" s="72"/>
      <c r="AL161" s="74">
        <f t="shared" si="885"/>
        <v>5</v>
      </c>
      <c r="AM161" s="72"/>
      <c r="AN161" s="74">
        <f t="shared" si="886"/>
        <v>6</v>
      </c>
      <c r="AO161" s="72"/>
      <c r="AP161" s="74">
        <f t="shared" si="887"/>
        <v>0</v>
      </c>
      <c r="AQ161" s="72"/>
      <c r="AR161" s="74">
        <f t="shared" si="888"/>
        <v>2</v>
      </c>
      <c r="AS161" s="72"/>
      <c r="AT161" s="74">
        <f t="shared" si="889"/>
        <v>3</v>
      </c>
      <c r="AU161" s="72"/>
      <c r="AV161" s="74">
        <f t="shared" si="890"/>
        <v>1</v>
      </c>
      <c r="AW161" s="72"/>
      <c r="AX161" s="74">
        <f t="shared" si="891"/>
        <v>13</v>
      </c>
      <c r="AY161" s="72"/>
      <c r="AZ161" s="74">
        <f t="shared" si="892"/>
        <v>15</v>
      </c>
      <c r="BA161" s="72"/>
      <c r="BB161" s="74">
        <f t="shared" si="893"/>
        <v>3</v>
      </c>
      <c r="BC161" s="72"/>
      <c r="BD161" s="74">
        <f t="shared" si="894"/>
        <v>8</v>
      </c>
      <c r="BE161" s="72"/>
      <c r="BF161" s="74">
        <f t="shared" si="895"/>
        <v>7</v>
      </c>
      <c r="BG161" s="72"/>
      <c r="BH161" s="74">
        <f t="shared" si="896"/>
        <v>0</v>
      </c>
      <c r="BI161" s="72"/>
      <c r="BJ161" s="74">
        <f t="shared" si="897"/>
        <v>9</v>
      </c>
      <c r="BK161" s="72"/>
      <c r="BL161" s="74">
        <f t="shared" si="898"/>
        <v>7</v>
      </c>
      <c r="BM161" s="72"/>
      <c r="BN161" s="74">
        <f t="shared" si="899"/>
        <v>8</v>
      </c>
      <c r="BO161" s="72"/>
      <c r="BP161" s="74">
        <f t="shared" si="900"/>
        <v>7</v>
      </c>
      <c r="BQ161" s="72"/>
      <c r="BR161" s="74">
        <f t="shared" si="901"/>
        <v>8</v>
      </c>
      <c r="BS161" s="72"/>
      <c r="BT161" s="74">
        <f t="shared" si="902"/>
        <v>8</v>
      </c>
      <c r="BU161" s="72"/>
      <c r="BV161" s="74">
        <f t="shared" si="903"/>
        <v>7</v>
      </c>
      <c r="BW161" s="72"/>
      <c r="BX161" s="74">
        <f t="shared" si="904"/>
        <v>4</v>
      </c>
      <c r="BY161" s="72"/>
      <c r="BZ161" s="74">
        <f t="shared" si="905"/>
        <v>9</v>
      </c>
      <c r="CA161" s="72"/>
      <c r="CB161" s="74">
        <f t="shared" si="906"/>
        <v>13</v>
      </c>
      <c r="CC161" s="72"/>
      <c r="CD161" s="74">
        <f t="shared" si="907"/>
        <v>7</v>
      </c>
      <c r="CF161" s="74">
        <f t="shared" si="907"/>
        <v>0</v>
      </c>
      <c r="CH161" s="74">
        <f t="shared" ref="CH161" si="958">MAX(CH149:CH160)</f>
        <v>0</v>
      </c>
    </row>
    <row r="162" spans="1:86" ht="13.5" customHeight="1" x14ac:dyDescent="0.2">
      <c r="A162" s="1"/>
      <c r="B162" s="1"/>
      <c r="C162" s="1"/>
      <c r="D162" s="1"/>
      <c r="E162" s="52"/>
      <c r="F162" s="1"/>
      <c r="G162" s="52"/>
      <c r="H162" s="1"/>
      <c r="I162" s="52"/>
      <c r="J162" s="1"/>
      <c r="K162" s="52"/>
      <c r="L162" s="1"/>
      <c r="M162" s="52"/>
      <c r="N162" s="1"/>
      <c r="O162" s="52"/>
      <c r="P162" s="1"/>
      <c r="Q162" s="52"/>
      <c r="R162" s="1"/>
      <c r="S162" s="52"/>
      <c r="T162" s="1"/>
      <c r="U162" s="52"/>
      <c r="V162" s="1"/>
      <c r="W162" s="52"/>
      <c r="X162" s="1"/>
      <c r="Y162" s="1"/>
      <c r="Z162" s="1"/>
      <c r="AA162" s="1"/>
      <c r="AB162" s="1"/>
      <c r="AC162" s="1"/>
      <c r="AD162" s="1"/>
      <c r="AF162" s="1"/>
      <c r="AH162" s="1"/>
      <c r="AJ162" s="1"/>
      <c r="AL162" s="1"/>
      <c r="AN162" s="1"/>
      <c r="AP162" s="1"/>
      <c r="AR162" s="1"/>
      <c r="AT162" s="1"/>
      <c r="AV162" s="1"/>
      <c r="AX162" s="1"/>
      <c r="AZ162" s="1"/>
      <c r="BB162" s="1"/>
      <c r="BD162" s="1"/>
      <c r="BF162" s="1"/>
      <c r="BH162" s="1"/>
      <c r="BJ162" s="1"/>
      <c r="BL162" s="1"/>
      <c r="BN162" s="1"/>
      <c r="BP162" s="1"/>
      <c r="BR162" s="1"/>
      <c r="BT162" s="1"/>
      <c r="BV162" s="1"/>
      <c r="BX162" s="1"/>
      <c r="BZ162" s="1"/>
      <c r="CB162" s="1"/>
      <c r="CD162" s="1"/>
      <c r="CF162" s="1"/>
      <c r="CH162" s="1"/>
    </row>
    <row r="163" spans="1:86" ht="13.5" customHeight="1" x14ac:dyDescent="0.2">
      <c r="A163" s="1"/>
      <c r="B163" s="1"/>
      <c r="C163" s="1"/>
      <c r="D163" s="1"/>
      <c r="E163" s="52"/>
      <c r="F163" s="1"/>
      <c r="G163" s="52"/>
      <c r="H163" s="1"/>
      <c r="I163" s="52"/>
      <c r="J163" s="1"/>
      <c r="K163" s="52"/>
      <c r="L163" s="1"/>
      <c r="M163" s="52"/>
      <c r="N163" s="1"/>
      <c r="O163" s="52"/>
      <c r="P163" s="1"/>
      <c r="Q163" s="52"/>
      <c r="R163" s="1"/>
      <c r="S163" s="52"/>
      <c r="T163" s="1"/>
      <c r="U163" s="52"/>
      <c r="V163" s="1"/>
      <c r="W163" s="52"/>
      <c r="X163" s="1"/>
      <c r="Y163" s="1"/>
      <c r="Z163" s="1"/>
      <c r="AA163" s="1"/>
      <c r="AB163" s="1"/>
      <c r="AC163" s="1"/>
      <c r="AD163" s="1"/>
      <c r="AF163" s="1"/>
      <c r="AH163" s="1"/>
      <c r="AJ163" s="1"/>
      <c r="AL163" s="1"/>
      <c r="AN163" s="1"/>
      <c r="AP163" s="1"/>
      <c r="AR163" s="1"/>
      <c r="AT163" s="1"/>
      <c r="AV163" s="1"/>
      <c r="AX163" s="1"/>
      <c r="AZ163" s="1"/>
      <c r="BB163" s="1"/>
      <c r="BD163" s="1"/>
      <c r="BF163" s="1"/>
      <c r="BH163" s="1"/>
      <c r="BJ163" s="1"/>
      <c r="BL163" s="1"/>
      <c r="BN163" s="1"/>
      <c r="BP163" s="1"/>
      <c r="BR163" s="1"/>
      <c r="BT163" s="1"/>
      <c r="BV163" s="1"/>
      <c r="BX163" s="1"/>
      <c r="BZ163" s="1"/>
      <c r="CB163" s="1"/>
      <c r="CD163" s="1"/>
      <c r="CF163" s="1"/>
      <c r="CH163" s="1"/>
    </row>
    <row r="164" spans="1:86" ht="13.5" customHeight="1" x14ac:dyDescent="0.2">
      <c r="A164" s="1"/>
      <c r="B164" s="1"/>
      <c r="C164" s="1"/>
      <c r="D164" s="1"/>
      <c r="E164" s="52"/>
      <c r="F164" s="1"/>
      <c r="G164" s="52"/>
      <c r="H164" s="1"/>
      <c r="I164" s="52"/>
      <c r="J164" s="1"/>
      <c r="K164" s="52"/>
      <c r="L164" s="1"/>
      <c r="M164" s="52"/>
      <c r="N164" s="1"/>
      <c r="O164" s="52"/>
      <c r="P164" s="1"/>
      <c r="Q164" s="52"/>
      <c r="R164" s="1"/>
      <c r="S164" s="52"/>
      <c r="T164" s="1"/>
      <c r="U164" s="52"/>
      <c r="V164" s="1"/>
      <c r="W164" s="52"/>
      <c r="X164" s="1"/>
      <c r="Y164" s="1"/>
      <c r="Z164" s="1"/>
      <c r="AA164" s="1"/>
      <c r="AB164" s="1"/>
      <c r="AC164" s="1"/>
      <c r="AD164" s="1"/>
      <c r="AF164" s="1"/>
      <c r="AH164" s="1"/>
      <c r="AJ164" s="1"/>
      <c r="AL164" s="1"/>
      <c r="AN164" s="1"/>
      <c r="AP164" s="1"/>
      <c r="AR164" s="1"/>
      <c r="AT164" s="1"/>
      <c r="AV164" s="1"/>
      <c r="AX164" s="1"/>
      <c r="AZ164" s="1"/>
      <c r="BB164" s="1"/>
      <c r="BD164" s="1"/>
      <c r="BF164" s="1"/>
      <c r="BH164" s="1"/>
      <c r="BJ164" s="1"/>
      <c r="BL164" s="1"/>
      <c r="BN164" s="1"/>
      <c r="BP164" s="1"/>
      <c r="BR164" s="1"/>
      <c r="BT164" s="1"/>
      <c r="BV164" s="1"/>
      <c r="BX164" s="1"/>
      <c r="BZ164" s="1"/>
      <c r="CB164" s="1"/>
      <c r="CD164" s="1"/>
      <c r="CF164" s="1"/>
      <c r="CH164" s="1"/>
    </row>
    <row r="165" spans="1:86" ht="13.5" customHeight="1" x14ac:dyDescent="0.2">
      <c r="A165" s="1"/>
      <c r="B165" s="1"/>
      <c r="C165" s="1"/>
      <c r="D165" s="1"/>
      <c r="E165" s="52"/>
      <c r="F165" s="1"/>
      <c r="G165" s="52"/>
      <c r="H165" s="1"/>
      <c r="I165" s="52"/>
      <c r="J165" s="1"/>
      <c r="K165" s="52"/>
      <c r="L165" s="1"/>
      <c r="M165" s="52"/>
      <c r="N165" s="1"/>
      <c r="O165" s="52"/>
      <c r="P165" s="1"/>
      <c r="Q165" s="52"/>
      <c r="R165" s="1"/>
      <c r="S165" s="52"/>
      <c r="T165" s="1"/>
      <c r="U165" s="52"/>
      <c r="V165" s="1"/>
      <c r="W165" s="52"/>
      <c r="X165" s="1"/>
      <c r="Y165" s="1"/>
      <c r="Z165" s="1"/>
      <c r="AA165" s="1"/>
      <c r="AB165" s="1"/>
      <c r="AC165" s="1"/>
      <c r="AD165" s="1"/>
      <c r="AF165" s="1"/>
      <c r="AH165" s="1"/>
      <c r="AJ165" s="1"/>
      <c r="AL165" s="1"/>
      <c r="AN165" s="1"/>
      <c r="AP165" s="1"/>
      <c r="AR165" s="1"/>
      <c r="AT165" s="1"/>
      <c r="AV165" s="1"/>
      <c r="AX165" s="1"/>
      <c r="AZ165" s="1"/>
      <c r="BB165" s="1"/>
      <c r="BD165" s="1"/>
      <c r="BF165" s="1"/>
      <c r="BH165" s="1"/>
      <c r="BJ165" s="1"/>
      <c r="BL165" s="1"/>
      <c r="BN165" s="1"/>
      <c r="BP165" s="1"/>
      <c r="BR165" s="1"/>
      <c r="BT165" s="1"/>
      <c r="BV165" s="1"/>
      <c r="BX165" s="1"/>
      <c r="BZ165" s="1"/>
      <c r="CB165" s="1"/>
      <c r="CD165" s="1"/>
      <c r="CF165" s="1"/>
      <c r="CH165" s="1"/>
    </row>
    <row r="166" spans="1:86" ht="13.5" customHeight="1" x14ac:dyDescent="0.2">
      <c r="A166" s="1"/>
      <c r="B166" s="1"/>
      <c r="C166" s="1"/>
      <c r="D166" s="1"/>
      <c r="E166" s="52"/>
      <c r="F166" s="1"/>
      <c r="G166" s="52"/>
      <c r="H166" s="1"/>
      <c r="I166" s="52"/>
      <c r="J166" s="1"/>
      <c r="K166" s="52"/>
      <c r="L166" s="1"/>
      <c r="M166" s="52"/>
      <c r="N166" s="1"/>
      <c r="O166" s="52"/>
      <c r="P166" s="1"/>
      <c r="Q166" s="52"/>
      <c r="R166" s="1"/>
      <c r="S166" s="52"/>
      <c r="T166" s="1"/>
      <c r="U166" s="52"/>
      <c r="V166" s="1"/>
      <c r="W166" s="52"/>
      <c r="X166" s="1"/>
      <c r="Y166" s="1"/>
      <c r="Z166" s="1"/>
      <c r="AA166" s="1"/>
      <c r="AB166" s="1"/>
      <c r="AC166" s="1"/>
      <c r="AD166" s="1"/>
      <c r="AF166" s="1"/>
      <c r="AH166" s="1"/>
      <c r="AJ166" s="1"/>
      <c r="AL166" s="1"/>
      <c r="AN166" s="1"/>
      <c r="AP166" s="1"/>
      <c r="AR166" s="1"/>
      <c r="AT166" s="1"/>
      <c r="AV166" s="1"/>
      <c r="AX166" s="1"/>
      <c r="AZ166" s="1"/>
      <c r="BB166" s="1"/>
      <c r="BD166" s="1"/>
      <c r="BF166" s="1"/>
      <c r="BH166" s="1"/>
      <c r="BJ166" s="1"/>
      <c r="BL166" s="1"/>
      <c r="BN166" s="1"/>
      <c r="BP166" s="1"/>
      <c r="BR166" s="1"/>
      <c r="BT166" s="1"/>
      <c r="BV166" s="1"/>
      <c r="BX166" s="1"/>
      <c r="BZ166" s="1"/>
      <c r="CB166" s="1"/>
      <c r="CD166" s="1"/>
      <c r="CF166" s="1"/>
      <c r="CH166" s="1"/>
    </row>
    <row r="167" spans="1:86" ht="13.5" customHeight="1" x14ac:dyDescent="0.2">
      <c r="A167" s="1"/>
      <c r="B167" s="1"/>
      <c r="C167" s="1"/>
      <c r="D167" s="1"/>
      <c r="E167" s="52"/>
      <c r="F167" s="1"/>
      <c r="G167" s="52"/>
      <c r="H167" s="1"/>
      <c r="I167" s="52"/>
      <c r="J167" s="1"/>
      <c r="K167" s="52"/>
      <c r="L167" s="1"/>
      <c r="M167" s="52"/>
      <c r="N167" s="1"/>
      <c r="O167" s="52"/>
      <c r="P167" s="1"/>
      <c r="Q167" s="52"/>
      <c r="R167" s="1"/>
      <c r="S167" s="52"/>
      <c r="T167" s="1"/>
      <c r="U167" s="52"/>
      <c r="V167" s="1"/>
      <c r="W167" s="52"/>
      <c r="X167" s="1"/>
      <c r="Y167" s="1"/>
      <c r="Z167" s="1"/>
      <c r="AA167" s="1"/>
      <c r="AB167" s="1"/>
      <c r="AC167" s="1"/>
      <c r="AD167" s="1"/>
      <c r="AF167" s="1"/>
      <c r="AH167" s="1"/>
      <c r="AJ167" s="1"/>
      <c r="AL167" s="1"/>
      <c r="AN167" s="1"/>
      <c r="AP167" s="1"/>
      <c r="AR167" s="1"/>
      <c r="AT167" s="1"/>
      <c r="AV167" s="1"/>
      <c r="AX167" s="1"/>
      <c r="AZ167" s="1"/>
      <c r="BB167" s="1"/>
      <c r="BD167" s="1"/>
      <c r="BF167" s="1"/>
      <c r="BH167" s="1"/>
      <c r="BJ167" s="1"/>
      <c r="BL167" s="1"/>
      <c r="BN167" s="1"/>
      <c r="BP167" s="1"/>
      <c r="BR167" s="1"/>
      <c r="BT167" s="1"/>
      <c r="BV167" s="1"/>
      <c r="BX167" s="1"/>
      <c r="BZ167" s="1"/>
      <c r="CB167" s="1"/>
      <c r="CD167" s="1"/>
      <c r="CF167" s="1"/>
      <c r="CH167" s="1"/>
    </row>
    <row r="168" spans="1:86" ht="13.5" customHeight="1" x14ac:dyDescent="0.2">
      <c r="A168" s="1"/>
      <c r="B168" s="1"/>
      <c r="C168" s="1"/>
      <c r="D168" s="1"/>
      <c r="E168" s="52"/>
      <c r="F168" s="1"/>
      <c r="G168" s="52"/>
      <c r="H168" s="1"/>
      <c r="I168" s="52"/>
      <c r="J168" s="1"/>
      <c r="K168" s="52"/>
      <c r="L168" s="1"/>
      <c r="M168" s="52"/>
      <c r="N168" s="1"/>
      <c r="O168" s="52"/>
      <c r="P168" s="1"/>
      <c r="Q168" s="52"/>
      <c r="R168" s="1"/>
      <c r="S168" s="52"/>
      <c r="T168" s="1"/>
      <c r="U168" s="52"/>
      <c r="V168" s="1"/>
      <c r="W168" s="52"/>
      <c r="X168" s="1"/>
      <c r="Y168" s="1"/>
      <c r="Z168" s="1"/>
      <c r="AA168" s="1"/>
      <c r="AB168" s="1"/>
      <c r="AC168" s="1"/>
      <c r="AD168" s="1"/>
      <c r="AF168" s="1"/>
      <c r="AH168" s="1"/>
      <c r="AJ168" s="1"/>
      <c r="AL168" s="1"/>
      <c r="AN168" s="1"/>
      <c r="AP168" s="1"/>
      <c r="AR168" s="1"/>
      <c r="AT168" s="1"/>
      <c r="AV168" s="1"/>
      <c r="AX168" s="1"/>
      <c r="AZ168" s="1"/>
      <c r="BB168" s="1"/>
      <c r="BD168" s="1"/>
      <c r="BF168" s="1"/>
      <c r="BH168" s="1"/>
      <c r="BJ168" s="1"/>
      <c r="BL168" s="1"/>
      <c r="BN168" s="1"/>
      <c r="BP168" s="1"/>
      <c r="BR168" s="1"/>
      <c r="BT168" s="1"/>
      <c r="BV168" s="1"/>
      <c r="BX168" s="1"/>
      <c r="BZ168" s="1"/>
      <c r="CB168" s="1"/>
      <c r="CD168" s="1"/>
      <c r="CF168" s="1"/>
      <c r="CH168" s="1"/>
    </row>
    <row r="169" spans="1:86" ht="13.5" customHeight="1" x14ac:dyDescent="0.2">
      <c r="A169" s="1"/>
      <c r="B169" s="1"/>
      <c r="C169" s="1"/>
      <c r="D169" s="1"/>
      <c r="E169" s="52"/>
      <c r="F169" s="1"/>
      <c r="G169" s="52"/>
      <c r="H169" s="1"/>
      <c r="I169" s="52"/>
      <c r="J169" s="1"/>
      <c r="K169" s="52"/>
      <c r="L169" s="1"/>
      <c r="M169" s="52"/>
      <c r="N169" s="1"/>
      <c r="O169" s="52"/>
      <c r="P169" s="1"/>
      <c r="Q169" s="52"/>
      <c r="R169" s="1"/>
      <c r="S169" s="52"/>
      <c r="T169" s="1"/>
      <c r="U169" s="52"/>
      <c r="V169" s="1"/>
      <c r="W169" s="52"/>
      <c r="X169" s="1"/>
      <c r="Y169" s="1"/>
      <c r="Z169" s="1"/>
      <c r="AA169" s="1"/>
      <c r="AB169" s="1"/>
      <c r="AC169" s="1"/>
      <c r="AD169" s="1"/>
      <c r="AF169" s="1"/>
      <c r="AH169" s="1"/>
      <c r="AJ169" s="1"/>
      <c r="AL169" s="1"/>
      <c r="AN169" s="1"/>
      <c r="AP169" s="1"/>
      <c r="AR169" s="1"/>
      <c r="AT169" s="1"/>
      <c r="AV169" s="1"/>
      <c r="AX169" s="1"/>
      <c r="AZ169" s="1"/>
      <c r="BB169" s="1"/>
      <c r="BD169" s="1"/>
      <c r="BF169" s="1"/>
      <c r="BH169" s="1"/>
      <c r="BJ169" s="1"/>
      <c r="BL169" s="1"/>
      <c r="BN169" s="1"/>
      <c r="BP169" s="1"/>
      <c r="BR169" s="1"/>
      <c r="BT169" s="1"/>
      <c r="BV169" s="1"/>
      <c r="BX169" s="1"/>
      <c r="BZ169" s="1"/>
      <c r="CB169" s="1"/>
      <c r="CD169" s="1"/>
      <c r="CF169" s="1"/>
      <c r="CH169" s="1"/>
    </row>
    <row r="170" spans="1:86" ht="13.5" customHeight="1" x14ac:dyDescent="0.2">
      <c r="A170" s="1"/>
      <c r="B170" s="1"/>
      <c r="C170" s="1"/>
      <c r="D170" s="1"/>
      <c r="E170" s="52"/>
      <c r="F170" s="1"/>
      <c r="G170" s="52"/>
      <c r="H170" s="1"/>
      <c r="I170" s="52"/>
      <c r="J170" s="1"/>
      <c r="K170" s="52"/>
      <c r="L170" s="1"/>
      <c r="M170" s="52"/>
      <c r="N170" s="1"/>
      <c r="O170" s="52"/>
      <c r="P170" s="1"/>
      <c r="Q170" s="52"/>
      <c r="R170" s="1"/>
      <c r="S170" s="52"/>
      <c r="T170" s="1"/>
      <c r="U170" s="52"/>
      <c r="V170" s="1"/>
      <c r="W170" s="52"/>
      <c r="X170" s="1"/>
      <c r="Y170" s="1"/>
      <c r="Z170" s="1"/>
      <c r="AA170" s="1"/>
      <c r="AB170" s="1"/>
      <c r="AC170" s="1"/>
      <c r="AD170" s="1"/>
      <c r="AF170" s="1"/>
      <c r="AH170" s="1"/>
      <c r="AJ170" s="1"/>
      <c r="AL170" s="1"/>
      <c r="AN170" s="1"/>
      <c r="AP170" s="1"/>
      <c r="AR170" s="1"/>
      <c r="AT170" s="1"/>
      <c r="AV170" s="1"/>
      <c r="AX170" s="1"/>
      <c r="AZ170" s="1"/>
      <c r="BB170" s="1"/>
      <c r="BD170" s="1"/>
      <c r="BF170" s="1"/>
      <c r="BH170" s="1"/>
      <c r="BJ170" s="1"/>
      <c r="BL170" s="1"/>
      <c r="BN170" s="1"/>
      <c r="BP170" s="1"/>
      <c r="BR170" s="1"/>
      <c r="BT170" s="1"/>
      <c r="BV170" s="1"/>
      <c r="BX170" s="1"/>
      <c r="BZ170" s="1"/>
      <c r="CB170" s="1"/>
      <c r="CD170" s="1"/>
      <c r="CF170" s="1"/>
      <c r="CH170" s="1"/>
    </row>
    <row r="171" spans="1:86" ht="13.5" customHeight="1" x14ac:dyDescent="0.2">
      <c r="A171" s="1"/>
      <c r="B171" s="1"/>
      <c r="C171" s="1"/>
      <c r="D171" s="1"/>
      <c r="E171" s="52"/>
      <c r="F171" s="1"/>
      <c r="G171" s="52"/>
      <c r="H171" s="1"/>
      <c r="I171" s="52"/>
      <c r="J171" s="1"/>
      <c r="K171" s="52"/>
      <c r="L171" s="1"/>
      <c r="M171" s="52"/>
      <c r="N171" s="1"/>
      <c r="O171" s="52"/>
      <c r="P171" s="1"/>
      <c r="Q171" s="52"/>
      <c r="R171" s="1"/>
      <c r="S171" s="52"/>
      <c r="T171" s="1"/>
      <c r="U171" s="52"/>
      <c r="V171" s="1"/>
      <c r="W171" s="52"/>
      <c r="X171" s="1"/>
      <c r="Y171" s="1"/>
      <c r="Z171" s="1"/>
      <c r="AA171" s="1"/>
      <c r="AB171" s="1"/>
      <c r="AC171" s="1"/>
      <c r="AD171" s="1"/>
      <c r="AF171" s="1"/>
      <c r="AH171" s="1"/>
      <c r="AJ171" s="1"/>
      <c r="AL171" s="1"/>
      <c r="AN171" s="1"/>
      <c r="AP171" s="1"/>
      <c r="AR171" s="1"/>
      <c r="AT171" s="1"/>
      <c r="AV171" s="1"/>
      <c r="AX171" s="1"/>
      <c r="AZ171" s="1"/>
      <c r="BB171" s="1"/>
      <c r="BD171" s="1"/>
      <c r="BF171" s="1"/>
      <c r="BH171" s="1"/>
      <c r="BJ171" s="1"/>
      <c r="BL171" s="1"/>
      <c r="BN171" s="1"/>
      <c r="BP171" s="1"/>
      <c r="BR171" s="1"/>
      <c r="BT171" s="1"/>
      <c r="BV171" s="1"/>
      <c r="BX171" s="1"/>
      <c r="BZ171" s="1"/>
      <c r="CB171" s="1"/>
      <c r="CD171" s="1"/>
      <c r="CF171" s="1"/>
      <c r="CH171" s="1"/>
    </row>
    <row r="172" spans="1:86" ht="13.5" customHeight="1" x14ac:dyDescent="0.2">
      <c r="A172" s="1"/>
      <c r="B172" s="1"/>
      <c r="C172" s="1"/>
      <c r="D172" s="1"/>
      <c r="E172" s="52"/>
      <c r="F172" s="1"/>
      <c r="G172" s="52"/>
      <c r="H172" s="1"/>
      <c r="I172" s="52"/>
      <c r="J172" s="1"/>
      <c r="K172" s="52"/>
      <c r="L172" s="1"/>
      <c r="M172" s="52"/>
      <c r="N172" s="1"/>
      <c r="O172" s="52"/>
      <c r="P172" s="1"/>
      <c r="Q172" s="52"/>
      <c r="R172" s="1"/>
      <c r="S172" s="52"/>
      <c r="T172" s="1"/>
      <c r="U172" s="52"/>
      <c r="V172" s="1"/>
      <c r="W172" s="52"/>
      <c r="X172" s="1"/>
      <c r="Y172" s="1"/>
      <c r="Z172" s="1"/>
      <c r="AA172" s="1"/>
      <c r="AB172" s="1"/>
      <c r="AC172" s="1"/>
      <c r="AD172" s="1"/>
      <c r="AF172" s="1"/>
      <c r="AH172" s="1"/>
      <c r="AJ172" s="1"/>
      <c r="AL172" s="1"/>
      <c r="AN172" s="1"/>
      <c r="AP172" s="1"/>
      <c r="AR172" s="1"/>
      <c r="AT172" s="1"/>
      <c r="AV172" s="1"/>
      <c r="AX172" s="1"/>
      <c r="AZ172" s="1"/>
      <c r="BB172" s="1"/>
      <c r="BD172" s="1"/>
      <c r="BF172" s="1"/>
      <c r="BH172" s="1"/>
      <c r="BJ172" s="1"/>
      <c r="BL172" s="1"/>
      <c r="BN172" s="1"/>
      <c r="BP172" s="1"/>
      <c r="BR172" s="1"/>
      <c r="BT172" s="1"/>
      <c r="BV172" s="1"/>
      <c r="BX172" s="1"/>
      <c r="BZ172" s="1"/>
      <c r="CB172" s="1"/>
      <c r="CD172" s="1"/>
      <c r="CF172" s="1"/>
      <c r="CH172" s="1"/>
    </row>
    <row r="173" spans="1:86" ht="13.5" customHeight="1" x14ac:dyDescent="0.2">
      <c r="A173" s="1"/>
      <c r="B173" s="1"/>
      <c r="C173" s="1"/>
      <c r="D173" s="1"/>
      <c r="E173" s="52"/>
      <c r="F173" s="1"/>
      <c r="G173" s="52"/>
      <c r="H173" s="1"/>
      <c r="I173" s="52"/>
      <c r="J173" s="1"/>
      <c r="K173" s="52"/>
      <c r="L173" s="1"/>
      <c r="M173" s="52"/>
      <c r="N173" s="1"/>
      <c r="O173" s="52"/>
      <c r="P173" s="1"/>
      <c r="Q173" s="52"/>
      <c r="R173" s="1"/>
      <c r="S173" s="52"/>
      <c r="T173" s="1"/>
      <c r="U173" s="52"/>
      <c r="V173" s="1"/>
      <c r="W173" s="52"/>
      <c r="X173" s="1"/>
      <c r="Y173" s="1"/>
      <c r="Z173" s="1"/>
      <c r="AA173" s="1"/>
      <c r="AB173" s="1"/>
      <c r="AC173" s="1"/>
      <c r="AD173" s="1"/>
      <c r="AF173" s="1"/>
      <c r="AH173" s="1"/>
      <c r="AJ173" s="1"/>
      <c r="AL173" s="1"/>
      <c r="AN173" s="1"/>
      <c r="AP173" s="1"/>
      <c r="AR173" s="1"/>
      <c r="AT173" s="1"/>
      <c r="AV173" s="1"/>
      <c r="AX173" s="1"/>
      <c r="AZ173" s="1"/>
      <c r="BB173" s="1"/>
      <c r="BD173" s="1"/>
      <c r="BF173" s="1"/>
      <c r="BH173" s="1"/>
      <c r="BJ173" s="1"/>
      <c r="BL173" s="1"/>
      <c r="BN173" s="1"/>
      <c r="BP173" s="1"/>
      <c r="BR173" s="1"/>
      <c r="BT173" s="1"/>
      <c r="BV173" s="1"/>
      <c r="BX173" s="1"/>
      <c r="BZ173" s="1"/>
      <c r="CB173" s="1"/>
      <c r="CD173" s="1"/>
      <c r="CF173" s="1"/>
      <c r="CH173" s="1"/>
    </row>
    <row r="174" spans="1:86" ht="13.5" customHeight="1" x14ac:dyDescent="0.2">
      <c r="A174" s="1"/>
      <c r="B174" s="1"/>
      <c r="C174" s="1"/>
      <c r="D174" s="1"/>
      <c r="E174" s="52"/>
      <c r="F174" s="1"/>
      <c r="G174" s="52"/>
      <c r="H174" s="1"/>
      <c r="I174" s="52"/>
      <c r="J174" s="1"/>
      <c r="K174" s="52"/>
      <c r="L174" s="1"/>
      <c r="M174" s="52"/>
      <c r="N174" s="1"/>
      <c r="O174" s="52"/>
      <c r="P174" s="1"/>
      <c r="Q174" s="52"/>
      <c r="R174" s="1"/>
      <c r="S174" s="52"/>
      <c r="T174" s="1"/>
      <c r="U174" s="52"/>
      <c r="V174" s="1"/>
      <c r="W174" s="52"/>
      <c r="X174" s="1"/>
      <c r="Y174" s="1"/>
      <c r="Z174" s="1"/>
      <c r="AA174" s="1"/>
      <c r="AB174" s="1"/>
      <c r="AC174" s="1"/>
      <c r="AD174" s="1"/>
      <c r="AF174" s="1"/>
      <c r="AH174" s="1"/>
      <c r="AJ174" s="1"/>
      <c r="AL174" s="1"/>
      <c r="AN174" s="1"/>
      <c r="AP174" s="1"/>
      <c r="AR174" s="1"/>
      <c r="AT174" s="1"/>
      <c r="AV174" s="1"/>
      <c r="AX174" s="1"/>
      <c r="AZ174" s="1"/>
      <c r="BB174" s="1"/>
      <c r="BD174" s="1"/>
      <c r="BF174" s="1"/>
      <c r="BH174" s="1"/>
      <c r="BJ174" s="1"/>
      <c r="BL174" s="1"/>
      <c r="BN174" s="1"/>
      <c r="BP174" s="1"/>
      <c r="BR174" s="1"/>
      <c r="BT174" s="1"/>
      <c r="BV174" s="1"/>
      <c r="BX174" s="1"/>
      <c r="BZ174" s="1"/>
      <c r="CB174" s="1"/>
      <c r="CD174" s="1"/>
      <c r="CF174" s="1"/>
      <c r="CH174" s="1"/>
    </row>
    <row r="175" spans="1:86" ht="13.5" customHeight="1" x14ac:dyDescent="0.2">
      <c r="A175" s="1"/>
      <c r="B175" s="1"/>
      <c r="C175" s="1"/>
      <c r="D175" s="1"/>
      <c r="E175" s="52"/>
      <c r="F175" s="1"/>
      <c r="G175" s="52"/>
      <c r="H175" s="1"/>
      <c r="I175" s="52"/>
      <c r="J175" s="1"/>
      <c r="K175" s="52"/>
      <c r="L175" s="1"/>
      <c r="M175" s="52"/>
      <c r="N175" s="1"/>
      <c r="O175" s="52"/>
      <c r="P175" s="1"/>
      <c r="Q175" s="52"/>
      <c r="R175" s="1"/>
      <c r="S175" s="52"/>
      <c r="T175" s="1"/>
      <c r="U175" s="52"/>
      <c r="V175" s="1"/>
      <c r="W175" s="52"/>
      <c r="X175" s="1"/>
      <c r="Y175" s="1"/>
      <c r="Z175" s="1"/>
      <c r="AA175" s="1"/>
      <c r="AB175" s="1"/>
      <c r="AC175" s="1"/>
      <c r="AD175" s="1"/>
      <c r="AF175" s="1"/>
      <c r="AH175" s="1"/>
      <c r="AJ175" s="1"/>
      <c r="AL175" s="1"/>
      <c r="AN175" s="1"/>
      <c r="AP175" s="1"/>
      <c r="AR175" s="1"/>
      <c r="AT175" s="1"/>
      <c r="AV175" s="1"/>
      <c r="AX175" s="1"/>
      <c r="AZ175" s="1"/>
      <c r="BB175" s="1"/>
      <c r="BD175" s="1"/>
      <c r="BF175" s="1"/>
      <c r="BH175" s="1"/>
      <c r="BJ175" s="1"/>
      <c r="BL175" s="1"/>
      <c r="BN175" s="1"/>
      <c r="BP175" s="1"/>
      <c r="BR175" s="1"/>
      <c r="BT175" s="1"/>
      <c r="BV175" s="1"/>
      <c r="BX175" s="1"/>
      <c r="BZ175" s="1"/>
      <c r="CB175" s="1"/>
      <c r="CD175" s="1"/>
      <c r="CF175" s="1"/>
      <c r="CH175" s="1"/>
    </row>
    <row r="176" spans="1:86" ht="13.5" customHeight="1" x14ac:dyDescent="0.2">
      <c r="A176" s="1"/>
      <c r="B176" s="1"/>
      <c r="C176" s="1"/>
      <c r="D176" s="1"/>
      <c r="E176" s="52"/>
      <c r="F176" s="1"/>
      <c r="G176" s="52"/>
      <c r="H176" s="1"/>
      <c r="I176" s="52"/>
      <c r="J176" s="1"/>
      <c r="K176" s="52"/>
      <c r="L176" s="1"/>
      <c r="M176" s="52"/>
      <c r="N176" s="1"/>
      <c r="O176" s="52"/>
      <c r="P176" s="1"/>
      <c r="Q176" s="52"/>
      <c r="R176" s="1"/>
      <c r="S176" s="52"/>
      <c r="T176" s="1"/>
      <c r="U176" s="52"/>
      <c r="V176" s="1"/>
      <c r="W176" s="52"/>
      <c r="X176" s="1"/>
      <c r="Y176" s="1"/>
      <c r="Z176" s="1"/>
      <c r="AA176" s="1"/>
      <c r="AB176" s="1"/>
      <c r="AC176" s="1"/>
      <c r="AD176" s="1"/>
      <c r="AF176" s="1"/>
      <c r="AH176" s="1"/>
      <c r="AJ176" s="1"/>
      <c r="AL176" s="1"/>
      <c r="AN176" s="1"/>
      <c r="AP176" s="1"/>
      <c r="AR176" s="1"/>
      <c r="AT176" s="1"/>
      <c r="AV176" s="1"/>
      <c r="AX176" s="1"/>
      <c r="AZ176" s="1"/>
      <c r="BB176" s="1"/>
      <c r="BD176" s="1"/>
      <c r="BF176" s="1"/>
      <c r="BH176" s="1"/>
      <c r="BJ176" s="1"/>
      <c r="BL176" s="1"/>
      <c r="BN176" s="1"/>
      <c r="BP176" s="1"/>
      <c r="BR176" s="1"/>
      <c r="BT176" s="1"/>
      <c r="BV176" s="1"/>
      <c r="BX176" s="1"/>
      <c r="BZ176" s="1"/>
      <c r="CB176" s="1"/>
      <c r="CD176" s="1"/>
      <c r="CF176" s="1"/>
      <c r="CH176" s="1"/>
    </row>
    <row r="177" spans="1:86" ht="13.5" customHeight="1" x14ac:dyDescent="0.2">
      <c r="A177" s="1"/>
      <c r="B177" s="1"/>
      <c r="C177" s="1"/>
      <c r="D177" s="1"/>
      <c r="E177" s="52"/>
      <c r="F177" s="1"/>
      <c r="G177" s="52"/>
      <c r="H177" s="1"/>
      <c r="I177" s="52"/>
      <c r="J177" s="1"/>
      <c r="K177" s="52"/>
      <c r="L177" s="1"/>
      <c r="M177" s="52"/>
      <c r="N177" s="1"/>
      <c r="O177" s="52"/>
      <c r="P177" s="1"/>
      <c r="Q177" s="52"/>
      <c r="R177" s="1"/>
      <c r="S177" s="52"/>
      <c r="T177" s="1"/>
      <c r="U177" s="52"/>
      <c r="V177" s="1"/>
      <c r="W177" s="52"/>
      <c r="X177" s="1"/>
      <c r="Y177" s="1"/>
      <c r="Z177" s="1"/>
      <c r="AA177" s="1"/>
      <c r="AB177" s="1"/>
      <c r="AC177" s="1"/>
      <c r="AD177" s="1"/>
      <c r="AF177" s="1"/>
      <c r="AH177" s="1"/>
      <c r="AJ177" s="1"/>
      <c r="AL177" s="1"/>
      <c r="AN177" s="1"/>
      <c r="AP177" s="1"/>
      <c r="AR177" s="1"/>
      <c r="AT177" s="1"/>
      <c r="AV177" s="1"/>
      <c r="AX177" s="1"/>
      <c r="AZ177" s="1"/>
      <c r="BB177" s="1"/>
      <c r="BD177" s="1"/>
      <c r="BF177" s="1"/>
      <c r="BH177" s="1"/>
      <c r="BJ177" s="1"/>
      <c r="BL177" s="1"/>
      <c r="BN177" s="1"/>
      <c r="BP177" s="1"/>
      <c r="BR177" s="1"/>
      <c r="BT177" s="1"/>
      <c r="BV177" s="1"/>
      <c r="BX177" s="1"/>
      <c r="BZ177" s="1"/>
      <c r="CB177" s="1"/>
      <c r="CD177" s="1"/>
      <c r="CF177" s="1"/>
      <c r="CH177" s="1"/>
    </row>
    <row r="178" spans="1:86" ht="13.5" customHeight="1" x14ac:dyDescent="0.2">
      <c r="A178" s="1"/>
      <c r="B178" s="1"/>
      <c r="C178" s="1"/>
      <c r="D178" s="1"/>
      <c r="E178" s="52"/>
      <c r="F178" s="1"/>
      <c r="G178" s="52"/>
      <c r="H178" s="1"/>
      <c r="I178" s="52"/>
      <c r="J178" s="1"/>
      <c r="K178" s="52"/>
      <c r="L178" s="1"/>
      <c r="M178" s="52"/>
      <c r="N178" s="1"/>
      <c r="O178" s="52"/>
      <c r="P178" s="1"/>
      <c r="Q178" s="52"/>
      <c r="R178" s="1"/>
      <c r="S178" s="52"/>
      <c r="T178" s="1"/>
      <c r="U178" s="52"/>
      <c r="V178" s="1"/>
      <c r="W178" s="52"/>
      <c r="X178" s="1"/>
      <c r="Y178" s="1"/>
      <c r="Z178" s="1"/>
      <c r="AA178" s="1"/>
      <c r="AB178" s="1"/>
      <c r="AC178" s="1"/>
      <c r="AD178" s="1"/>
      <c r="AF178" s="1"/>
      <c r="AH178" s="1"/>
      <c r="AJ178" s="1"/>
      <c r="AL178" s="1"/>
      <c r="AN178" s="1"/>
      <c r="AP178" s="1"/>
      <c r="AR178" s="1"/>
      <c r="AT178" s="1"/>
      <c r="AV178" s="1"/>
      <c r="AX178" s="1"/>
      <c r="AZ178" s="1"/>
      <c r="BB178" s="1"/>
      <c r="BD178" s="1"/>
      <c r="BF178" s="1"/>
      <c r="BH178" s="1"/>
      <c r="BJ178" s="1"/>
      <c r="BL178" s="1"/>
      <c r="BN178" s="1"/>
      <c r="BP178" s="1"/>
      <c r="BR178" s="1"/>
      <c r="BT178" s="1"/>
      <c r="BV178" s="1"/>
      <c r="BX178" s="1"/>
      <c r="BZ178" s="1"/>
      <c r="CB178" s="1"/>
      <c r="CD178" s="1"/>
      <c r="CF178" s="1"/>
      <c r="CH178" s="1"/>
    </row>
    <row r="179" spans="1:86" ht="13.5" customHeight="1" x14ac:dyDescent="0.2">
      <c r="A179" s="1"/>
      <c r="B179" s="1"/>
      <c r="C179" s="1"/>
      <c r="D179" s="1"/>
      <c r="E179" s="52"/>
      <c r="F179" s="1"/>
      <c r="G179" s="52"/>
      <c r="H179" s="1"/>
      <c r="I179" s="52"/>
      <c r="J179" s="1"/>
      <c r="K179" s="52"/>
      <c r="L179" s="1"/>
      <c r="M179" s="52"/>
      <c r="N179" s="1"/>
      <c r="O179" s="52"/>
      <c r="P179" s="1"/>
      <c r="Q179" s="52"/>
      <c r="R179" s="1"/>
      <c r="S179" s="52"/>
      <c r="T179" s="1"/>
      <c r="U179" s="52"/>
      <c r="V179" s="1"/>
      <c r="W179" s="52"/>
      <c r="X179" s="1"/>
      <c r="Y179" s="1"/>
      <c r="Z179" s="1"/>
      <c r="AA179" s="1"/>
      <c r="AB179" s="1"/>
      <c r="AC179" s="1"/>
      <c r="AD179" s="1"/>
      <c r="AF179" s="1"/>
      <c r="AH179" s="1"/>
      <c r="AJ179" s="1"/>
      <c r="AL179" s="1"/>
      <c r="AN179" s="1"/>
      <c r="AP179" s="1"/>
      <c r="AR179" s="1"/>
      <c r="AT179" s="1"/>
      <c r="AV179" s="1"/>
      <c r="AX179" s="1"/>
      <c r="AZ179" s="1"/>
      <c r="BB179" s="1"/>
      <c r="BD179" s="1"/>
      <c r="BF179" s="1"/>
      <c r="BH179" s="1"/>
      <c r="BJ179" s="1"/>
      <c r="BL179" s="1"/>
      <c r="BN179" s="1"/>
      <c r="BP179" s="1"/>
      <c r="BR179" s="1"/>
      <c r="BT179" s="1"/>
      <c r="BV179" s="1"/>
      <c r="BX179" s="1"/>
      <c r="BZ179" s="1"/>
      <c r="CB179" s="1"/>
      <c r="CD179" s="1"/>
      <c r="CF179" s="1"/>
      <c r="CH179" s="1"/>
    </row>
    <row r="180" spans="1:86" ht="13.5" customHeight="1" x14ac:dyDescent="0.2">
      <c r="A180" s="1"/>
      <c r="B180" s="1"/>
      <c r="C180" s="1"/>
      <c r="D180" s="1"/>
      <c r="E180" s="52"/>
      <c r="F180" s="1"/>
      <c r="G180" s="52"/>
      <c r="H180" s="1"/>
      <c r="I180" s="52"/>
      <c r="J180" s="1"/>
      <c r="K180" s="52"/>
      <c r="L180" s="1"/>
      <c r="M180" s="52"/>
      <c r="N180" s="1"/>
      <c r="O180" s="52"/>
      <c r="P180" s="1"/>
      <c r="Q180" s="52"/>
      <c r="R180" s="1"/>
      <c r="S180" s="52"/>
      <c r="T180" s="1"/>
      <c r="U180" s="52"/>
      <c r="V180" s="1"/>
      <c r="W180" s="52"/>
      <c r="X180" s="1"/>
      <c r="Y180" s="1"/>
      <c r="Z180" s="1"/>
      <c r="AA180" s="1"/>
      <c r="AB180" s="1"/>
      <c r="AC180" s="1"/>
      <c r="AD180" s="1"/>
      <c r="AF180" s="1"/>
      <c r="AH180" s="1"/>
      <c r="AJ180" s="1"/>
      <c r="AL180" s="1"/>
      <c r="AN180" s="1"/>
      <c r="AP180" s="1"/>
      <c r="AR180" s="1"/>
      <c r="AT180" s="1"/>
      <c r="AV180" s="1"/>
      <c r="AX180" s="1"/>
      <c r="AZ180" s="1"/>
      <c r="BB180" s="1"/>
      <c r="BD180" s="1"/>
      <c r="BF180" s="1"/>
      <c r="BH180" s="1"/>
      <c r="BJ180" s="1"/>
      <c r="BL180" s="1"/>
      <c r="BN180" s="1"/>
      <c r="BP180" s="1"/>
      <c r="BR180" s="1"/>
      <c r="BT180" s="1"/>
      <c r="BV180" s="1"/>
      <c r="BX180" s="1"/>
      <c r="BZ180" s="1"/>
      <c r="CB180" s="1"/>
      <c r="CD180" s="1"/>
      <c r="CF180" s="1"/>
      <c r="CH180" s="1"/>
    </row>
    <row r="181" spans="1:86" ht="13.5" customHeight="1" x14ac:dyDescent="0.2">
      <c r="A181" s="1"/>
      <c r="B181" s="1"/>
      <c r="C181" s="1"/>
      <c r="D181" s="1"/>
      <c r="E181" s="52"/>
      <c r="F181" s="1"/>
      <c r="G181" s="52"/>
      <c r="H181" s="1"/>
      <c r="I181" s="52"/>
      <c r="J181" s="1"/>
      <c r="K181" s="52"/>
      <c r="L181" s="1"/>
      <c r="M181" s="52"/>
      <c r="N181" s="1"/>
      <c r="O181" s="52"/>
      <c r="P181" s="1"/>
      <c r="Q181" s="52"/>
      <c r="R181" s="1"/>
      <c r="S181" s="52"/>
      <c r="T181" s="1"/>
      <c r="U181" s="52"/>
      <c r="V181" s="1"/>
      <c r="W181" s="52"/>
      <c r="X181" s="1"/>
      <c r="Y181" s="1"/>
      <c r="Z181" s="1"/>
      <c r="AA181" s="1"/>
      <c r="AB181" s="1"/>
      <c r="AC181" s="1"/>
      <c r="AD181" s="1"/>
      <c r="AF181" s="1"/>
      <c r="AH181" s="1"/>
      <c r="AJ181" s="1"/>
      <c r="AL181" s="1"/>
      <c r="AN181" s="1"/>
      <c r="AP181" s="1"/>
      <c r="AR181" s="1"/>
      <c r="AT181" s="1"/>
      <c r="AV181" s="1"/>
      <c r="AX181" s="1"/>
      <c r="AZ181" s="1"/>
      <c r="BB181" s="1"/>
      <c r="BD181" s="1"/>
      <c r="BF181" s="1"/>
      <c r="BH181" s="1"/>
      <c r="BJ181" s="1"/>
      <c r="BL181" s="1"/>
      <c r="BN181" s="1"/>
      <c r="BP181" s="1"/>
      <c r="BR181" s="1"/>
      <c r="BT181" s="1"/>
      <c r="BV181" s="1"/>
      <c r="BX181" s="1"/>
      <c r="BZ181" s="1"/>
      <c r="CB181" s="1"/>
      <c r="CD181" s="1"/>
      <c r="CF181" s="1"/>
      <c r="CH181" s="1"/>
    </row>
    <row r="182" spans="1:86" ht="13.5" customHeight="1" x14ac:dyDescent="0.2">
      <c r="A182" s="1"/>
      <c r="B182" s="1"/>
      <c r="C182" s="1"/>
      <c r="D182" s="1"/>
      <c r="E182" s="52"/>
      <c r="F182" s="1"/>
      <c r="G182" s="52"/>
      <c r="H182" s="1"/>
      <c r="I182" s="52"/>
      <c r="J182" s="1"/>
      <c r="K182" s="52"/>
      <c r="L182" s="1"/>
      <c r="M182" s="52"/>
      <c r="N182" s="1"/>
      <c r="O182" s="52"/>
      <c r="P182" s="1"/>
      <c r="Q182" s="52"/>
      <c r="R182" s="1"/>
      <c r="S182" s="52"/>
      <c r="T182" s="1"/>
      <c r="U182" s="52"/>
      <c r="V182" s="1"/>
      <c r="W182" s="52"/>
      <c r="X182" s="1"/>
      <c r="Y182" s="1"/>
      <c r="Z182" s="1"/>
      <c r="AA182" s="1"/>
      <c r="AB182" s="1"/>
      <c r="AC182" s="1"/>
      <c r="AD182" s="1"/>
      <c r="AF182" s="1"/>
      <c r="AH182" s="1"/>
      <c r="AJ182" s="1"/>
      <c r="AL182" s="1"/>
      <c r="AN182" s="1"/>
      <c r="AP182" s="1"/>
      <c r="AR182" s="1"/>
      <c r="AT182" s="1"/>
      <c r="AV182" s="1"/>
      <c r="AX182" s="1"/>
      <c r="AZ182" s="1"/>
      <c r="BB182" s="1"/>
      <c r="BD182" s="1"/>
      <c r="BF182" s="1"/>
      <c r="BH182" s="1"/>
      <c r="BJ182" s="1"/>
      <c r="BL182" s="1"/>
      <c r="BN182" s="1"/>
      <c r="BP182" s="1"/>
      <c r="BR182" s="1"/>
      <c r="BT182" s="1"/>
      <c r="BV182" s="1"/>
      <c r="BX182" s="1"/>
      <c r="BZ182" s="1"/>
      <c r="CB182" s="1"/>
      <c r="CD182" s="1"/>
      <c r="CF182" s="1"/>
      <c r="CH182" s="1"/>
    </row>
    <row r="183" spans="1:86" ht="13.5" customHeight="1" x14ac:dyDescent="0.2">
      <c r="A183" s="1"/>
      <c r="B183" s="1"/>
      <c r="C183" s="1"/>
      <c r="D183" s="1"/>
      <c r="E183" s="52"/>
      <c r="F183" s="1"/>
      <c r="G183" s="52"/>
      <c r="H183" s="1"/>
      <c r="I183" s="52"/>
      <c r="J183" s="1"/>
      <c r="K183" s="52"/>
      <c r="L183" s="1"/>
      <c r="M183" s="52"/>
      <c r="N183" s="1"/>
      <c r="O183" s="52"/>
      <c r="P183" s="1"/>
      <c r="Q183" s="52"/>
      <c r="R183" s="1"/>
      <c r="S183" s="52"/>
      <c r="T183" s="1"/>
      <c r="U183" s="52"/>
      <c r="V183" s="1"/>
      <c r="W183" s="52"/>
      <c r="X183" s="1"/>
      <c r="Y183" s="1"/>
      <c r="Z183" s="1"/>
      <c r="AA183" s="1"/>
      <c r="AB183" s="1"/>
      <c r="AC183" s="1"/>
      <c r="AD183" s="1"/>
      <c r="AF183" s="1"/>
      <c r="AH183" s="1"/>
      <c r="AJ183" s="1"/>
      <c r="AL183" s="1"/>
      <c r="AN183" s="1"/>
      <c r="AP183" s="1"/>
      <c r="AR183" s="1"/>
      <c r="AT183" s="1"/>
      <c r="AV183" s="1"/>
      <c r="AX183" s="1"/>
      <c r="AZ183" s="1"/>
      <c r="BB183" s="1"/>
      <c r="BD183" s="1"/>
      <c r="BF183" s="1"/>
      <c r="BH183" s="1"/>
      <c r="BJ183" s="1"/>
      <c r="BL183" s="1"/>
      <c r="BN183" s="1"/>
      <c r="BP183" s="1"/>
      <c r="BR183" s="1"/>
      <c r="BT183" s="1"/>
      <c r="BV183" s="1"/>
      <c r="BX183" s="1"/>
      <c r="BZ183" s="1"/>
      <c r="CB183" s="1"/>
      <c r="CD183" s="1"/>
      <c r="CF183" s="1"/>
      <c r="CH183" s="1"/>
    </row>
    <row r="184" spans="1:86" ht="13.5" customHeight="1" x14ac:dyDescent="0.2">
      <c r="A184" s="1"/>
      <c r="B184" s="1"/>
      <c r="C184" s="1"/>
      <c r="D184" s="1"/>
      <c r="E184" s="52"/>
      <c r="F184" s="1"/>
      <c r="G184" s="52"/>
      <c r="H184" s="1"/>
      <c r="I184" s="52"/>
      <c r="J184" s="1"/>
      <c r="K184" s="52"/>
      <c r="L184" s="1"/>
      <c r="M184" s="52"/>
      <c r="N184" s="1"/>
      <c r="O184" s="52"/>
      <c r="P184" s="1"/>
      <c r="Q184" s="52"/>
      <c r="R184" s="1"/>
      <c r="S184" s="52"/>
      <c r="T184" s="1"/>
      <c r="U184" s="52"/>
      <c r="V184" s="1"/>
      <c r="W184" s="52"/>
      <c r="X184" s="1"/>
      <c r="Y184" s="1"/>
      <c r="Z184" s="1"/>
      <c r="AA184" s="1"/>
      <c r="AB184" s="1"/>
      <c r="AC184" s="1"/>
      <c r="AD184" s="1"/>
      <c r="AF184" s="1"/>
      <c r="AH184" s="1"/>
      <c r="AJ184" s="1"/>
      <c r="AL184" s="1"/>
      <c r="AN184" s="1"/>
      <c r="AP184" s="1"/>
      <c r="AR184" s="1"/>
      <c r="AT184" s="1"/>
      <c r="AV184" s="1"/>
      <c r="AX184" s="1"/>
      <c r="AZ184" s="1"/>
      <c r="BB184" s="1"/>
      <c r="BD184" s="1"/>
      <c r="BF184" s="1"/>
      <c r="BH184" s="1"/>
      <c r="BJ184" s="1"/>
      <c r="BL184" s="1"/>
      <c r="BN184" s="1"/>
      <c r="BP184" s="1"/>
      <c r="BR184" s="1"/>
      <c r="BT184" s="1"/>
      <c r="BV184" s="1"/>
      <c r="BX184" s="1"/>
      <c r="BZ184" s="1"/>
      <c r="CB184" s="1"/>
      <c r="CD184" s="1"/>
      <c r="CF184" s="1"/>
      <c r="CH184" s="1"/>
    </row>
    <row r="185" spans="1:86" ht="13.5" customHeight="1" x14ac:dyDescent="0.2">
      <c r="A185" s="1"/>
      <c r="B185" s="1"/>
      <c r="C185" s="1"/>
      <c r="D185" s="1"/>
      <c r="E185" s="52"/>
      <c r="F185" s="1"/>
      <c r="G185" s="52"/>
      <c r="H185" s="1"/>
      <c r="I185" s="52"/>
      <c r="J185" s="1"/>
      <c r="K185" s="52"/>
      <c r="L185" s="1"/>
      <c r="M185" s="52"/>
      <c r="N185" s="1"/>
      <c r="O185" s="52"/>
      <c r="P185" s="1"/>
      <c r="Q185" s="52"/>
      <c r="R185" s="1"/>
      <c r="S185" s="52"/>
      <c r="T185" s="1"/>
      <c r="U185" s="52"/>
      <c r="V185" s="1"/>
      <c r="W185" s="52"/>
      <c r="X185" s="1"/>
      <c r="Y185" s="1"/>
      <c r="Z185" s="1"/>
      <c r="AA185" s="1"/>
      <c r="AB185" s="1"/>
      <c r="AC185" s="1"/>
      <c r="AD185" s="1"/>
      <c r="AF185" s="1"/>
      <c r="AH185" s="1"/>
      <c r="AJ185" s="1"/>
      <c r="AL185" s="1"/>
      <c r="AN185" s="1"/>
      <c r="AP185" s="1"/>
      <c r="AR185" s="1"/>
      <c r="AT185" s="1"/>
      <c r="AV185" s="1"/>
      <c r="AX185" s="1"/>
      <c r="AZ185" s="1"/>
      <c r="BB185" s="1"/>
      <c r="BD185" s="1"/>
      <c r="BF185" s="1"/>
      <c r="BH185" s="1"/>
      <c r="BJ185" s="1"/>
      <c r="BL185" s="1"/>
      <c r="BN185" s="1"/>
      <c r="BP185" s="1"/>
      <c r="BR185" s="1"/>
      <c r="BT185" s="1"/>
      <c r="BV185" s="1"/>
      <c r="BX185" s="1"/>
      <c r="BZ185" s="1"/>
      <c r="CB185" s="1"/>
      <c r="CD185" s="1"/>
      <c r="CF185" s="1"/>
      <c r="CH185" s="1"/>
    </row>
    <row r="186" spans="1:86" ht="13.5" customHeight="1" x14ac:dyDescent="0.2">
      <c r="A186" s="1"/>
      <c r="B186" s="1"/>
      <c r="C186" s="1"/>
      <c r="D186" s="1"/>
      <c r="E186" s="52"/>
      <c r="F186" s="1"/>
      <c r="G186" s="52"/>
      <c r="H186" s="1"/>
      <c r="I186" s="52"/>
      <c r="J186" s="1"/>
      <c r="K186" s="52"/>
      <c r="L186" s="1"/>
      <c r="M186" s="52"/>
      <c r="N186" s="1"/>
      <c r="O186" s="52"/>
      <c r="P186" s="1"/>
      <c r="Q186" s="52"/>
      <c r="R186" s="1"/>
      <c r="S186" s="52"/>
      <c r="T186" s="1"/>
      <c r="U186" s="52"/>
      <c r="V186" s="1"/>
      <c r="W186" s="52"/>
      <c r="X186" s="1"/>
      <c r="Y186" s="1"/>
      <c r="Z186" s="1"/>
      <c r="AA186" s="1"/>
      <c r="AB186" s="1"/>
      <c r="AC186" s="1"/>
      <c r="AD186" s="1"/>
      <c r="AF186" s="1"/>
      <c r="AH186" s="1"/>
      <c r="AJ186" s="1"/>
      <c r="AL186" s="1"/>
      <c r="AN186" s="1"/>
      <c r="AP186" s="1"/>
      <c r="AR186" s="1"/>
      <c r="AT186" s="1"/>
      <c r="AV186" s="1"/>
      <c r="AX186" s="1"/>
      <c r="AZ186" s="1"/>
      <c r="BB186" s="1"/>
      <c r="BD186" s="1"/>
      <c r="BF186" s="1"/>
      <c r="BH186" s="1"/>
      <c r="BJ186" s="1"/>
      <c r="BL186" s="1"/>
      <c r="BN186" s="1"/>
      <c r="BP186" s="1"/>
      <c r="BR186" s="1"/>
      <c r="BT186" s="1"/>
      <c r="BV186" s="1"/>
      <c r="BX186" s="1"/>
      <c r="BZ186" s="1"/>
      <c r="CB186" s="1"/>
      <c r="CD186" s="1"/>
      <c r="CF186" s="1"/>
      <c r="CH186" s="1"/>
    </row>
    <row r="187" spans="1:86" ht="13.5" customHeight="1" x14ac:dyDescent="0.2">
      <c r="A187" s="1"/>
      <c r="B187" s="1"/>
      <c r="C187" s="1"/>
      <c r="D187" s="1"/>
      <c r="E187" s="52"/>
      <c r="F187" s="1"/>
      <c r="G187" s="52"/>
      <c r="H187" s="1"/>
      <c r="I187" s="52"/>
      <c r="J187" s="1"/>
      <c r="K187" s="52"/>
      <c r="L187" s="1"/>
      <c r="M187" s="52"/>
      <c r="N187" s="1"/>
      <c r="O187" s="52"/>
      <c r="P187" s="1"/>
      <c r="Q187" s="52"/>
      <c r="R187" s="1"/>
      <c r="S187" s="52"/>
      <c r="T187" s="1"/>
      <c r="U187" s="52"/>
      <c r="V187" s="1"/>
      <c r="W187" s="52"/>
      <c r="X187" s="1"/>
      <c r="Y187" s="1"/>
      <c r="Z187" s="1"/>
      <c r="AA187" s="1"/>
      <c r="AB187" s="1"/>
      <c r="AC187" s="1"/>
      <c r="AD187" s="1"/>
      <c r="AF187" s="1"/>
      <c r="AH187" s="1"/>
      <c r="AJ187" s="1"/>
      <c r="AL187" s="1"/>
      <c r="AN187" s="1"/>
      <c r="AP187" s="1"/>
      <c r="AR187" s="1"/>
      <c r="AT187" s="1"/>
      <c r="AV187" s="1"/>
      <c r="AX187" s="1"/>
      <c r="AZ187" s="1"/>
      <c r="BB187" s="1"/>
      <c r="BD187" s="1"/>
      <c r="BF187" s="1"/>
      <c r="BH187" s="1"/>
      <c r="BJ187" s="1"/>
      <c r="BL187" s="1"/>
      <c r="BN187" s="1"/>
      <c r="BP187" s="1"/>
      <c r="BR187" s="1"/>
      <c r="BT187" s="1"/>
      <c r="BV187" s="1"/>
      <c r="BX187" s="1"/>
      <c r="BZ187" s="1"/>
      <c r="CB187" s="1"/>
      <c r="CD187" s="1"/>
      <c r="CF187" s="1"/>
      <c r="CH187" s="1"/>
    </row>
    <row r="188" spans="1:86" ht="13.5" customHeight="1" x14ac:dyDescent="0.2">
      <c r="A188" s="1"/>
      <c r="B188" s="1"/>
      <c r="C188" s="1"/>
      <c r="D188" s="1"/>
      <c r="E188" s="52"/>
      <c r="F188" s="1"/>
      <c r="G188" s="52"/>
      <c r="H188" s="1"/>
      <c r="I188" s="52"/>
      <c r="J188" s="1"/>
      <c r="K188" s="52"/>
      <c r="L188" s="1"/>
      <c r="M188" s="52"/>
      <c r="N188" s="1"/>
      <c r="O188" s="52"/>
      <c r="P188" s="1"/>
      <c r="Q188" s="52"/>
      <c r="R188" s="1"/>
      <c r="S188" s="52"/>
      <c r="T188" s="1"/>
      <c r="U188" s="52"/>
      <c r="V188" s="1"/>
      <c r="W188" s="52"/>
      <c r="X188" s="1"/>
      <c r="Y188" s="1"/>
      <c r="Z188" s="1"/>
      <c r="AA188" s="1"/>
      <c r="AB188" s="1"/>
      <c r="AC188" s="1"/>
      <c r="AD188" s="1"/>
      <c r="AF188" s="1"/>
      <c r="AH188" s="1"/>
      <c r="AJ188" s="1"/>
      <c r="AL188" s="1"/>
      <c r="AN188" s="1"/>
      <c r="AP188" s="1"/>
      <c r="AR188" s="1"/>
      <c r="AT188" s="1"/>
      <c r="AV188" s="1"/>
      <c r="AX188" s="1"/>
      <c r="AZ188" s="1"/>
      <c r="BB188" s="1"/>
      <c r="BD188" s="1"/>
      <c r="BF188" s="1"/>
      <c r="BH188" s="1"/>
      <c r="BJ188" s="1"/>
      <c r="BL188" s="1"/>
      <c r="BN188" s="1"/>
      <c r="BP188" s="1"/>
      <c r="BR188" s="1"/>
      <c r="BT188" s="1"/>
      <c r="BV188" s="1"/>
      <c r="BX188" s="1"/>
      <c r="BZ188" s="1"/>
      <c r="CB188" s="1"/>
      <c r="CD188" s="1"/>
      <c r="CF188" s="1"/>
      <c r="CH188" s="1"/>
    </row>
    <row r="189" spans="1:86" ht="13.5" customHeight="1" x14ac:dyDescent="0.2">
      <c r="A189" s="1"/>
      <c r="B189" s="1"/>
      <c r="C189" s="1"/>
      <c r="D189" s="1"/>
      <c r="E189" s="52"/>
      <c r="F189" s="1"/>
      <c r="G189" s="52"/>
      <c r="H189" s="1"/>
      <c r="I189" s="52"/>
      <c r="J189" s="1"/>
      <c r="K189" s="52"/>
      <c r="L189" s="1"/>
      <c r="M189" s="52"/>
      <c r="N189" s="1"/>
      <c r="O189" s="52"/>
      <c r="P189" s="1"/>
      <c r="Q189" s="52"/>
      <c r="R189" s="1"/>
      <c r="S189" s="52"/>
      <c r="T189" s="1"/>
      <c r="U189" s="52"/>
      <c r="V189" s="1"/>
      <c r="W189" s="52"/>
      <c r="X189" s="1"/>
      <c r="Y189" s="1"/>
      <c r="Z189" s="1"/>
      <c r="AA189" s="1"/>
      <c r="AB189" s="1"/>
      <c r="AC189" s="1"/>
      <c r="AD189" s="1"/>
      <c r="AF189" s="1"/>
      <c r="AH189" s="1"/>
      <c r="AJ189" s="1"/>
      <c r="AL189" s="1"/>
      <c r="AN189" s="1"/>
      <c r="AP189" s="1"/>
      <c r="AR189" s="1"/>
      <c r="AT189" s="1"/>
      <c r="AV189" s="1"/>
      <c r="AX189" s="1"/>
      <c r="AZ189" s="1"/>
      <c r="BB189" s="1"/>
      <c r="BD189" s="1"/>
      <c r="BF189" s="1"/>
      <c r="BH189" s="1"/>
      <c r="BJ189" s="1"/>
      <c r="BL189" s="1"/>
      <c r="BN189" s="1"/>
      <c r="BP189" s="1"/>
      <c r="BR189" s="1"/>
      <c r="BT189" s="1"/>
      <c r="BV189" s="1"/>
      <c r="BX189" s="1"/>
      <c r="BZ189" s="1"/>
      <c r="CB189" s="1"/>
      <c r="CD189" s="1"/>
      <c r="CF189" s="1"/>
      <c r="CH189" s="1"/>
    </row>
    <row r="190" spans="1:86" ht="13.5" customHeight="1" x14ac:dyDescent="0.2">
      <c r="A190" s="1"/>
      <c r="B190" s="1"/>
      <c r="C190" s="1"/>
      <c r="D190" s="1"/>
      <c r="E190" s="52"/>
      <c r="F190" s="1"/>
      <c r="G190" s="52"/>
      <c r="H190" s="1"/>
      <c r="I190" s="52"/>
      <c r="J190" s="1"/>
      <c r="K190" s="52"/>
      <c r="L190" s="1"/>
      <c r="M190" s="52"/>
      <c r="N190" s="1"/>
      <c r="O190" s="52"/>
      <c r="P190" s="1"/>
      <c r="Q190" s="52"/>
      <c r="R190" s="1"/>
      <c r="S190" s="52"/>
      <c r="T190" s="1"/>
      <c r="U190" s="52"/>
      <c r="V190" s="1"/>
      <c r="W190" s="52"/>
      <c r="X190" s="1"/>
      <c r="Y190" s="1"/>
      <c r="Z190" s="1"/>
      <c r="AA190" s="1"/>
      <c r="AB190" s="1"/>
      <c r="AC190" s="1"/>
      <c r="AD190" s="1"/>
      <c r="AF190" s="1"/>
      <c r="AH190" s="1"/>
      <c r="AJ190" s="1"/>
      <c r="AL190" s="1"/>
      <c r="AN190" s="1"/>
      <c r="AP190" s="1"/>
      <c r="AR190" s="1"/>
      <c r="AT190" s="1"/>
      <c r="AV190" s="1"/>
      <c r="AX190" s="1"/>
      <c r="AZ190" s="1"/>
      <c r="BB190" s="1"/>
      <c r="BD190" s="1"/>
      <c r="BF190" s="1"/>
      <c r="BH190" s="1"/>
      <c r="BJ190" s="1"/>
      <c r="BL190" s="1"/>
      <c r="BN190" s="1"/>
      <c r="BP190" s="1"/>
      <c r="BR190" s="1"/>
      <c r="BT190" s="1"/>
      <c r="BV190" s="1"/>
      <c r="BX190" s="1"/>
      <c r="BZ190" s="1"/>
      <c r="CB190" s="1"/>
      <c r="CD190" s="1"/>
      <c r="CF190" s="1"/>
      <c r="CH190" s="1"/>
    </row>
    <row r="191" spans="1:86" ht="13.5" customHeight="1" x14ac:dyDescent="0.2">
      <c r="A191" s="1"/>
      <c r="B191" s="1"/>
      <c r="C191" s="1"/>
      <c r="D191" s="1"/>
      <c r="E191" s="52"/>
      <c r="F191" s="1"/>
      <c r="G191" s="52"/>
      <c r="H191" s="1"/>
      <c r="I191" s="52"/>
      <c r="J191" s="1"/>
      <c r="K191" s="52"/>
      <c r="L191" s="1"/>
      <c r="M191" s="52"/>
      <c r="N191" s="1"/>
      <c r="O191" s="52"/>
      <c r="P191" s="1"/>
      <c r="Q191" s="52"/>
      <c r="R191" s="1"/>
      <c r="S191" s="52"/>
      <c r="T191" s="1"/>
      <c r="U191" s="52"/>
      <c r="V191" s="1"/>
      <c r="W191" s="52"/>
      <c r="X191" s="1"/>
      <c r="Y191" s="1"/>
      <c r="Z191" s="1"/>
      <c r="AA191" s="1"/>
      <c r="AB191" s="1"/>
      <c r="AC191" s="1"/>
      <c r="AD191" s="1"/>
      <c r="AF191" s="1"/>
      <c r="AH191" s="1"/>
      <c r="AJ191" s="1"/>
      <c r="AL191" s="1"/>
      <c r="AN191" s="1"/>
      <c r="AP191" s="1"/>
      <c r="AR191" s="1"/>
      <c r="AT191" s="1"/>
      <c r="AV191" s="1"/>
      <c r="AX191" s="1"/>
      <c r="AZ191" s="1"/>
      <c r="BB191" s="1"/>
      <c r="BD191" s="1"/>
      <c r="BF191" s="1"/>
      <c r="BH191" s="1"/>
      <c r="BJ191" s="1"/>
      <c r="BL191" s="1"/>
      <c r="BN191" s="1"/>
      <c r="BP191" s="1"/>
      <c r="BR191" s="1"/>
      <c r="BT191" s="1"/>
      <c r="BV191" s="1"/>
      <c r="BX191" s="1"/>
      <c r="BZ191" s="1"/>
      <c r="CB191" s="1"/>
      <c r="CD191" s="1"/>
      <c r="CF191" s="1"/>
      <c r="CH191" s="1"/>
    </row>
    <row r="192" spans="1:86" ht="13.5" customHeight="1" x14ac:dyDescent="0.2">
      <c r="A192" s="1"/>
      <c r="B192" s="1"/>
      <c r="C192" s="1"/>
      <c r="D192" s="1"/>
      <c r="E192" s="52"/>
      <c r="F192" s="1"/>
      <c r="G192" s="52"/>
      <c r="H192" s="1"/>
      <c r="I192" s="52"/>
      <c r="J192" s="1"/>
      <c r="K192" s="52"/>
      <c r="L192" s="1"/>
      <c r="M192" s="52"/>
      <c r="N192" s="1"/>
      <c r="O192" s="52"/>
      <c r="P192" s="1"/>
      <c r="Q192" s="52"/>
      <c r="R192" s="1"/>
      <c r="S192" s="52"/>
      <c r="T192" s="1"/>
      <c r="U192" s="52"/>
      <c r="V192" s="1"/>
      <c r="W192" s="52"/>
      <c r="X192" s="1"/>
      <c r="Y192" s="1"/>
      <c r="Z192" s="1"/>
      <c r="AA192" s="1"/>
      <c r="AB192" s="1"/>
      <c r="AC192" s="1"/>
      <c r="AD192" s="1"/>
      <c r="AF192" s="1"/>
      <c r="AH192" s="1"/>
      <c r="AJ192" s="1"/>
      <c r="AL192" s="1"/>
      <c r="AN192" s="1"/>
      <c r="AP192" s="1"/>
      <c r="AR192" s="1"/>
      <c r="AT192" s="1"/>
      <c r="AV192" s="1"/>
      <c r="AX192" s="1"/>
      <c r="AZ192" s="1"/>
      <c r="BB192" s="1"/>
      <c r="BD192" s="1"/>
      <c r="BF192" s="1"/>
      <c r="BH192" s="1"/>
      <c r="BJ192" s="1"/>
      <c r="BL192" s="1"/>
      <c r="BN192" s="1"/>
      <c r="BP192" s="1"/>
      <c r="BR192" s="1"/>
      <c r="BT192" s="1"/>
      <c r="BV192" s="1"/>
      <c r="BX192" s="1"/>
      <c r="BZ192" s="1"/>
      <c r="CB192" s="1"/>
      <c r="CD192" s="1"/>
      <c r="CF192" s="1"/>
      <c r="CH192" s="1"/>
    </row>
    <row r="193" spans="1:86" ht="13.5" customHeight="1" x14ac:dyDescent="0.2">
      <c r="A193" s="1"/>
      <c r="B193" s="1"/>
      <c r="C193" s="1"/>
      <c r="D193" s="1"/>
      <c r="E193" s="52"/>
      <c r="F193" s="1"/>
      <c r="G193" s="52"/>
      <c r="H193" s="1"/>
      <c r="I193" s="52"/>
      <c r="J193" s="1"/>
      <c r="K193" s="52"/>
      <c r="L193" s="1"/>
      <c r="M193" s="52"/>
      <c r="N193" s="1"/>
      <c r="O193" s="52"/>
      <c r="P193" s="1"/>
      <c r="Q193" s="52"/>
      <c r="R193" s="1"/>
      <c r="S193" s="52"/>
      <c r="T193" s="1"/>
      <c r="U193" s="52"/>
      <c r="V193" s="1"/>
      <c r="W193" s="52"/>
      <c r="X193" s="1"/>
      <c r="Y193" s="1"/>
      <c r="Z193" s="1"/>
      <c r="AA193" s="1"/>
      <c r="AB193" s="1"/>
      <c r="AC193" s="1"/>
      <c r="AD193" s="1"/>
      <c r="AF193" s="1"/>
      <c r="AH193" s="1"/>
      <c r="AJ193" s="1"/>
      <c r="AL193" s="1"/>
      <c r="AN193" s="1"/>
      <c r="AP193" s="1"/>
      <c r="AR193" s="1"/>
      <c r="AT193" s="1"/>
      <c r="AV193" s="1"/>
      <c r="AX193" s="1"/>
      <c r="AZ193" s="1"/>
      <c r="BB193" s="1"/>
      <c r="BD193" s="1"/>
      <c r="BF193" s="1"/>
      <c r="BH193" s="1"/>
      <c r="BJ193" s="1"/>
      <c r="BL193" s="1"/>
      <c r="BN193" s="1"/>
      <c r="BP193" s="1"/>
      <c r="BR193" s="1"/>
      <c r="BT193" s="1"/>
      <c r="BV193" s="1"/>
      <c r="BX193" s="1"/>
      <c r="BZ193" s="1"/>
      <c r="CB193" s="1"/>
      <c r="CD193" s="1"/>
      <c r="CF193" s="1"/>
      <c r="CH193" s="1"/>
    </row>
    <row r="194" spans="1:86" ht="13.5" customHeight="1" x14ac:dyDescent="0.2">
      <c r="A194" s="1"/>
      <c r="B194" s="1"/>
      <c r="C194" s="1"/>
      <c r="D194" s="1"/>
      <c r="E194" s="52"/>
      <c r="F194" s="1"/>
      <c r="G194" s="52"/>
      <c r="H194" s="1"/>
      <c r="I194" s="52"/>
      <c r="J194" s="1"/>
      <c r="K194" s="52"/>
      <c r="L194" s="1"/>
      <c r="M194" s="52"/>
      <c r="N194" s="1"/>
      <c r="O194" s="52"/>
      <c r="P194" s="1"/>
      <c r="Q194" s="52"/>
      <c r="R194" s="1"/>
      <c r="S194" s="52"/>
      <c r="T194" s="1"/>
      <c r="U194" s="52"/>
      <c r="V194" s="1"/>
      <c r="W194" s="52"/>
      <c r="X194" s="1"/>
      <c r="Y194" s="1"/>
      <c r="Z194" s="1"/>
      <c r="AA194" s="1"/>
      <c r="AB194" s="1"/>
      <c r="AC194" s="1"/>
      <c r="AD194" s="1"/>
      <c r="AF194" s="1"/>
      <c r="AH194" s="1"/>
      <c r="AJ194" s="1"/>
      <c r="AL194" s="1"/>
      <c r="AN194" s="1"/>
      <c r="AP194" s="1"/>
      <c r="AR194" s="1"/>
      <c r="AT194" s="1"/>
      <c r="AV194" s="1"/>
      <c r="AX194" s="1"/>
      <c r="AZ194" s="1"/>
      <c r="BB194" s="1"/>
      <c r="BD194" s="1"/>
      <c r="BF194" s="1"/>
      <c r="BH194" s="1"/>
      <c r="BJ194" s="1"/>
      <c r="BL194" s="1"/>
      <c r="BN194" s="1"/>
      <c r="BP194" s="1"/>
      <c r="BR194" s="1"/>
      <c r="BT194" s="1"/>
      <c r="BV194" s="1"/>
      <c r="BX194" s="1"/>
      <c r="BZ194" s="1"/>
      <c r="CB194" s="1"/>
      <c r="CD194" s="1"/>
      <c r="CF194" s="1"/>
      <c r="CH194" s="1"/>
    </row>
    <row r="195" spans="1:86" ht="13.5" customHeight="1" x14ac:dyDescent="0.2">
      <c r="A195" s="1"/>
      <c r="B195" s="1"/>
      <c r="C195" s="1"/>
      <c r="D195" s="1"/>
      <c r="E195" s="52"/>
      <c r="F195" s="1"/>
      <c r="G195" s="52"/>
      <c r="H195" s="1"/>
      <c r="I195" s="52"/>
      <c r="J195" s="1"/>
      <c r="K195" s="52"/>
      <c r="L195" s="1"/>
      <c r="M195" s="52"/>
      <c r="N195" s="1"/>
      <c r="O195" s="52"/>
      <c r="P195" s="1"/>
      <c r="Q195" s="52"/>
      <c r="R195" s="1"/>
      <c r="S195" s="52"/>
      <c r="T195" s="1"/>
      <c r="U195" s="52"/>
      <c r="V195" s="1"/>
      <c r="W195" s="52"/>
      <c r="X195" s="1"/>
      <c r="Y195" s="1"/>
      <c r="Z195" s="1"/>
      <c r="AA195" s="1"/>
      <c r="AB195" s="1"/>
      <c r="AC195" s="1"/>
      <c r="AD195" s="1"/>
      <c r="AF195" s="1"/>
      <c r="AH195" s="1"/>
      <c r="AJ195" s="1"/>
      <c r="AL195" s="1"/>
      <c r="AN195" s="1"/>
      <c r="AP195" s="1"/>
      <c r="AR195" s="1"/>
      <c r="AT195" s="1"/>
      <c r="AV195" s="1"/>
      <c r="AX195" s="1"/>
      <c r="AZ195" s="1"/>
      <c r="BB195" s="1"/>
      <c r="BD195" s="1"/>
      <c r="BF195" s="1"/>
      <c r="BH195" s="1"/>
      <c r="BJ195" s="1"/>
      <c r="BL195" s="1"/>
      <c r="BN195" s="1"/>
      <c r="BP195" s="1"/>
      <c r="BR195" s="1"/>
      <c r="BT195" s="1"/>
      <c r="BV195" s="1"/>
      <c r="BX195" s="1"/>
      <c r="BZ195" s="1"/>
      <c r="CB195" s="1"/>
      <c r="CD195" s="1"/>
      <c r="CF195" s="1"/>
      <c r="CH195" s="1"/>
    </row>
    <row r="196" spans="1:86" ht="13.5" customHeight="1" x14ac:dyDescent="0.2">
      <c r="A196" s="1"/>
      <c r="B196" s="1"/>
      <c r="C196" s="1"/>
      <c r="D196" s="1"/>
      <c r="E196" s="52"/>
      <c r="F196" s="1"/>
      <c r="G196" s="52"/>
      <c r="H196" s="1"/>
      <c r="I196" s="52"/>
      <c r="J196" s="1"/>
      <c r="K196" s="52"/>
      <c r="L196" s="1"/>
      <c r="M196" s="52"/>
      <c r="N196" s="1"/>
      <c r="O196" s="52"/>
      <c r="P196" s="1"/>
      <c r="Q196" s="52"/>
      <c r="R196" s="1"/>
      <c r="S196" s="52"/>
      <c r="T196" s="1"/>
      <c r="U196" s="52"/>
      <c r="V196" s="1"/>
      <c r="W196" s="52"/>
      <c r="X196" s="1"/>
      <c r="Y196" s="1"/>
      <c r="Z196" s="1"/>
      <c r="AA196" s="1"/>
      <c r="AB196" s="1"/>
      <c r="AC196" s="1"/>
      <c r="AD196" s="1"/>
      <c r="AF196" s="1"/>
      <c r="AH196" s="1"/>
      <c r="AJ196" s="1"/>
      <c r="AL196" s="1"/>
      <c r="AN196" s="1"/>
      <c r="AP196" s="1"/>
      <c r="AR196" s="1"/>
      <c r="AT196" s="1"/>
      <c r="AV196" s="1"/>
      <c r="AX196" s="1"/>
      <c r="AZ196" s="1"/>
      <c r="BB196" s="1"/>
      <c r="BD196" s="1"/>
      <c r="BF196" s="1"/>
      <c r="BH196" s="1"/>
      <c r="BJ196" s="1"/>
      <c r="BL196" s="1"/>
      <c r="BN196" s="1"/>
      <c r="BP196" s="1"/>
      <c r="BR196" s="1"/>
      <c r="BT196" s="1"/>
      <c r="BV196" s="1"/>
      <c r="BX196" s="1"/>
      <c r="BZ196" s="1"/>
      <c r="CB196" s="1"/>
      <c r="CD196" s="1"/>
      <c r="CF196" s="1"/>
      <c r="CH196" s="1"/>
    </row>
    <row r="197" spans="1:86" ht="13.5" customHeight="1" x14ac:dyDescent="0.2">
      <c r="A197" s="1"/>
      <c r="B197" s="1"/>
      <c r="C197" s="1"/>
      <c r="D197" s="1"/>
      <c r="E197" s="52"/>
      <c r="F197" s="1"/>
      <c r="G197" s="52"/>
      <c r="H197" s="1"/>
      <c r="I197" s="52"/>
      <c r="J197" s="1"/>
      <c r="K197" s="52"/>
      <c r="L197" s="1"/>
      <c r="M197" s="52"/>
      <c r="N197" s="1"/>
      <c r="O197" s="52"/>
      <c r="P197" s="1"/>
      <c r="Q197" s="52"/>
      <c r="R197" s="1"/>
      <c r="S197" s="52"/>
      <c r="T197" s="1"/>
      <c r="U197" s="52"/>
      <c r="V197" s="1"/>
      <c r="W197" s="52"/>
      <c r="X197" s="1"/>
      <c r="Y197" s="1"/>
      <c r="Z197" s="1"/>
      <c r="AA197" s="1"/>
      <c r="AB197" s="1"/>
      <c r="AC197" s="1"/>
      <c r="AD197" s="1"/>
      <c r="AF197" s="1"/>
      <c r="AH197" s="1"/>
      <c r="AJ197" s="1"/>
      <c r="AL197" s="1"/>
      <c r="AN197" s="1"/>
      <c r="AP197" s="1"/>
      <c r="AR197" s="1"/>
      <c r="AT197" s="1"/>
      <c r="AV197" s="1"/>
      <c r="AX197" s="1"/>
      <c r="AZ197" s="1"/>
      <c r="BB197" s="1"/>
      <c r="BD197" s="1"/>
      <c r="BF197" s="1"/>
      <c r="BH197" s="1"/>
      <c r="BJ197" s="1"/>
      <c r="BL197" s="1"/>
      <c r="BN197" s="1"/>
      <c r="BP197" s="1"/>
      <c r="BR197" s="1"/>
      <c r="BT197" s="1"/>
      <c r="BV197" s="1"/>
      <c r="BX197" s="1"/>
      <c r="BZ197" s="1"/>
      <c r="CB197" s="1"/>
      <c r="CD197" s="1"/>
      <c r="CF197" s="1"/>
      <c r="CH197" s="1"/>
    </row>
    <row r="198" spans="1:86" ht="13.5" customHeight="1" x14ac:dyDescent="0.2">
      <c r="A198" s="1"/>
      <c r="B198" s="1"/>
      <c r="C198" s="1"/>
      <c r="D198" s="1"/>
      <c r="E198" s="52"/>
      <c r="F198" s="1"/>
      <c r="G198" s="52"/>
      <c r="H198" s="1"/>
      <c r="I198" s="52"/>
      <c r="J198" s="1"/>
      <c r="K198" s="52"/>
      <c r="L198" s="1"/>
      <c r="M198" s="52"/>
      <c r="N198" s="1"/>
      <c r="O198" s="52"/>
      <c r="P198" s="1"/>
      <c r="Q198" s="52"/>
      <c r="R198" s="1"/>
      <c r="S198" s="52"/>
      <c r="T198" s="1"/>
      <c r="U198" s="52"/>
      <c r="V198" s="1"/>
      <c r="W198" s="52"/>
      <c r="X198" s="1"/>
      <c r="Y198" s="1"/>
      <c r="Z198" s="1"/>
      <c r="AA198" s="1"/>
      <c r="AB198" s="1"/>
      <c r="AC198" s="1"/>
      <c r="AD198" s="1"/>
      <c r="AF198" s="1"/>
      <c r="AH198" s="1"/>
      <c r="AJ198" s="1"/>
      <c r="AL198" s="1"/>
      <c r="AN198" s="1"/>
      <c r="AP198" s="1"/>
      <c r="AR198" s="1"/>
      <c r="AT198" s="1"/>
      <c r="AV198" s="1"/>
      <c r="AX198" s="1"/>
      <c r="AZ198" s="1"/>
      <c r="BB198" s="1"/>
      <c r="BD198" s="1"/>
      <c r="BF198" s="1"/>
      <c r="BH198" s="1"/>
      <c r="BJ198" s="1"/>
      <c r="BL198" s="1"/>
      <c r="BN198" s="1"/>
      <c r="BP198" s="1"/>
      <c r="BR198" s="1"/>
      <c r="BT198" s="1"/>
      <c r="BV198" s="1"/>
      <c r="BX198" s="1"/>
      <c r="BZ198" s="1"/>
      <c r="CB198" s="1"/>
      <c r="CD198" s="1"/>
      <c r="CF198" s="1"/>
      <c r="CH198" s="1"/>
    </row>
    <row r="199" spans="1:86" ht="13.5" customHeight="1" x14ac:dyDescent="0.2">
      <c r="A199" s="1"/>
      <c r="B199" s="1"/>
      <c r="C199" s="1"/>
      <c r="D199" s="1"/>
      <c r="E199" s="52"/>
      <c r="F199" s="1"/>
      <c r="G199" s="52"/>
      <c r="H199" s="1"/>
      <c r="I199" s="52"/>
      <c r="J199" s="1"/>
      <c r="K199" s="52"/>
      <c r="L199" s="1"/>
      <c r="M199" s="52"/>
      <c r="N199" s="1"/>
      <c r="O199" s="52"/>
      <c r="P199" s="1"/>
      <c r="Q199" s="52"/>
      <c r="R199" s="1"/>
      <c r="S199" s="52"/>
      <c r="T199" s="1"/>
      <c r="U199" s="52"/>
      <c r="V199" s="1"/>
      <c r="W199" s="52"/>
      <c r="X199" s="1"/>
      <c r="Y199" s="1"/>
      <c r="Z199" s="1"/>
      <c r="AA199" s="1"/>
      <c r="AB199" s="1"/>
      <c r="AC199" s="1"/>
      <c r="AD199" s="1"/>
      <c r="AF199" s="1"/>
      <c r="AH199" s="1"/>
      <c r="AJ199" s="1"/>
      <c r="AL199" s="1"/>
      <c r="AN199" s="1"/>
      <c r="AP199" s="1"/>
      <c r="AR199" s="1"/>
      <c r="AT199" s="1"/>
      <c r="AV199" s="1"/>
      <c r="AX199" s="1"/>
      <c r="AZ199" s="1"/>
      <c r="BB199" s="1"/>
      <c r="BD199" s="1"/>
      <c r="BF199" s="1"/>
      <c r="BH199" s="1"/>
      <c r="BJ199" s="1"/>
      <c r="BL199" s="1"/>
      <c r="BN199" s="1"/>
      <c r="BP199" s="1"/>
      <c r="BR199" s="1"/>
      <c r="BT199" s="1"/>
      <c r="BV199" s="1"/>
      <c r="BX199" s="1"/>
      <c r="BZ199" s="1"/>
      <c r="CB199" s="1"/>
      <c r="CD199" s="1"/>
      <c r="CF199" s="1"/>
      <c r="CH199" s="1"/>
    </row>
    <row r="200" spans="1:86" ht="13.5" customHeight="1" x14ac:dyDescent="0.2">
      <c r="A200" s="1"/>
      <c r="B200" s="1"/>
      <c r="C200" s="1"/>
      <c r="D200" s="1"/>
      <c r="E200" s="52"/>
      <c r="F200" s="1"/>
      <c r="G200" s="52"/>
      <c r="H200" s="1"/>
      <c r="I200" s="52"/>
      <c r="J200" s="1"/>
      <c r="K200" s="52"/>
      <c r="L200" s="1"/>
      <c r="M200" s="52"/>
      <c r="N200" s="1"/>
      <c r="O200" s="52"/>
      <c r="P200" s="1"/>
      <c r="Q200" s="52"/>
      <c r="R200" s="1"/>
      <c r="S200" s="52"/>
      <c r="T200" s="1"/>
      <c r="U200" s="52"/>
      <c r="V200" s="1"/>
      <c r="W200" s="52"/>
      <c r="X200" s="1"/>
      <c r="Y200" s="1"/>
      <c r="Z200" s="1"/>
      <c r="AA200" s="1"/>
      <c r="AB200" s="1"/>
      <c r="AC200" s="1"/>
      <c r="AD200" s="1"/>
      <c r="AF200" s="1"/>
      <c r="AH200" s="1"/>
      <c r="AJ200" s="1"/>
      <c r="AL200" s="1"/>
      <c r="AN200" s="1"/>
      <c r="AP200" s="1"/>
      <c r="AR200" s="1"/>
      <c r="AT200" s="1"/>
      <c r="AV200" s="1"/>
      <c r="AX200" s="1"/>
      <c r="AZ200" s="1"/>
      <c r="BB200" s="1"/>
      <c r="BD200" s="1"/>
      <c r="BF200" s="1"/>
      <c r="BH200" s="1"/>
      <c r="BJ200" s="1"/>
      <c r="BL200" s="1"/>
      <c r="BN200" s="1"/>
      <c r="BP200" s="1"/>
      <c r="BR200" s="1"/>
      <c r="BT200" s="1"/>
      <c r="BV200" s="1"/>
      <c r="BX200" s="1"/>
      <c r="BZ200" s="1"/>
      <c r="CB200" s="1"/>
      <c r="CD200" s="1"/>
      <c r="CF200" s="1"/>
      <c r="CH200" s="1"/>
    </row>
    <row r="201" spans="1:86" ht="13.5" customHeight="1" x14ac:dyDescent="0.2">
      <c r="A201" s="1"/>
      <c r="B201" s="1"/>
      <c r="C201" s="1"/>
      <c r="D201" s="1"/>
      <c r="E201" s="52"/>
      <c r="F201" s="1"/>
      <c r="G201" s="52"/>
      <c r="H201" s="1"/>
      <c r="I201" s="52"/>
      <c r="J201" s="1"/>
      <c r="K201" s="52"/>
      <c r="L201" s="1"/>
      <c r="M201" s="52"/>
      <c r="N201" s="1"/>
      <c r="O201" s="52"/>
      <c r="P201" s="1"/>
      <c r="Q201" s="52"/>
      <c r="R201" s="1"/>
      <c r="S201" s="52"/>
      <c r="T201" s="1"/>
      <c r="U201" s="52"/>
      <c r="V201" s="1"/>
      <c r="W201" s="52"/>
      <c r="X201" s="1"/>
      <c r="Y201" s="1"/>
      <c r="Z201" s="1"/>
      <c r="AA201" s="1"/>
      <c r="AB201" s="1"/>
      <c r="AC201" s="1"/>
      <c r="AD201" s="1"/>
      <c r="AF201" s="1"/>
      <c r="AH201" s="1"/>
      <c r="AJ201" s="1"/>
      <c r="AL201" s="1"/>
      <c r="AN201" s="1"/>
      <c r="AP201" s="1"/>
      <c r="AR201" s="1"/>
      <c r="AT201" s="1"/>
      <c r="AV201" s="1"/>
      <c r="AX201" s="1"/>
      <c r="AZ201" s="1"/>
      <c r="BB201" s="1"/>
      <c r="BD201" s="1"/>
      <c r="BF201" s="1"/>
      <c r="BH201" s="1"/>
      <c r="BJ201" s="1"/>
      <c r="BL201" s="1"/>
      <c r="BN201" s="1"/>
      <c r="BP201" s="1"/>
      <c r="BR201" s="1"/>
      <c r="BT201" s="1"/>
      <c r="BV201" s="1"/>
      <c r="BX201" s="1"/>
      <c r="BZ201" s="1"/>
      <c r="CB201" s="1"/>
      <c r="CD201" s="1"/>
      <c r="CF201" s="1"/>
      <c r="CH201" s="1"/>
    </row>
    <row r="202" spans="1:86" ht="13.5" customHeight="1" x14ac:dyDescent="0.2">
      <c r="A202" s="1"/>
      <c r="B202" s="1"/>
      <c r="C202" s="1"/>
      <c r="D202" s="1"/>
      <c r="E202" s="52"/>
      <c r="F202" s="1"/>
      <c r="G202" s="52"/>
      <c r="H202" s="1"/>
      <c r="I202" s="52"/>
      <c r="J202" s="1"/>
      <c r="K202" s="52"/>
      <c r="L202" s="1"/>
      <c r="M202" s="52"/>
      <c r="N202" s="1"/>
      <c r="O202" s="52"/>
      <c r="P202" s="1"/>
      <c r="Q202" s="52"/>
      <c r="R202" s="1"/>
      <c r="S202" s="52"/>
      <c r="T202" s="1"/>
      <c r="U202" s="52"/>
      <c r="V202" s="1"/>
      <c r="W202" s="52"/>
      <c r="X202" s="1"/>
      <c r="Y202" s="1"/>
      <c r="Z202" s="1"/>
      <c r="AA202" s="1"/>
      <c r="AB202" s="1"/>
      <c r="AC202" s="1"/>
      <c r="AD202" s="1"/>
      <c r="AF202" s="1"/>
      <c r="AH202" s="1"/>
      <c r="AJ202" s="1"/>
      <c r="AL202" s="1"/>
      <c r="AN202" s="1"/>
      <c r="AP202" s="1"/>
      <c r="AR202" s="1"/>
      <c r="AT202" s="1"/>
      <c r="AV202" s="1"/>
      <c r="AX202" s="1"/>
      <c r="AZ202" s="1"/>
      <c r="BB202" s="1"/>
      <c r="BD202" s="1"/>
      <c r="BF202" s="1"/>
      <c r="BH202" s="1"/>
      <c r="BJ202" s="1"/>
      <c r="BL202" s="1"/>
      <c r="BN202" s="1"/>
      <c r="BP202" s="1"/>
      <c r="BR202" s="1"/>
      <c r="BT202" s="1"/>
      <c r="BV202" s="1"/>
      <c r="BX202" s="1"/>
      <c r="BZ202" s="1"/>
      <c r="CB202" s="1"/>
      <c r="CD202" s="1"/>
      <c r="CF202" s="1"/>
      <c r="CH202" s="1"/>
    </row>
    <row r="203" spans="1:86" ht="13.5" customHeight="1" x14ac:dyDescent="0.2">
      <c r="A203" s="1"/>
      <c r="B203" s="1"/>
      <c r="C203" s="1"/>
      <c r="D203" s="1"/>
      <c r="E203" s="52"/>
      <c r="F203" s="1"/>
      <c r="G203" s="52"/>
      <c r="H203" s="1"/>
      <c r="I203" s="52"/>
      <c r="J203" s="1"/>
      <c r="K203" s="52"/>
      <c r="L203" s="1"/>
      <c r="M203" s="52"/>
      <c r="N203" s="1"/>
      <c r="O203" s="52"/>
      <c r="P203" s="1"/>
      <c r="Q203" s="52"/>
      <c r="R203" s="1"/>
      <c r="S203" s="52"/>
      <c r="T203" s="1"/>
      <c r="U203" s="52"/>
      <c r="V203" s="1"/>
      <c r="W203" s="52"/>
      <c r="X203" s="1"/>
      <c r="Y203" s="1"/>
      <c r="Z203" s="1"/>
      <c r="AA203" s="1"/>
      <c r="AB203" s="1"/>
      <c r="AC203" s="1"/>
      <c r="AD203" s="1"/>
      <c r="AF203" s="1"/>
      <c r="AH203" s="1"/>
      <c r="AJ203" s="1"/>
      <c r="AL203" s="1"/>
      <c r="AN203" s="1"/>
      <c r="AP203" s="1"/>
      <c r="AR203" s="1"/>
      <c r="AT203" s="1"/>
      <c r="AV203" s="1"/>
      <c r="AX203" s="1"/>
      <c r="AZ203" s="1"/>
      <c r="BB203" s="1"/>
      <c r="BD203" s="1"/>
      <c r="BF203" s="1"/>
      <c r="BH203" s="1"/>
      <c r="BJ203" s="1"/>
      <c r="BL203" s="1"/>
      <c r="BN203" s="1"/>
      <c r="BP203" s="1"/>
      <c r="BR203" s="1"/>
      <c r="BT203" s="1"/>
      <c r="BV203" s="1"/>
      <c r="BX203" s="1"/>
      <c r="BZ203" s="1"/>
      <c r="CB203" s="1"/>
      <c r="CD203" s="1"/>
      <c r="CF203" s="1"/>
      <c r="CH203" s="1"/>
    </row>
    <row r="204" spans="1:86" ht="13.5" customHeight="1" x14ac:dyDescent="0.2">
      <c r="A204" s="1"/>
      <c r="B204" s="1"/>
      <c r="C204" s="1"/>
      <c r="D204" s="1"/>
      <c r="E204" s="52"/>
      <c r="F204" s="1"/>
      <c r="G204" s="52"/>
      <c r="H204" s="1"/>
      <c r="I204" s="52"/>
      <c r="J204" s="1"/>
      <c r="K204" s="52"/>
      <c r="L204" s="1"/>
      <c r="M204" s="52"/>
      <c r="N204" s="1"/>
      <c r="O204" s="52"/>
      <c r="P204" s="1"/>
      <c r="Q204" s="52"/>
      <c r="R204" s="1"/>
      <c r="S204" s="52"/>
      <c r="T204" s="1"/>
      <c r="U204" s="52"/>
      <c r="V204" s="1"/>
      <c r="W204" s="52"/>
      <c r="X204" s="1"/>
      <c r="Y204" s="1"/>
      <c r="Z204" s="1"/>
      <c r="AA204" s="1"/>
      <c r="AB204" s="1"/>
      <c r="AC204" s="1"/>
      <c r="AD204" s="1"/>
      <c r="AF204" s="1"/>
      <c r="AH204" s="1"/>
      <c r="AJ204" s="1"/>
      <c r="AL204" s="1"/>
      <c r="AN204" s="1"/>
      <c r="AP204" s="1"/>
      <c r="AR204" s="1"/>
      <c r="AT204" s="1"/>
      <c r="AV204" s="1"/>
      <c r="AX204" s="1"/>
      <c r="AZ204" s="1"/>
      <c r="BB204" s="1"/>
      <c r="BD204" s="1"/>
      <c r="BF204" s="1"/>
      <c r="BH204" s="1"/>
      <c r="BJ204" s="1"/>
      <c r="BL204" s="1"/>
      <c r="BN204" s="1"/>
      <c r="BP204" s="1"/>
      <c r="BR204" s="1"/>
      <c r="BT204" s="1"/>
      <c r="BV204" s="1"/>
      <c r="BX204" s="1"/>
      <c r="BZ204" s="1"/>
      <c r="CB204" s="1"/>
      <c r="CD204" s="1"/>
      <c r="CF204" s="1"/>
      <c r="CH204" s="1"/>
    </row>
    <row r="205" spans="1:86" ht="13.5" customHeight="1" x14ac:dyDescent="0.2">
      <c r="A205" s="1"/>
      <c r="B205" s="1"/>
      <c r="C205" s="1"/>
      <c r="D205" s="1"/>
      <c r="E205" s="52"/>
      <c r="F205" s="1"/>
      <c r="G205" s="52"/>
      <c r="H205" s="1"/>
      <c r="I205" s="52"/>
      <c r="J205" s="1"/>
      <c r="K205" s="52"/>
      <c r="L205" s="1"/>
      <c r="M205" s="52"/>
      <c r="N205" s="1"/>
      <c r="O205" s="52"/>
      <c r="P205" s="1"/>
      <c r="Q205" s="52"/>
      <c r="R205" s="1"/>
      <c r="S205" s="52"/>
      <c r="T205" s="1"/>
      <c r="U205" s="52"/>
      <c r="V205" s="1"/>
      <c r="W205" s="52"/>
      <c r="X205" s="1"/>
      <c r="Y205" s="1"/>
      <c r="Z205" s="1"/>
      <c r="AA205" s="1"/>
      <c r="AB205" s="1"/>
      <c r="AC205" s="1"/>
      <c r="AD205" s="1"/>
      <c r="AF205" s="1"/>
      <c r="AH205" s="1"/>
      <c r="AJ205" s="1"/>
      <c r="AL205" s="1"/>
      <c r="AN205" s="1"/>
      <c r="AP205" s="1"/>
      <c r="AR205" s="1"/>
      <c r="AT205" s="1"/>
      <c r="AV205" s="1"/>
      <c r="AX205" s="1"/>
      <c r="AZ205" s="1"/>
      <c r="BB205" s="1"/>
      <c r="BD205" s="1"/>
      <c r="BF205" s="1"/>
      <c r="BH205" s="1"/>
      <c r="BJ205" s="1"/>
      <c r="BL205" s="1"/>
      <c r="BN205" s="1"/>
      <c r="BP205" s="1"/>
      <c r="BR205" s="1"/>
      <c r="BT205" s="1"/>
      <c r="BV205" s="1"/>
      <c r="BX205" s="1"/>
      <c r="BZ205" s="1"/>
      <c r="CB205" s="1"/>
      <c r="CD205" s="1"/>
      <c r="CF205" s="1"/>
      <c r="CH205" s="1"/>
    </row>
    <row r="206" spans="1:86" ht="13.5" customHeight="1" x14ac:dyDescent="0.2">
      <c r="A206" s="1"/>
      <c r="B206" s="1"/>
      <c r="C206" s="1"/>
      <c r="D206" s="1"/>
      <c r="E206" s="52"/>
      <c r="F206" s="1"/>
      <c r="G206" s="52"/>
      <c r="H206" s="1"/>
      <c r="I206" s="52"/>
      <c r="J206" s="1"/>
      <c r="K206" s="52"/>
      <c r="L206" s="1"/>
      <c r="M206" s="52"/>
      <c r="N206" s="1"/>
      <c r="O206" s="52"/>
      <c r="P206" s="1"/>
      <c r="Q206" s="52"/>
      <c r="R206" s="1"/>
      <c r="S206" s="52"/>
      <c r="T206" s="1"/>
      <c r="U206" s="52"/>
      <c r="V206" s="1"/>
      <c r="W206" s="52"/>
      <c r="X206" s="1"/>
      <c r="Y206" s="1"/>
      <c r="Z206" s="1"/>
      <c r="AA206" s="1"/>
      <c r="AB206" s="1"/>
      <c r="AC206" s="1"/>
      <c r="AD206" s="1"/>
      <c r="AF206" s="1"/>
      <c r="AH206" s="1"/>
      <c r="AJ206" s="1"/>
      <c r="AL206" s="1"/>
      <c r="AN206" s="1"/>
      <c r="AP206" s="1"/>
      <c r="AR206" s="1"/>
      <c r="AT206" s="1"/>
      <c r="AV206" s="1"/>
      <c r="AX206" s="1"/>
      <c r="AZ206" s="1"/>
      <c r="BB206" s="1"/>
      <c r="BD206" s="1"/>
      <c r="BF206" s="1"/>
      <c r="BH206" s="1"/>
      <c r="BJ206" s="1"/>
      <c r="BL206" s="1"/>
      <c r="BN206" s="1"/>
      <c r="BP206" s="1"/>
      <c r="BR206" s="1"/>
      <c r="BT206" s="1"/>
      <c r="BV206" s="1"/>
      <c r="BX206" s="1"/>
      <c r="BZ206" s="1"/>
      <c r="CB206" s="1"/>
      <c r="CD206" s="1"/>
      <c r="CF206" s="1"/>
      <c r="CH206" s="1"/>
    </row>
    <row r="207" spans="1:86" ht="13.5" customHeight="1" x14ac:dyDescent="0.2">
      <c r="A207" s="1"/>
      <c r="B207" s="1"/>
      <c r="C207" s="1"/>
      <c r="D207" s="1"/>
      <c r="E207" s="52"/>
      <c r="F207" s="1"/>
      <c r="G207" s="52"/>
      <c r="H207" s="1"/>
      <c r="I207" s="52"/>
      <c r="J207" s="1"/>
      <c r="K207" s="52"/>
      <c r="L207" s="1"/>
      <c r="M207" s="52"/>
      <c r="N207" s="1"/>
      <c r="O207" s="52"/>
      <c r="P207" s="1"/>
      <c r="Q207" s="52"/>
      <c r="R207" s="1"/>
      <c r="S207" s="52"/>
      <c r="T207" s="1"/>
      <c r="U207" s="52"/>
      <c r="V207" s="1"/>
      <c r="W207" s="52"/>
      <c r="X207" s="1"/>
      <c r="Y207" s="1"/>
      <c r="Z207" s="1"/>
      <c r="AA207" s="1"/>
      <c r="AB207" s="1"/>
      <c r="AC207" s="1"/>
      <c r="AD207" s="1"/>
      <c r="AF207" s="1"/>
      <c r="AH207" s="1"/>
      <c r="AJ207" s="1"/>
      <c r="AL207" s="1"/>
      <c r="AN207" s="1"/>
      <c r="AP207" s="1"/>
      <c r="AR207" s="1"/>
      <c r="AT207" s="1"/>
      <c r="AV207" s="1"/>
      <c r="AX207" s="1"/>
      <c r="AZ207" s="1"/>
      <c r="BB207" s="1"/>
      <c r="BD207" s="1"/>
      <c r="BF207" s="1"/>
      <c r="BH207" s="1"/>
      <c r="BJ207" s="1"/>
      <c r="BL207" s="1"/>
      <c r="BN207" s="1"/>
      <c r="BP207" s="1"/>
      <c r="BR207" s="1"/>
      <c r="BT207" s="1"/>
      <c r="BV207" s="1"/>
      <c r="BX207" s="1"/>
      <c r="BZ207" s="1"/>
      <c r="CB207" s="1"/>
      <c r="CD207" s="1"/>
      <c r="CF207" s="1"/>
      <c r="CH207" s="1"/>
    </row>
    <row r="208" spans="1:86" ht="13.5" customHeight="1" x14ac:dyDescent="0.2">
      <c r="A208" s="1"/>
      <c r="B208" s="1"/>
      <c r="C208" s="1"/>
      <c r="D208" s="1"/>
      <c r="E208" s="52"/>
      <c r="F208" s="1"/>
      <c r="G208" s="52"/>
      <c r="H208" s="1"/>
      <c r="I208" s="52"/>
      <c r="J208" s="1"/>
      <c r="K208" s="52"/>
      <c r="L208" s="1"/>
      <c r="M208" s="52"/>
      <c r="N208" s="1"/>
      <c r="O208" s="52"/>
      <c r="P208" s="1"/>
      <c r="Q208" s="52"/>
      <c r="R208" s="1"/>
      <c r="S208" s="52"/>
      <c r="T208" s="1"/>
      <c r="U208" s="52"/>
      <c r="V208" s="1"/>
      <c r="W208" s="52"/>
      <c r="X208" s="1"/>
      <c r="Y208" s="1"/>
      <c r="Z208" s="1"/>
      <c r="AA208" s="1"/>
      <c r="AB208" s="1"/>
      <c r="AC208" s="1"/>
      <c r="AD208" s="1"/>
      <c r="AF208" s="1"/>
      <c r="AH208" s="1"/>
      <c r="AJ208" s="1"/>
      <c r="AL208" s="1"/>
      <c r="AN208" s="1"/>
      <c r="AP208" s="1"/>
      <c r="AR208" s="1"/>
      <c r="AT208" s="1"/>
      <c r="AV208" s="1"/>
      <c r="AX208" s="1"/>
      <c r="AZ208" s="1"/>
      <c r="BB208" s="1"/>
      <c r="BD208" s="1"/>
      <c r="BF208" s="1"/>
      <c r="BH208" s="1"/>
      <c r="BJ208" s="1"/>
      <c r="BL208" s="1"/>
      <c r="BN208" s="1"/>
      <c r="BP208" s="1"/>
      <c r="BR208" s="1"/>
      <c r="BT208" s="1"/>
      <c r="BV208" s="1"/>
      <c r="BX208" s="1"/>
      <c r="BZ208" s="1"/>
      <c r="CB208" s="1"/>
      <c r="CD208" s="1"/>
      <c r="CF208" s="1"/>
      <c r="CH208" s="1"/>
    </row>
    <row r="209" spans="1:86" ht="13.5" customHeight="1" x14ac:dyDescent="0.2">
      <c r="A209" s="1"/>
      <c r="B209" s="1"/>
      <c r="C209" s="1"/>
      <c r="D209" s="1"/>
      <c r="E209" s="52"/>
      <c r="F209" s="1"/>
      <c r="G209" s="52"/>
      <c r="H209" s="1"/>
      <c r="I209" s="52"/>
      <c r="J209" s="1"/>
      <c r="K209" s="52"/>
      <c r="L209" s="1"/>
      <c r="M209" s="52"/>
      <c r="N209" s="1"/>
      <c r="O209" s="52"/>
      <c r="P209" s="1"/>
      <c r="Q209" s="52"/>
      <c r="R209" s="1"/>
      <c r="S209" s="52"/>
      <c r="T209" s="1"/>
      <c r="U209" s="52"/>
      <c r="V209" s="1"/>
      <c r="W209" s="52"/>
      <c r="X209" s="1"/>
      <c r="Y209" s="1"/>
      <c r="Z209" s="1"/>
      <c r="AA209" s="1"/>
      <c r="AB209" s="1"/>
      <c r="AC209" s="1"/>
      <c r="AD209" s="1"/>
      <c r="AF209" s="1"/>
      <c r="AH209" s="1"/>
      <c r="AJ209" s="1"/>
      <c r="AL209" s="1"/>
      <c r="AN209" s="1"/>
      <c r="AP209" s="1"/>
      <c r="AR209" s="1"/>
      <c r="AT209" s="1"/>
      <c r="AV209" s="1"/>
      <c r="AX209" s="1"/>
      <c r="AZ209" s="1"/>
      <c r="BB209" s="1"/>
      <c r="BD209" s="1"/>
      <c r="BF209" s="1"/>
      <c r="BH209" s="1"/>
      <c r="BJ209" s="1"/>
      <c r="BL209" s="1"/>
      <c r="BN209" s="1"/>
      <c r="BP209" s="1"/>
      <c r="BR209" s="1"/>
      <c r="BT209" s="1"/>
      <c r="BV209" s="1"/>
      <c r="BX209" s="1"/>
      <c r="BZ209" s="1"/>
      <c r="CB209" s="1"/>
      <c r="CD209" s="1"/>
      <c r="CF209" s="1"/>
      <c r="CH209" s="1"/>
    </row>
    <row r="210" spans="1:86" ht="13.5" customHeight="1" x14ac:dyDescent="0.2">
      <c r="A210" s="1"/>
      <c r="B210" s="1"/>
      <c r="C210" s="1"/>
      <c r="D210" s="1"/>
      <c r="E210" s="52"/>
      <c r="F210" s="1"/>
      <c r="G210" s="52"/>
      <c r="H210" s="1"/>
      <c r="I210" s="52"/>
      <c r="J210" s="1"/>
      <c r="K210" s="52"/>
      <c r="L210" s="1"/>
      <c r="M210" s="52"/>
      <c r="N210" s="1"/>
      <c r="O210" s="52"/>
      <c r="P210" s="1"/>
      <c r="Q210" s="52"/>
      <c r="R210" s="1"/>
      <c r="S210" s="52"/>
      <c r="T210" s="1"/>
      <c r="U210" s="52"/>
      <c r="V210" s="1"/>
      <c r="W210" s="52"/>
      <c r="X210" s="1"/>
      <c r="Y210" s="1"/>
      <c r="Z210" s="1"/>
      <c r="AA210" s="1"/>
      <c r="AB210" s="1"/>
      <c r="AC210" s="1"/>
      <c r="AD210" s="1"/>
      <c r="AF210" s="1"/>
      <c r="AH210" s="1"/>
      <c r="AJ210" s="1"/>
      <c r="AL210" s="1"/>
      <c r="AN210" s="1"/>
      <c r="AP210" s="1"/>
      <c r="AR210" s="1"/>
      <c r="AT210" s="1"/>
      <c r="AV210" s="1"/>
      <c r="AX210" s="1"/>
      <c r="AZ210" s="1"/>
      <c r="BB210" s="1"/>
      <c r="BD210" s="1"/>
      <c r="BF210" s="1"/>
      <c r="BH210" s="1"/>
      <c r="BJ210" s="1"/>
      <c r="BL210" s="1"/>
      <c r="BN210" s="1"/>
      <c r="BP210" s="1"/>
      <c r="BR210" s="1"/>
      <c r="BT210" s="1"/>
      <c r="BV210" s="1"/>
      <c r="BX210" s="1"/>
      <c r="BZ210" s="1"/>
      <c r="CB210" s="1"/>
      <c r="CD210" s="1"/>
      <c r="CF210" s="1"/>
      <c r="CH210" s="1"/>
    </row>
    <row r="211" spans="1:86" ht="13.5" customHeight="1" x14ac:dyDescent="0.2">
      <c r="A211" s="1"/>
      <c r="B211" s="1"/>
      <c r="C211" s="1"/>
      <c r="D211" s="1"/>
      <c r="E211" s="52"/>
      <c r="F211" s="1"/>
      <c r="G211" s="52"/>
      <c r="H211" s="1"/>
      <c r="I211" s="52"/>
      <c r="J211" s="1"/>
      <c r="K211" s="52"/>
      <c r="L211" s="1"/>
      <c r="M211" s="52"/>
      <c r="N211" s="1"/>
      <c r="O211" s="52"/>
      <c r="P211" s="1"/>
      <c r="Q211" s="52"/>
      <c r="R211" s="1"/>
      <c r="S211" s="52"/>
      <c r="T211" s="1"/>
      <c r="U211" s="52"/>
      <c r="V211" s="1"/>
      <c r="W211" s="52"/>
      <c r="X211" s="1"/>
      <c r="Y211" s="1"/>
      <c r="Z211" s="1"/>
      <c r="AA211" s="1"/>
      <c r="AB211" s="1"/>
      <c r="AC211" s="1"/>
      <c r="AD211" s="1"/>
      <c r="AF211" s="1"/>
      <c r="AH211" s="1"/>
      <c r="AJ211" s="1"/>
      <c r="AL211" s="1"/>
      <c r="AN211" s="1"/>
      <c r="AP211" s="1"/>
      <c r="AR211" s="1"/>
      <c r="AT211" s="1"/>
      <c r="AV211" s="1"/>
      <c r="AX211" s="1"/>
      <c r="AZ211" s="1"/>
      <c r="BB211" s="1"/>
      <c r="BD211" s="1"/>
      <c r="BF211" s="1"/>
      <c r="BH211" s="1"/>
      <c r="BJ211" s="1"/>
      <c r="BL211" s="1"/>
      <c r="BN211" s="1"/>
      <c r="BP211" s="1"/>
      <c r="BR211" s="1"/>
      <c r="BT211" s="1"/>
      <c r="BV211" s="1"/>
      <c r="BX211" s="1"/>
      <c r="BZ211" s="1"/>
      <c r="CB211" s="1"/>
      <c r="CD211" s="1"/>
      <c r="CF211" s="1"/>
      <c r="CH211" s="1"/>
    </row>
    <row r="212" spans="1:86" ht="13.5" customHeight="1" x14ac:dyDescent="0.2">
      <c r="A212" s="1"/>
      <c r="B212" s="1"/>
      <c r="C212" s="1"/>
      <c r="D212" s="1"/>
      <c r="E212" s="52"/>
      <c r="F212" s="1"/>
      <c r="G212" s="52"/>
      <c r="H212" s="1"/>
      <c r="I212" s="52"/>
      <c r="J212" s="1"/>
      <c r="K212" s="52"/>
      <c r="L212" s="1"/>
      <c r="M212" s="52"/>
      <c r="N212" s="1"/>
      <c r="O212" s="52"/>
      <c r="P212" s="1"/>
      <c r="Q212" s="52"/>
      <c r="R212" s="1"/>
      <c r="S212" s="52"/>
      <c r="T212" s="1"/>
      <c r="U212" s="52"/>
      <c r="V212" s="1"/>
      <c r="W212" s="52"/>
      <c r="X212" s="1"/>
      <c r="Y212" s="1"/>
      <c r="Z212" s="1"/>
      <c r="AA212" s="1"/>
      <c r="AB212" s="1"/>
      <c r="AC212" s="1"/>
      <c r="AD212" s="1"/>
      <c r="AF212" s="1"/>
      <c r="AH212" s="1"/>
      <c r="AJ212" s="1"/>
      <c r="AL212" s="1"/>
      <c r="AN212" s="1"/>
      <c r="AP212" s="1"/>
      <c r="AR212" s="1"/>
      <c r="AT212" s="1"/>
      <c r="AV212" s="1"/>
      <c r="AX212" s="1"/>
      <c r="AZ212" s="1"/>
      <c r="BB212" s="1"/>
      <c r="BD212" s="1"/>
      <c r="BF212" s="1"/>
      <c r="BH212" s="1"/>
      <c r="BJ212" s="1"/>
      <c r="BL212" s="1"/>
      <c r="BN212" s="1"/>
      <c r="BP212" s="1"/>
      <c r="BR212" s="1"/>
      <c r="BT212" s="1"/>
      <c r="BV212" s="1"/>
      <c r="BX212" s="1"/>
      <c r="BZ212" s="1"/>
      <c r="CB212" s="1"/>
      <c r="CD212" s="1"/>
      <c r="CF212" s="1"/>
      <c r="CH212" s="1"/>
    </row>
    <row r="213" spans="1:86" ht="13.5" customHeight="1" x14ac:dyDescent="0.2">
      <c r="A213" s="1"/>
      <c r="B213" s="1"/>
      <c r="C213" s="1"/>
      <c r="D213" s="1"/>
      <c r="E213" s="52"/>
      <c r="F213" s="1"/>
      <c r="G213" s="52"/>
      <c r="H213" s="1"/>
      <c r="I213" s="52"/>
      <c r="J213" s="1"/>
      <c r="K213" s="52"/>
      <c r="L213" s="1"/>
      <c r="M213" s="52"/>
      <c r="N213" s="1"/>
      <c r="O213" s="52"/>
      <c r="P213" s="1"/>
      <c r="Q213" s="52"/>
      <c r="R213" s="1"/>
      <c r="S213" s="52"/>
      <c r="T213" s="1"/>
      <c r="U213" s="52"/>
      <c r="V213" s="1"/>
      <c r="W213" s="52"/>
      <c r="X213" s="1"/>
      <c r="Y213" s="1"/>
      <c r="Z213" s="1"/>
      <c r="AA213" s="1"/>
      <c r="AB213" s="1"/>
      <c r="AC213" s="1"/>
      <c r="AD213" s="1"/>
      <c r="AF213" s="1"/>
      <c r="AH213" s="1"/>
      <c r="AJ213" s="1"/>
      <c r="AL213" s="1"/>
      <c r="AN213" s="1"/>
      <c r="AP213" s="1"/>
      <c r="AR213" s="1"/>
      <c r="AT213" s="1"/>
      <c r="AV213" s="1"/>
      <c r="AX213" s="1"/>
      <c r="AZ213" s="1"/>
      <c r="BB213" s="1"/>
      <c r="BD213" s="1"/>
      <c r="BF213" s="1"/>
      <c r="BH213" s="1"/>
      <c r="BJ213" s="1"/>
      <c r="BL213" s="1"/>
      <c r="BN213" s="1"/>
      <c r="BP213" s="1"/>
      <c r="BR213" s="1"/>
      <c r="BT213" s="1"/>
      <c r="BV213" s="1"/>
      <c r="BX213" s="1"/>
      <c r="BZ213" s="1"/>
      <c r="CB213" s="1"/>
      <c r="CD213" s="1"/>
      <c r="CF213" s="1"/>
      <c r="CH213" s="1"/>
    </row>
    <row r="214" spans="1:86" ht="13.5" customHeight="1" x14ac:dyDescent="0.2">
      <c r="A214" s="1"/>
      <c r="B214" s="1"/>
      <c r="C214" s="1"/>
      <c r="D214" s="1"/>
      <c r="E214" s="52"/>
      <c r="F214" s="1"/>
      <c r="G214" s="52"/>
      <c r="H214" s="1"/>
      <c r="I214" s="52"/>
      <c r="J214" s="1"/>
      <c r="K214" s="52"/>
      <c r="L214" s="1"/>
      <c r="M214" s="52"/>
      <c r="N214" s="1"/>
      <c r="O214" s="52"/>
      <c r="P214" s="1"/>
      <c r="Q214" s="52"/>
      <c r="R214" s="1"/>
      <c r="S214" s="52"/>
      <c r="T214" s="1"/>
      <c r="U214" s="52"/>
      <c r="V214" s="1"/>
      <c r="W214" s="52"/>
      <c r="X214" s="1"/>
      <c r="Y214" s="1"/>
      <c r="Z214" s="1"/>
      <c r="AA214" s="1"/>
      <c r="AB214" s="1"/>
      <c r="AC214" s="1"/>
      <c r="AD214" s="1"/>
      <c r="AF214" s="1"/>
      <c r="AH214" s="1"/>
      <c r="AJ214" s="1"/>
      <c r="AL214" s="1"/>
      <c r="AN214" s="1"/>
      <c r="AP214" s="1"/>
      <c r="AR214" s="1"/>
      <c r="AT214" s="1"/>
      <c r="AV214" s="1"/>
      <c r="AX214" s="1"/>
      <c r="AZ214" s="1"/>
      <c r="BB214" s="1"/>
      <c r="BD214" s="1"/>
      <c r="BF214" s="1"/>
      <c r="BH214" s="1"/>
      <c r="BJ214" s="1"/>
      <c r="BL214" s="1"/>
      <c r="BN214" s="1"/>
      <c r="BP214" s="1"/>
      <c r="BR214" s="1"/>
      <c r="BT214" s="1"/>
      <c r="BV214" s="1"/>
      <c r="BX214" s="1"/>
      <c r="BZ214" s="1"/>
      <c r="CB214" s="1"/>
      <c r="CD214" s="1"/>
      <c r="CF214" s="1"/>
      <c r="CH214" s="1"/>
    </row>
    <row r="215" spans="1:86" ht="13.5" customHeight="1" x14ac:dyDescent="0.2">
      <c r="A215" s="1"/>
      <c r="B215" s="1"/>
      <c r="C215" s="1"/>
      <c r="D215" s="1"/>
      <c r="E215" s="52"/>
      <c r="F215" s="1"/>
      <c r="G215" s="52"/>
      <c r="H215" s="1"/>
      <c r="I215" s="52"/>
      <c r="J215" s="1"/>
      <c r="K215" s="52"/>
      <c r="L215" s="1"/>
      <c r="M215" s="52"/>
      <c r="N215" s="1"/>
      <c r="O215" s="52"/>
      <c r="P215" s="1"/>
      <c r="Q215" s="52"/>
      <c r="R215" s="1"/>
      <c r="S215" s="52"/>
      <c r="T215" s="1"/>
      <c r="U215" s="52"/>
      <c r="V215" s="1"/>
      <c r="W215" s="52"/>
      <c r="X215" s="1"/>
      <c r="Y215" s="1"/>
      <c r="Z215" s="1"/>
      <c r="AA215" s="1"/>
      <c r="AB215" s="1"/>
      <c r="AC215" s="1"/>
      <c r="AD215" s="1"/>
      <c r="AF215" s="1"/>
      <c r="AH215" s="1"/>
      <c r="AJ215" s="1"/>
      <c r="AL215" s="1"/>
      <c r="AN215" s="1"/>
      <c r="AP215" s="1"/>
      <c r="AR215" s="1"/>
      <c r="AT215" s="1"/>
      <c r="AV215" s="1"/>
      <c r="AX215" s="1"/>
      <c r="AZ215" s="1"/>
      <c r="BB215" s="1"/>
      <c r="BD215" s="1"/>
      <c r="BF215" s="1"/>
      <c r="BH215" s="1"/>
      <c r="BJ215" s="1"/>
      <c r="BL215" s="1"/>
      <c r="BN215" s="1"/>
      <c r="BP215" s="1"/>
      <c r="BR215" s="1"/>
      <c r="BT215" s="1"/>
      <c r="BV215" s="1"/>
      <c r="BX215" s="1"/>
      <c r="BZ215" s="1"/>
      <c r="CB215" s="1"/>
      <c r="CD215" s="1"/>
      <c r="CF215" s="1"/>
      <c r="CH215" s="1"/>
    </row>
    <row r="216" spans="1:86" ht="13.5" customHeight="1" x14ac:dyDescent="0.2">
      <c r="A216" s="1"/>
      <c r="B216" s="1"/>
      <c r="C216" s="1"/>
      <c r="D216" s="1"/>
      <c r="E216" s="52"/>
      <c r="F216" s="1"/>
      <c r="G216" s="52"/>
      <c r="H216" s="1"/>
      <c r="I216" s="52"/>
      <c r="J216" s="1"/>
      <c r="K216" s="52"/>
      <c r="L216" s="1"/>
      <c r="M216" s="52"/>
      <c r="N216" s="1"/>
      <c r="O216" s="52"/>
      <c r="P216" s="1"/>
      <c r="Q216" s="52"/>
      <c r="R216" s="1"/>
      <c r="S216" s="52"/>
      <c r="T216" s="1"/>
      <c r="U216" s="52"/>
      <c r="V216" s="1"/>
      <c r="W216" s="52"/>
      <c r="X216" s="1"/>
      <c r="Y216" s="1"/>
      <c r="Z216" s="1"/>
      <c r="AA216" s="1"/>
      <c r="AB216" s="1"/>
      <c r="AC216" s="1"/>
      <c r="AD216" s="1"/>
      <c r="AF216" s="1"/>
      <c r="AH216" s="1"/>
      <c r="AJ216" s="1"/>
      <c r="AL216" s="1"/>
      <c r="AN216" s="1"/>
      <c r="AP216" s="1"/>
      <c r="AR216" s="1"/>
      <c r="AT216" s="1"/>
      <c r="AV216" s="1"/>
      <c r="AX216" s="1"/>
      <c r="AZ216" s="1"/>
      <c r="BB216" s="1"/>
      <c r="BD216" s="1"/>
      <c r="BF216" s="1"/>
      <c r="BH216" s="1"/>
      <c r="BJ216" s="1"/>
      <c r="BL216" s="1"/>
      <c r="BN216" s="1"/>
      <c r="BP216" s="1"/>
      <c r="BR216" s="1"/>
      <c r="BT216" s="1"/>
      <c r="BV216" s="1"/>
      <c r="BX216" s="1"/>
      <c r="BZ216" s="1"/>
      <c r="CB216" s="1"/>
      <c r="CD216" s="1"/>
      <c r="CF216" s="1"/>
      <c r="CH216" s="1"/>
    </row>
    <row r="217" spans="1:86" ht="13.5" customHeight="1" x14ac:dyDescent="0.2">
      <c r="A217" s="1"/>
      <c r="B217" s="1"/>
      <c r="C217" s="1"/>
      <c r="D217" s="1"/>
      <c r="E217" s="52"/>
      <c r="F217" s="1"/>
      <c r="G217" s="52"/>
      <c r="H217" s="1"/>
      <c r="I217" s="52"/>
      <c r="J217" s="1"/>
      <c r="K217" s="52"/>
      <c r="L217" s="1"/>
      <c r="M217" s="52"/>
      <c r="N217" s="1"/>
      <c r="O217" s="52"/>
      <c r="P217" s="1"/>
      <c r="Q217" s="52"/>
      <c r="R217" s="1"/>
      <c r="S217" s="52"/>
      <c r="T217" s="1"/>
      <c r="U217" s="52"/>
      <c r="V217" s="1"/>
      <c r="W217" s="52"/>
      <c r="X217" s="1"/>
      <c r="Y217" s="1"/>
      <c r="Z217" s="1"/>
      <c r="AA217" s="1"/>
      <c r="AB217" s="1"/>
      <c r="AC217" s="1"/>
      <c r="AD217" s="1"/>
      <c r="AF217" s="1"/>
      <c r="AH217" s="1"/>
      <c r="AJ217" s="1"/>
      <c r="AL217" s="1"/>
      <c r="AN217" s="1"/>
      <c r="AP217" s="1"/>
      <c r="AR217" s="1"/>
      <c r="AT217" s="1"/>
      <c r="AV217" s="1"/>
      <c r="AX217" s="1"/>
      <c r="AZ217" s="1"/>
      <c r="BB217" s="1"/>
      <c r="BD217" s="1"/>
      <c r="BF217" s="1"/>
      <c r="BH217" s="1"/>
      <c r="BJ217" s="1"/>
      <c r="BL217" s="1"/>
      <c r="BN217" s="1"/>
      <c r="BP217" s="1"/>
      <c r="BR217" s="1"/>
      <c r="BT217" s="1"/>
      <c r="BV217" s="1"/>
      <c r="BX217" s="1"/>
      <c r="BZ217" s="1"/>
      <c r="CB217" s="1"/>
      <c r="CD217" s="1"/>
      <c r="CF217" s="1"/>
      <c r="CH217" s="1"/>
    </row>
    <row r="218" spans="1:86" ht="13.5" customHeight="1" x14ac:dyDescent="0.2">
      <c r="A218" s="1"/>
      <c r="B218" s="1"/>
      <c r="C218" s="1"/>
      <c r="D218" s="1"/>
      <c r="E218" s="52"/>
      <c r="F218" s="1"/>
      <c r="G218" s="52"/>
      <c r="H218" s="1"/>
      <c r="I218" s="52"/>
      <c r="J218" s="1"/>
      <c r="K218" s="52"/>
      <c r="L218" s="1"/>
      <c r="M218" s="52"/>
      <c r="N218" s="1"/>
      <c r="O218" s="52"/>
      <c r="P218" s="1"/>
      <c r="Q218" s="52"/>
      <c r="R218" s="1"/>
      <c r="S218" s="52"/>
      <c r="T218" s="1"/>
      <c r="U218" s="52"/>
      <c r="V218" s="1"/>
      <c r="W218" s="52"/>
      <c r="X218" s="1"/>
      <c r="Y218" s="1"/>
      <c r="Z218" s="1"/>
      <c r="AA218" s="1"/>
      <c r="AB218" s="1"/>
      <c r="AC218" s="1"/>
      <c r="AD218" s="1"/>
      <c r="AF218" s="1"/>
      <c r="AH218" s="1"/>
      <c r="AJ218" s="1"/>
      <c r="AL218" s="1"/>
      <c r="AN218" s="1"/>
      <c r="AP218" s="1"/>
      <c r="AR218" s="1"/>
      <c r="AT218" s="1"/>
      <c r="AV218" s="1"/>
      <c r="AX218" s="1"/>
      <c r="AZ218" s="1"/>
      <c r="BB218" s="1"/>
      <c r="BD218" s="1"/>
      <c r="BF218" s="1"/>
      <c r="BH218" s="1"/>
      <c r="BJ218" s="1"/>
      <c r="BL218" s="1"/>
      <c r="BN218" s="1"/>
      <c r="BP218" s="1"/>
      <c r="BR218" s="1"/>
      <c r="BT218" s="1"/>
      <c r="BV218" s="1"/>
      <c r="BX218" s="1"/>
      <c r="BZ218" s="1"/>
      <c r="CB218" s="1"/>
      <c r="CD218" s="1"/>
      <c r="CF218" s="1"/>
      <c r="CH218" s="1"/>
    </row>
    <row r="219" spans="1:86" ht="13.5" customHeight="1" x14ac:dyDescent="0.2">
      <c r="A219" s="1"/>
      <c r="B219" s="1"/>
      <c r="C219" s="1"/>
      <c r="D219" s="1"/>
      <c r="E219" s="52"/>
      <c r="F219" s="1"/>
      <c r="G219" s="52"/>
      <c r="H219" s="1"/>
      <c r="I219" s="52"/>
      <c r="J219" s="1"/>
      <c r="K219" s="52"/>
      <c r="L219" s="1"/>
      <c r="M219" s="52"/>
      <c r="N219" s="1"/>
      <c r="O219" s="52"/>
      <c r="P219" s="1"/>
      <c r="Q219" s="52"/>
      <c r="R219" s="1"/>
      <c r="S219" s="52"/>
      <c r="T219" s="1"/>
      <c r="U219" s="52"/>
      <c r="V219" s="1"/>
      <c r="W219" s="52"/>
      <c r="X219" s="1"/>
      <c r="Y219" s="1"/>
      <c r="Z219" s="1"/>
      <c r="AA219" s="1"/>
      <c r="AB219" s="1"/>
      <c r="AC219" s="1"/>
      <c r="AD219" s="1"/>
      <c r="AF219" s="1"/>
      <c r="AH219" s="1"/>
      <c r="AJ219" s="1"/>
      <c r="AL219" s="1"/>
      <c r="AN219" s="1"/>
      <c r="AP219" s="1"/>
      <c r="AR219" s="1"/>
      <c r="AT219" s="1"/>
      <c r="AV219" s="1"/>
      <c r="AX219" s="1"/>
      <c r="AZ219" s="1"/>
      <c r="BB219" s="1"/>
      <c r="BD219" s="1"/>
      <c r="BF219" s="1"/>
      <c r="BH219" s="1"/>
      <c r="BJ219" s="1"/>
      <c r="BL219" s="1"/>
      <c r="BN219" s="1"/>
      <c r="BP219" s="1"/>
      <c r="BR219" s="1"/>
      <c r="BT219" s="1"/>
      <c r="BV219" s="1"/>
      <c r="BX219" s="1"/>
      <c r="BZ219" s="1"/>
      <c r="CB219" s="1"/>
      <c r="CD219" s="1"/>
      <c r="CF219" s="1"/>
      <c r="CH219" s="1"/>
    </row>
    <row r="220" spans="1:86" ht="13.5" customHeight="1" x14ac:dyDescent="0.2">
      <c r="A220" s="1"/>
      <c r="B220" s="1"/>
      <c r="C220" s="1"/>
      <c r="D220" s="1"/>
      <c r="E220" s="52"/>
      <c r="F220" s="1"/>
      <c r="G220" s="52"/>
      <c r="H220" s="1"/>
      <c r="I220" s="52"/>
      <c r="J220" s="1"/>
      <c r="K220" s="52"/>
      <c r="L220" s="1"/>
      <c r="M220" s="52"/>
      <c r="N220" s="1"/>
      <c r="O220" s="52"/>
      <c r="P220" s="1"/>
      <c r="Q220" s="52"/>
      <c r="R220" s="1"/>
      <c r="S220" s="52"/>
      <c r="T220" s="1"/>
      <c r="U220" s="52"/>
      <c r="V220" s="1"/>
      <c r="W220" s="52"/>
      <c r="X220" s="1"/>
      <c r="Y220" s="1"/>
      <c r="Z220" s="1"/>
      <c r="AA220" s="1"/>
      <c r="AB220" s="1"/>
      <c r="AC220" s="1"/>
      <c r="AD220" s="1"/>
      <c r="AF220" s="1"/>
      <c r="AH220" s="1"/>
      <c r="AJ220" s="1"/>
      <c r="AL220" s="1"/>
      <c r="AN220" s="1"/>
      <c r="AP220" s="1"/>
      <c r="AR220" s="1"/>
      <c r="AT220" s="1"/>
      <c r="AV220" s="1"/>
      <c r="AX220" s="1"/>
      <c r="AZ220" s="1"/>
      <c r="BB220" s="1"/>
      <c r="BD220" s="1"/>
      <c r="BF220" s="1"/>
      <c r="BH220" s="1"/>
      <c r="BJ220" s="1"/>
      <c r="BL220" s="1"/>
      <c r="BN220" s="1"/>
      <c r="BP220" s="1"/>
      <c r="BR220" s="1"/>
      <c r="BT220" s="1"/>
      <c r="BV220" s="1"/>
      <c r="BX220" s="1"/>
      <c r="BZ220" s="1"/>
      <c r="CB220" s="1"/>
      <c r="CD220" s="1"/>
      <c r="CF220" s="1"/>
      <c r="CH220" s="1"/>
    </row>
    <row r="221" spans="1:86" ht="13.5" customHeight="1" x14ac:dyDescent="0.2">
      <c r="A221" s="1"/>
      <c r="B221" s="1"/>
      <c r="C221" s="1"/>
      <c r="D221" s="1"/>
      <c r="E221" s="52"/>
      <c r="F221" s="1"/>
      <c r="G221" s="52"/>
      <c r="H221" s="1"/>
      <c r="I221" s="52"/>
      <c r="J221" s="1"/>
      <c r="K221" s="52"/>
      <c r="L221" s="1"/>
      <c r="M221" s="52"/>
      <c r="N221" s="1"/>
      <c r="O221" s="52"/>
      <c r="P221" s="1"/>
      <c r="Q221" s="52"/>
      <c r="R221" s="1"/>
      <c r="S221" s="52"/>
      <c r="T221" s="1"/>
      <c r="U221" s="52"/>
      <c r="V221" s="1"/>
      <c r="W221" s="52"/>
      <c r="X221" s="1"/>
      <c r="Y221" s="1"/>
      <c r="Z221" s="1"/>
      <c r="AA221" s="1"/>
      <c r="AB221" s="1"/>
      <c r="AC221" s="1"/>
      <c r="AD221" s="1"/>
      <c r="AF221" s="1"/>
      <c r="AH221" s="1"/>
      <c r="AJ221" s="1"/>
      <c r="AL221" s="1"/>
      <c r="AN221" s="1"/>
      <c r="AP221" s="1"/>
      <c r="AR221" s="1"/>
      <c r="AT221" s="1"/>
      <c r="AV221" s="1"/>
      <c r="AX221" s="1"/>
      <c r="AZ221" s="1"/>
      <c r="BB221" s="1"/>
      <c r="BD221" s="1"/>
      <c r="BF221" s="1"/>
      <c r="BH221" s="1"/>
      <c r="BJ221" s="1"/>
      <c r="BL221" s="1"/>
      <c r="BN221" s="1"/>
      <c r="BP221" s="1"/>
      <c r="BR221" s="1"/>
      <c r="BT221" s="1"/>
      <c r="BV221" s="1"/>
      <c r="BX221" s="1"/>
      <c r="BZ221" s="1"/>
      <c r="CB221" s="1"/>
      <c r="CD221" s="1"/>
      <c r="CF221" s="1"/>
      <c r="CH221" s="1"/>
    </row>
    <row r="222" spans="1:86" ht="13.5" customHeight="1" x14ac:dyDescent="0.2">
      <c r="A222" s="1"/>
      <c r="B222" s="1"/>
      <c r="C222" s="1"/>
      <c r="D222" s="1"/>
      <c r="E222" s="52"/>
      <c r="F222" s="1"/>
      <c r="G222" s="52"/>
      <c r="H222" s="1"/>
      <c r="I222" s="52"/>
      <c r="J222" s="1"/>
      <c r="K222" s="52"/>
      <c r="L222" s="1"/>
      <c r="M222" s="52"/>
      <c r="N222" s="1"/>
      <c r="O222" s="52"/>
      <c r="P222" s="1"/>
      <c r="Q222" s="52"/>
      <c r="R222" s="1"/>
      <c r="S222" s="52"/>
      <c r="T222" s="1"/>
      <c r="U222" s="52"/>
      <c r="V222" s="1"/>
      <c r="W222" s="52"/>
      <c r="X222" s="1"/>
      <c r="Y222" s="1"/>
      <c r="Z222" s="1"/>
      <c r="AA222" s="1"/>
      <c r="AB222" s="1"/>
      <c r="AC222" s="1"/>
      <c r="AD222" s="1"/>
      <c r="AF222" s="1"/>
      <c r="AH222" s="1"/>
      <c r="AJ222" s="1"/>
      <c r="AL222" s="1"/>
      <c r="AN222" s="1"/>
      <c r="AP222" s="1"/>
      <c r="AR222" s="1"/>
      <c r="AT222" s="1"/>
      <c r="AV222" s="1"/>
      <c r="AX222" s="1"/>
      <c r="AZ222" s="1"/>
      <c r="BB222" s="1"/>
      <c r="BD222" s="1"/>
      <c r="BF222" s="1"/>
      <c r="BH222" s="1"/>
      <c r="BJ222" s="1"/>
      <c r="BL222" s="1"/>
      <c r="BN222" s="1"/>
      <c r="BP222" s="1"/>
      <c r="BR222" s="1"/>
      <c r="BT222" s="1"/>
      <c r="BV222" s="1"/>
      <c r="BX222" s="1"/>
      <c r="BZ222" s="1"/>
      <c r="CB222" s="1"/>
      <c r="CD222" s="1"/>
      <c r="CF222" s="1"/>
      <c r="CH222" s="1"/>
    </row>
    <row r="223" spans="1:86" ht="13.5" customHeight="1" x14ac:dyDescent="0.2">
      <c r="A223" s="1"/>
      <c r="B223" s="1"/>
      <c r="C223" s="1"/>
      <c r="D223" s="1"/>
      <c r="E223" s="52"/>
      <c r="F223" s="1"/>
      <c r="G223" s="52"/>
      <c r="H223" s="1"/>
      <c r="I223" s="52"/>
      <c r="J223" s="1"/>
      <c r="K223" s="52"/>
      <c r="L223" s="1"/>
      <c r="M223" s="52"/>
      <c r="N223" s="1"/>
      <c r="O223" s="52"/>
      <c r="P223" s="1"/>
      <c r="Q223" s="52"/>
      <c r="R223" s="1"/>
      <c r="S223" s="52"/>
      <c r="T223" s="1"/>
      <c r="U223" s="52"/>
      <c r="V223" s="1"/>
      <c r="W223" s="52"/>
      <c r="X223" s="1"/>
      <c r="Y223" s="1"/>
      <c r="Z223" s="1"/>
      <c r="AA223" s="1"/>
      <c r="AB223" s="1"/>
      <c r="AC223" s="1"/>
      <c r="AD223" s="1"/>
      <c r="AF223" s="1"/>
      <c r="AH223" s="1"/>
      <c r="AJ223" s="1"/>
      <c r="AL223" s="1"/>
      <c r="AN223" s="1"/>
      <c r="AP223" s="1"/>
      <c r="AR223" s="1"/>
      <c r="AT223" s="1"/>
      <c r="AV223" s="1"/>
      <c r="AX223" s="1"/>
      <c r="AZ223" s="1"/>
      <c r="BB223" s="1"/>
      <c r="BD223" s="1"/>
      <c r="BF223" s="1"/>
      <c r="BH223" s="1"/>
      <c r="BJ223" s="1"/>
      <c r="BL223" s="1"/>
      <c r="BN223" s="1"/>
      <c r="BP223" s="1"/>
      <c r="BR223" s="1"/>
      <c r="BT223" s="1"/>
      <c r="BV223" s="1"/>
      <c r="BX223" s="1"/>
      <c r="BZ223" s="1"/>
      <c r="CB223" s="1"/>
      <c r="CD223" s="1"/>
      <c r="CF223" s="1"/>
      <c r="CH223" s="1"/>
    </row>
    <row r="224" spans="1:86" ht="13.5" customHeight="1" x14ac:dyDescent="0.2">
      <c r="A224" s="1"/>
      <c r="B224" s="1"/>
      <c r="C224" s="1"/>
      <c r="D224" s="1"/>
      <c r="E224" s="52"/>
      <c r="F224" s="1"/>
      <c r="G224" s="52"/>
      <c r="H224" s="1"/>
      <c r="I224" s="52"/>
      <c r="J224" s="1"/>
      <c r="K224" s="52"/>
      <c r="L224" s="1"/>
      <c r="M224" s="52"/>
      <c r="N224" s="1"/>
      <c r="O224" s="52"/>
      <c r="P224" s="1"/>
      <c r="Q224" s="52"/>
      <c r="R224" s="1"/>
      <c r="S224" s="52"/>
      <c r="T224" s="1"/>
      <c r="U224" s="52"/>
      <c r="V224" s="1"/>
      <c r="W224" s="52"/>
      <c r="X224" s="1"/>
      <c r="Y224" s="1"/>
      <c r="Z224" s="1"/>
      <c r="AA224" s="1"/>
      <c r="AB224" s="1"/>
      <c r="AC224" s="1"/>
      <c r="AD224" s="1"/>
      <c r="AF224" s="1"/>
      <c r="AH224" s="1"/>
      <c r="AJ224" s="1"/>
      <c r="AL224" s="1"/>
      <c r="AN224" s="1"/>
      <c r="AP224" s="1"/>
      <c r="AR224" s="1"/>
      <c r="AT224" s="1"/>
      <c r="AV224" s="1"/>
      <c r="AX224" s="1"/>
      <c r="AZ224" s="1"/>
      <c r="BB224" s="1"/>
      <c r="BD224" s="1"/>
      <c r="BF224" s="1"/>
      <c r="BH224" s="1"/>
      <c r="BJ224" s="1"/>
      <c r="BL224" s="1"/>
      <c r="BN224" s="1"/>
      <c r="BP224" s="1"/>
      <c r="BR224" s="1"/>
      <c r="BT224" s="1"/>
      <c r="BV224" s="1"/>
      <c r="BX224" s="1"/>
      <c r="BZ224" s="1"/>
      <c r="CB224" s="1"/>
      <c r="CD224" s="1"/>
      <c r="CF224" s="1"/>
      <c r="CH224" s="1"/>
    </row>
    <row r="225" spans="1:86" ht="13.5" customHeight="1" x14ac:dyDescent="0.2">
      <c r="A225" s="1"/>
      <c r="B225" s="1"/>
      <c r="C225" s="1"/>
      <c r="D225" s="1"/>
      <c r="E225" s="52"/>
      <c r="F225" s="1"/>
      <c r="G225" s="52"/>
      <c r="H225" s="1"/>
      <c r="I225" s="52"/>
      <c r="J225" s="1"/>
      <c r="K225" s="52"/>
      <c r="L225" s="1"/>
      <c r="M225" s="52"/>
      <c r="N225" s="1"/>
      <c r="O225" s="52"/>
      <c r="P225" s="1"/>
      <c r="Q225" s="52"/>
      <c r="R225" s="1"/>
      <c r="S225" s="52"/>
      <c r="T225" s="1"/>
      <c r="U225" s="52"/>
      <c r="V225" s="1"/>
      <c r="W225" s="52"/>
      <c r="X225" s="1"/>
      <c r="Y225" s="1"/>
      <c r="Z225" s="1"/>
      <c r="AA225" s="1"/>
      <c r="AB225" s="1"/>
      <c r="AC225" s="1"/>
      <c r="AD225" s="1"/>
      <c r="AF225" s="1"/>
      <c r="AH225" s="1"/>
      <c r="AJ225" s="1"/>
      <c r="AL225" s="1"/>
      <c r="AN225" s="1"/>
      <c r="AP225" s="1"/>
      <c r="AR225" s="1"/>
      <c r="AT225" s="1"/>
      <c r="AV225" s="1"/>
      <c r="AX225" s="1"/>
      <c r="AZ225" s="1"/>
      <c r="BB225" s="1"/>
      <c r="BD225" s="1"/>
      <c r="BF225" s="1"/>
      <c r="BH225" s="1"/>
      <c r="BJ225" s="1"/>
      <c r="BL225" s="1"/>
      <c r="BN225" s="1"/>
      <c r="BP225" s="1"/>
      <c r="BR225" s="1"/>
      <c r="BT225" s="1"/>
      <c r="BV225" s="1"/>
      <c r="BX225" s="1"/>
      <c r="BZ225" s="1"/>
      <c r="CB225" s="1"/>
      <c r="CD225" s="1"/>
      <c r="CF225" s="1"/>
      <c r="CH225" s="1"/>
    </row>
    <row r="226" spans="1:86" ht="13.5" customHeight="1" x14ac:dyDescent="0.2">
      <c r="A226" s="1"/>
      <c r="B226" s="1"/>
      <c r="C226" s="1"/>
      <c r="D226" s="1"/>
      <c r="E226" s="52"/>
      <c r="F226" s="1"/>
      <c r="G226" s="52"/>
      <c r="H226" s="1"/>
      <c r="I226" s="52"/>
      <c r="J226" s="1"/>
      <c r="K226" s="52"/>
      <c r="L226" s="1"/>
      <c r="M226" s="52"/>
      <c r="N226" s="1"/>
      <c r="O226" s="52"/>
      <c r="P226" s="1"/>
      <c r="Q226" s="52"/>
      <c r="R226" s="1"/>
      <c r="S226" s="52"/>
      <c r="T226" s="1"/>
      <c r="U226" s="52"/>
      <c r="V226" s="1"/>
      <c r="W226" s="52"/>
      <c r="X226" s="1"/>
      <c r="Y226" s="1"/>
      <c r="Z226" s="1"/>
      <c r="AA226" s="1"/>
      <c r="AB226" s="1"/>
      <c r="AC226" s="1"/>
      <c r="AD226" s="1"/>
      <c r="AF226" s="1"/>
      <c r="AH226" s="1"/>
      <c r="AJ226" s="1"/>
      <c r="AL226" s="1"/>
      <c r="AN226" s="1"/>
      <c r="AP226" s="1"/>
      <c r="AR226" s="1"/>
      <c r="AT226" s="1"/>
      <c r="AV226" s="1"/>
      <c r="AX226" s="1"/>
      <c r="AZ226" s="1"/>
      <c r="BB226" s="1"/>
      <c r="BD226" s="1"/>
      <c r="BF226" s="1"/>
      <c r="BH226" s="1"/>
      <c r="BJ226" s="1"/>
      <c r="BL226" s="1"/>
      <c r="BN226" s="1"/>
      <c r="BP226" s="1"/>
      <c r="BR226" s="1"/>
      <c r="BT226" s="1"/>
      <c r="BV226" s="1"/>
      <c r="BX226" s="1"/>
      <c r="BZ226" s="1"/>
      <c r="CB226" s="1"/>
      <c r="CD226" s="1"/>
      <c r="CF226" s="1"/>
      <c r="CH226" s="1"/>
    </row>
    <row r="227" spans="1:86" ht="13.5" customHeight="1" x14ac:dyDescent="0.2">
      <c r="A227" s="1"/>
      <c r="B227" s="1"/>
      <c r="C227" s="1"/>
      <c r="D227" s="1"/>
      <c r="E227" s="52"/>
      <c r="F227" s="1"/>
      <c r="G227" s="52"/>
      <c r="H227" s="1"/>
      <c r="I227" s="52"/>
      <c r="J227" s="1"/>
      <c r="K227" s="52"/>
      <c r="L227" s="1"/>
      <c r="M227" s="52"/>
      <c r="N227" s="1"/>
      <c r="O227" s="52"/>
      <c r="P227" s="1"/>
      <c r="Q227" s="52"/>
      <c r="R227" s="1"/>
      <c r="S227" s="52"/>
      <c r="T227" s="1"/>
      <c r="U227" s="52"/>
      <c r="V227" s="1"/>
      <c r="W227" s="52"/>
      <c r="X227" s="1"/>
      <c r="Y227" s="1"/>
      <c r="Z227" s="1"/>
      <c r="AA227" s="1"/>
      <c r="AB227" s="1"/>
      <c r="AC227" s="1"/>
      <c r="AD227" s="1"/>
      <c r="AF227" s="1"/>
      <c r="AH227" s="1"/>
      <c r="AJ227" s="1"/>
      <c r="AL227" s="1"/>
      <c r="AN227" s="1"/>
      <c r="AP227" s="1"/>
      <c r="AR227" s="1"/>
      <c r="AT227" s="1"/>
      <c r="AV227" s="1"/>
      <c r="AX227" s="1"/>
      <c r="AZ227" s="1"/>
      <c r="BB227" s="1"/>
      <c r="BD227" s="1"/>
      <c r="BF227" s="1"/>
      <c r="BH227" s="1"/>
      <c r="BJ227" s="1"/>
      <c r="BL227" s="1"/>
      <c r="BN227" s="1"/>
      <c r="BP227" s="1"/>
      <c r="BR227" s="1"/>
      <c r="BT227" s="1"/>
      <c r="BV227" s="1"/>
      <c r="BX227" s="1"/>
      <c r="BZ227" s="1"/>
      <c r="CB227" s="1"/>
      <c r="CD227" s="1"/>
      <c r="CF227" s="1"/>
      <c r="CH227" s="1"/>
    </row>
    <row r="228" spans="1:86" ht="13.5" customHeight="1" x14ac:dyDescent="0.2">
      <c r="A228" s="1"/>
      <c r="B228" s="1"/>
      <c r="C228" s="1"/>
      <c r="D228" s="1"/>
      <c r="E228" s="52"/>
      <c r="F228" s="1"/>
      <c r="G228" s="52"/>
      <c r="H228" s="1"/>
      <c r="I228" s="52"/>
      <c r="J228" s="1"/>
      <c r="K228" s="52"/>
      <c r="L228" s="1"/>
      <c r="M228" s="52"/>
      <c r="N228" s="1"/>
      <c r="O228" s="52"/>
      <c r="P228" s="1"/>
      <c r="Q228" s="52"/>
      <c r="R228" s="1"/>
      <c r="S228" s="52"/>
      <c r="T228" s="1"/>
      <c r="U228" s="52"/>
      <c r="V228" s="1"/>
      <c r="W228" s="52"/>
      <c r="X228" s="1"/>
      <c r="Y228" s="1"/>
      <c r="Z228" s="1"/>
      <c r="AA228" s="1"/>
      <c r="AB228" s="1"/>
      <c r="AC228" s="1"/>
      <c r="AD228" s="1"/>
      <c r="AF228" s="1"/>
      <c r="AH228" s="1"/>
      <c r="AJ228" s="1"/>
      <c r="AL228" s="1"/>
      <c r="AN228" s="1"/>
      <c r="AP228" s="1"/>
      <c r="AR228" s="1"/>
      <c r="AT228" s="1"/>
      <c r="AV228" s="1"/>
      <c r="AX228" s="1"/>
      <c r="AZ228" s="1"/>
      <c r="BB228" s="1"/>
      <c r="BD228" s="1"/>
      <c r="BF228" s="1"/>
      <c r="BH228" s="1"/>
      <c r="BJ228" s="1"/>
      <c r="BL228" s="1"/>
      <c r="BN228" s="1"/>
      <c r="BP228" s="1"/>
      <c r="BR228" s="1"/>
      <c r="BT228" s="1"/>
      <c r="BV228" s="1"/>
      <c r="BX228" s="1"/>
      <c r="BZ228" s="1"/>
      <c r="CB228" s="1"/>
      <c r="CD228" s="1"/>
      <c r="CF228" s="1"/>
      <c r="CH228" s="1"/>
    </row>
    <row r="229" spans="1:86" ht="13.5" customHeight="1" x14ac:dyDescent="0.2">
      <c r="A229" s="1"/>
      <c r="B229" s="1"/>
      <c r="C229" s="1"/>
      <c r="D229" s="1"/>
      <c r="E229" s="52"/>
      <c r="F229" s="1"/>
      <c r="G229" s="52"/>
      <c r="H229" s="1"/>
      <c r="I229" s="52"/>
      <c r="J229" s="1"/>
      <c r="K229" s="52"/>
      <c r="L229" s="1"/>
      <c r="M229" s="52"/>
      <c r="N229" s="1"/>
      <c r="O229" s="52"/>
      <c r="P229" s="1"/>
      <c r="Q229" s="52"/>
      <c r="R229" s="1"/>
      <c r="S229" s="52"/>
      <c r="T229" s="1"/>
      <c r="U229" s="52"/>
      <c r="V229" s="1"/>
      <c r="W229" s="52"/>
      <c r="X229" s="1"/>
      <c r="Y229" s="1"/>
      <c r="Z229" s="1"/>
      <c r="AA229" s="1"/>
      <c r="AB229" s="1"/>
      <c r="AC229" s="1"/>
      <c r="AD229" s="1"/>
      <c r="AF229" s="1"/>
      <c r="AH229" s="1"/>
      <c r="AJ229" s="1"/>
      <c r="AL229" s="1"/>
      <c r="AN229" s="1"/>
      <c r="AP229" s="1"/>
      <c r="AR229" s="1"/>
      <c r="AT229" s="1"/>
      <c r="AV229" s="1"/>
      <c r="AX229" s="1"/>
      <c r="AZ229" s="1"/>
      <c r="BB229" s="1"/>
      <c r="BD229" s="1"/>
      <c r="BF229" s="1"/>
      <c r="BH229" s="1"/>
      <c r="BJ229" s="1"/>
      <c r="BL229" s="1"/>
      <c r="BN229" s="1"/>
      <c r="BP229" s="1"/>
      <c r="BR229" s="1"/>
      <c r="BT229" s="1"/>
      <c r="BV229" s="1"/>
      <c r="BX229" s="1"/>
      <c r="BZ229" s="1"/>
      <c r="CB229" s="1"/>
      <c r="CD229" s="1"/>
      <c r="CF229" s="1"/>
      <c r="CH229" s="1"/>
    </row>
    <row r="230" spans="1:86" ht="13.5" customHeight="1" x14ac:dyDescent="0.2">
      <c r="A230" s="1"/>
      <c r="B230" s="1"/>
      <c r="C230" s="1"/>
      <c r="D230" s="1"/>
      <c r="E230" s="52"/>
      <c r="F230" s="1"/>
      <c r="G230" s="52"/>
      <c r="H230" s="1"/>
      <c r="I230" s="52"/>
      <c r="J230" s="1"/>
      <c r="K230" s="52"/>
      <c r="L230" s="1"/>
      <c r="M230" s="52"/>
      <c r="N230" s="1"/>
      <c r="O230" s="52"/>
      <c r="P230" s="1"/>
      <c r="Q230" s="52"/>
      <c r="R230" s="1"/>
      <c r="S230" s="52"/>
      <c r="T230" s="1"/>
      <c r="U230" s="52"/>
      <c r="V230" s="1"/>
      <c r="W230" s="52"/>
      <c r="X230" s="1"/>
      <c r="Y230" s="1"/>
      <c r="Z230" s="1"/>
      <c r="AA230" s="1"/>
      <c r="AB230" s="1"/>
      <c r="AC230" s="1"/>
      <c r="AD230" s="1"/>
      <c r="AF230" s="1"/>
      <c r="AH230" s="1"/>
      <c r="AJ230" s="1"/>
      <c r="AL230" s="1"/>
      <c r="AN230" s="1"/>
      <c r="AP230" s="1"/>
      <c r="AR230" s="1"/>
      <c r="AT230" s="1"/>
      <c r="AV230" s="1"/>
      <c r="AX230" s="1"/>
      <c r="AZ230" s="1"/>
      <c r="BB230" s="1"/>
      <c r="BD230" s="1"/>
      <c r="BF230" s="1"/>
      <c r="BH230" s="1"/>
      <c r="BJ230" s="1"/>
      <c r="BL230" s="1"/>
      <c r="BN230" s="1"/>
      <c r="BP230" s="1"/>
      <c r="BR230" s="1"/>
      <c r="BT230" s="1"/>
      <c r="BV230" s="1"/>
      <c r="BX230" s="1"/>
      <c r="BZ230" s="1"/>
      <c r="CB230" s="1"/>
      <c r="CD230" s="1"/>
      <c r="CF230" s="1"/>
      <c r="CH230" s="1"/>
    </row>
    <row r="231" spans="1:86" ht="13.5" customHeight="1" x14ac:dyDescent="0.2">
      <c r="A231" s="1"/>
      <c r="B231" s="1"/>
      <c r="C231" s="1"/>
      <c r="D231" s="1"/>
      <c r="E231" s="52"/>
      <c r="F231" s="1"/>
      <c r="G231" s="52"/>
      <c r="H231" s="1"/>
      <c r="I231" s="52"/>
      <c r="J231" s="1"/>
      <c r="K231" s="52"/>
      <c r="L231" s="1"/>
      <c r="M231" s="52"/>
      <c r="N231" s="1"/>
      <c r="O231" s="52"/>
      <c r="P231" s="1"/>
      <c r="Q231" s="52"/>
      <c r="R231" s="1"/>
      <c r="S231" s="52"/>
      <c r="T231" s="1"/>
      <c r="U231" s="52"/>
      <c r="V231" s="1"/>
      <c r="W231" s="52"/>
      <c r="X231" s="1"/>
      <c r="Y231" s="1"/>
      <c r="Z231" s="1"/>
      <c r="AA231" s="1"/>
      <c r="AB231" s="1"/>
      <c r="AC231" s="1"/>
      <c r="AD231" s="1"/>
      <c r="AF231" s="1"/>
      <c r="AH231" s="1"/>
      <c r="AJ231" s="1"/>
      <c r="AL231" s="1"/>
      <c r="AN231" s="1"/>
      <c r="AP231" s="1"/>
      <c r="AR231" s="1"/>
      <c r="AT231" s="1"/>
      <c r="AV231" s="1"/>
      <c r="AX231" s="1"/>
      <c r="AZ231" s="1"/>
      <c r="BB231" s="1"/>
      <c r="BD231" s="1"/>
      <c r="BF231" s="1"/>
      <c r="BH231" s="1"/>
      <c r="BJ231" s="1"/>
      <c r="BL231" s="1"/>
      <c r="BN231" s="1"/>
      <c r="BP231" s="1"/>
      <c r="BR231" s="1"/>
      <c r="BT231" s="1"/>
      <c r="BV231" s="1"/>
      <c r="BX231" s="1"/>
      <c r="BZ231" s="1"/>
      <c r="CB231" s="1"/>
      <c r="CD231" s="1"/>
      <c r="CF231" s="1"/>
      <c r="CH231" s="1"/>
    </row>
    <row r="232" spans="1:86" ht="13.5" customHeight="1" x14ac:dyDescent="0.2">
      <c r="A232" s="1"/>
      <c r="B232" s="1"/>
      <c r="C232" s="1"/>
      <c r="D232" s="1"/>
      <c r="E232" s="52"/>
      <c r="F232" s="1"/>
      <c r="G232" s="52"/>
      <c r="H232" s="1"/>
      <c r="I232" s="52"/>
      <c r="J232" s="1"/>
      <c r="K232" s="52"/>
      <c r="L232" s="1"/>
      <c r="M232" s="52"/>
      <c r="N232" s="1"/>
      <c r="O232" s="52"/>
      <c r="P232" s="1"/>
      <c r="Q232" s="52"/>
      <c r="R232" s="1"/>
      <c r="S232" s="52"/>
      <c r="T232" s="1"/>
      <c r="U232" s="52"/>
      <c r="V232" s="1"/>
      <c r="W232" s="52"/>
      <c r="X232" s="1"/>
      <c r="Y232" s="1"/>
      <c r="Z232" s="1"/>
      <c r="AA232" s="1"/>
      <c r="AB232" s="1"/>
      <c r="AC232" s="1"/>
      <c r="AD232" s="1"/>
      <c r="AF232" s="1"/>
      <c r="AH232" s="1"/>
      <c r="AJ232" s="1"/>
      <c r="AL232" s="1"/>
      <c r="AN232" s="1"/>
      <c r="AP232" s="1"/>
      <c r="AR232" s="1"/>
      <c r="AT232" s="1"/>
      <c r="AV232" s="1"/>
      <c r="AX232" s="1"/>
      <c r="AZ232" s="1"/>
      <c r="BB232" s="1"/>
      <c r="BD232" s="1"/>
      <c r="BF232" s="1"/>
      <c r="BH232" s="1"/>
      <c r="BJ232" s="1"/>
      <c r="BL232" s="1"/>
      <c r="BN232" s="1"/>
      <c r="BP232" s="1"/>
      <c r="BR232" s="1"/>
      <c r="BT232" s="1"/>
      <c r="BV232" s="1"/>
      <c r="BX232" s="1"/>
      <c r="BZ232" s="1"/>
      <c r="CB232" s="1"/>
      <c r="CD232" s="1"/>
      <c r="CF232" s="1"/>
      <c r="CH232" s="1"/>
    </row>
    <row r="233" spans="1:86" ht="13.5" customHeight="1" x14ac:dyDescent="0.2">
      <c r="A233" s="1"/>
      <c r="B233" s="1"/>
      <c r="C233" s="1"/>
      <c r="D233" s="1"/>
      <c r="E233" s="52"/>
      <c r="F233" s="1"/>
      <c r="G233" s="52"/>
      <c r="H233" s="1"/>
      <c r="I233" s="52"/>
      <c r="J233" s="1"/>
      <c r="K233" s="52"/>
      <c r="L233" s="1"/>
      <c r="M233" s="52"/>
      <c r="N233" s="1"/>
      <c r="O233" s="52"/>
      <c r="P233" s="1"/>
      <c r="Q233" s="52"/>
      <c r="R233" s="1"/>
      <c r="S233" s="52"/>
      <c r="T233" s="1"/>
      <c r="U233" s="52"/>
      <c r="V233" s="1"/>
      <c r="W233" s="52"/>
      <c r="X233" s="1"/>
      <c r="Y233" s="1"/>
      <c r="Z233" s="1"/>
      <c r="AA233" s="1"/>
      <c r="AB233" s="1"/>
      <c r="AC233" s="1"/>
      <c r="AD233" s="1"/>
      <c r="AF233" s="1"/>
      <c r="AH233" s="1"/>
      <c r="AJ233" s="1"/>
      <c r="AL233" s="1"/>
      <c r="AN233" s="1"/>
      <c r="AP233" s="1"/>
      <c r="AR233" s="1"/>
      <c r="AT233" s="1"/>
      <c r="AV233" s="1"/>
      <c r="AX233" s="1"/>
      <c r="AZ233" s="1"/>
      <c r="BB233" s="1"/>
      <c r="BD233" s="1"/>
      <c r="BF233" s="1"/>
      <c r="BH233" s="1"/>
      <c r="BJ233" s="1"/>
      <c r="BL233" s="1"/>
      <c r="BN233" s="1"/>
      <c r="BP233" s="1"/>
      <c r="BR233" s="1"/>
      <c r="BT233" s="1"/>
      <c r="BV233" s="1"/>
      <c r="BX233" s="1"/>
      <c r="BZ233" s="1"/>
      <c r="CB233" s="1"/>
      <c r="CD233" s="1"/>
      <c r="CF233" s="1"/>
      <c r="CH233" s="1"/>
    </row>
    <row r="234" spans="1:86" ht="13.5" customHeight="1" x14ac:dyDescent="0.2">
      <c r="A234" s="1"/>
      <c r="B234" s="1"/>
      <c r="C234" s="1"/>
      <c r="D234" s="1"/>
      <c r="E234" s="52"/>
      <c r="F234" s="1"/>
      <c r="G234" s="52"/>
      <c r="H234" s="1"/>
      <c r="I234" s="52"/>
      <c r="J234" s="1"/>
      <c r="K234" s="52"/>
      <c r="L234" s="1"/>
      <c r="M234" s="52"/>
      <c r="N234" s="1"/>
      <c r="O234" s="52"/>
      <c r="P234" s="1"/>
      <c r="Q234" s="52"/>
      <c r="R234" s="1"/>
      <c r="S234" s="52"/>
      <c r="T234" s="1"/>
      <c r="U234" s="52"/>
      <c r="V234" s="1"/>
      <c r="W234" s="52"/>
      <c r="X234" s="1"/>
      <c r="Y234" s="1"/>
      <c r="Z234" s="1"/>
      <c r="AA234" s="1"/>
      <c r="AB234" s="1"/>
      <c r="AC234" s="1"/>
      <c r="AD234" s="1"/>
      <c r="AF234" s="1"/>
      <c r="AH234" s="1"/>
      <c r="AJ234" s="1"/>
      <c r="AL234" s="1"/>
      <c r="AN234" s="1"/>
      <c r="AP234" s="1"/>
      <c r="AR234" s="1"/>
      <c r="AT234" s="1"/>
      <c r="AV234" s="1"/>
      <c r="AX234" s="1"/>
      <c r="AZ234" s="1"/>
      <c r="BB234" s="1"/>
      <c r="BD234" s="1"/>
      <c r="BF234" s="1"/>
      <c r="BH234" s="1"/>
      <c r="BJ234" s="1"/>
      <c r="BL234" s="1"/>
      <c r="BN234" s="1"/>
      <c r="BP234" s="1"/>
      <c r="BR234" s="1"/>
      <c r="BT234" s="1"/>
      <c r="BV234" s="1"/>
      <c r="BX234" s="1"/>
      <c r="BZ234" s="1"/>
      <c r="CB234" s="1"/>
      <c r="CD234" s="1"/>
      <c r="CF234" s="1"/>
      <c r="CH234" s="1"/>
    </row>
    <row r="235" spans="1:86" ht="13.5" customHeight="1" x14ac:dyDescent="0.2">
      <c r="A235" s="1"/>
      <c r="B235" s="1"/>
      <c r="C235" s="1"/>
      <c r="D235" s="1"/>
      <c r="E235" s="52"/>
      <c r="F235" s="1"/>
      <c r="G235" s="52"/>
      <c r="H235" s="1"/>
      <c r="I235" s="52"/>
      <c r="J235" s="1"/>
      <c r="K235" s="52"/>
      <c r="L235" s="1"/>
      <c r="M235" s="52"/>
      <c r="N235" s="1"/>
      <c r="O235" s="52"/>
      <c r="P235" s="1"/>
      <c r="Q235" s="52"/>
      <c r="R235" s="1"/>
      <c r="S235" s="52"/>
      <c r="T235" s="1"/>
      <c r="U235" s="52"/>
      <c r="V235" s="1"/>
      <c r="W235" s="52"/>
      <c r="X235" s="1"/>
      <c r="Y235" s="1"/>
      <c r="Z235" s="1"/>
      <c r="AA235" s="1"/>
      <c r="AB235" s="1"/>
      <c r="AC235" s="1"/>
      <c r="AD235" s="1"/>
      <c r="AF235" s="1"/>
      <c r="AH235" s="1"/>
      <c r="AJ235" s="1"/>
      <c r="AL235" s="1"/>
      <c r="AN235" s="1"/>
      <c r="AP235" s="1"/>
      <c r="AR235" s="1"/>
      <c r="AT235" s="1"/>
      <c r="AV235" s="1"/>
      <c r="AX235" s="1"/>
      <c r="AZ235" s="1"/>
      <c r="BB235" s="1"/>
      <c r="BD235" s="1"/>
      <c r="BF235" s="1"/>
      <c r="BH235" s="1"/>
      <c r="BJ235" s="1"/>
      <c r="BL235" s="1"/>
      <c r="BN235" s="1"/>
      <c r="BP235" s="1"/>
      <c r="BR235" s="1"/>
      <c r="BT235" s="1"/>
      <c r="BV235" s="1"/>
      <c r="BX235" s="1"/>
      <c r="BZ235" s="1"/>
      <c r="CB235" s="1"/>
      <c r="CD235" s="1"/>
      <c r="CF235" s="1"/>
      <c r="CH235" s="1"/>
    </row>
    <row r="236" spans="1:86" ht="13.5" customHeight="1" x14ac:dyDescent="0.2">
      <c r="A236" s="1"/>
      <c r="B236" s="1"/>
      <c r="C236" s="1"/>
      <c r="D236" s="1"/>
      <c r="E236" s="52"/>
      <c r="F236" s="1"/>
      <c r="G236" s="52"/>
      <c r="H236" s="1"/>
      <c r="I236" s="52"/>
      <c r="J236" s="1"/>
      <c r="K236" s="52"/>
      <c r="L236" s="1"/>
      <c r="M236" s="52"/>
      <c r="N236" s="1"/>
      <c r="O236" s="52"/>
      <c r="P236" s="1"/>
      <c r="Q236" s="52"/>
      <c r="R236" s="1"/>
      <c r="S236" s="52"/>
      <c r="T236" s="1"/>
      <c r="U236" s="52"/>
      <c r="V236" s="1"/>
      <c r="W236" s="52"/>
      <c r="X236" s="1"/>
      <c r="Y236" s="1"/>
      <c r="Z236" s="1"/>
      <c r="AA236" s="1"/>
      <c r="AB236" s="1"/>
      <c r="AC236" s="1"/>
      <c r="AD236" s="1"/>
      <c r="AF236" s="1"/>
      <c r="AH236" s="1"/>
      <c r="AJ236" s="1"/>
      <c r="AL236" s="1"/>
      <c r="AN236" s="1"/>
      <c r="AP236" s="1"/>
      <c r="AR236" s="1"/>
      <c r="AT236" s="1"/>
      <c r="AV236" s="1"/>
      <c r="AX236" s="1"/>
      <c r="AZ236" s="1"/>
      <c r="BB236" s="1"/>
      <c r="BD236" s="1"/>
      <c r="BF236" s="1"/>
      <c r="BH236" s="1"/>
      <c r="BJ236" s="1"/>
      <c r="BL236" s="1"/>
      <c r="BN236" s="1"/>
      <c r="BP236" s="1"/>
      <c r="BR236" s="1"/>
      <c r="BT236" s="1"/>
      <c r="BV236" s="1"/>
      <c r="BX236" s="1"/>
      <c r="BZ236" s="1"/>
      <c r="CB236" s="1"/>
      <c r="CD236" s="1"/>
      <c r="CF236" s="1"/>
      <c r="CH236" s="1"/>
    </row>
    <row r="237" spans="1:86" ht="13.5" customHeight="1" x14ac:dyDescent="0.2">
      <c r="A237" s="1"/>
      <c r="B237" s="1"/>
      <c r="C237" s="1"/>
      <c r="D237" s="1"/>
      <c r="E237" s="52"/>
      <c r="F237" s="1"/>
      <c r="G237" s="52"/>
      <c r="H237" s="1"/>
      <c r="I237" s="52"/>
      <c r="J237" s="1"/>
      <c r="K237" s="52"/>
      <c r="L237" s="1"/>
      <c r="M237" s="52"/>
      <c r="N237" s="1"/>
      <c r="O237" s="52"/>
      <c r="P237" s="1"/>
      <c r="Q237" s="52"/>
      <c r="R237" s="1"/>
      <c r="S237" s="52"/>
      <c r="T237" s="1"/>
      <c r="U237" s="52"/>
      <c r="V237" s="1"/>
      <c r="W237" s="52"/>
      <c r="X237" s="1"/>
      <c r="Y237" s="1"/>
      <c r="Z237" s="1"/>
      <c r="AA237" s="1"/>
      <c r="AB237" s="1"/>
      <c r="AC237" s="1"/>
      <c r="AD237" s="1"/>
      <c r="AF237" s="1"/>
      <c r="AH237" s="1"/>
      <c r="AJ237" s="1"/>
      <c r="AL237" s="1"/>
      <c r="AN237" s="1"/>
      <c r="AP237" s="1"/>
      <c r="AR237" s="1"/>
      <c r="AT237" s="1"/>
      <c r="AV237" s="1"/>
      <c r="AX237" s="1"/>
      <c r="AZ237" s="1"/>
      <c r="BB237" s="1"/>
      <c r="BD237" s="1"/>
      <c r="BF237" s="1"/>
      <c r="BH237" s="1"/>
      <c r="BJ237" s="1"/>
      <c r="BL237" s="1"/>
      <c r="BN237" s="1"/>
      <c r="BP237" s="1"/>
      <c r="BR237" s="1"/>
      <c r="BT237" s="1"/>
      <c r="BV237" s="1"/>
      <c r="BX237" s="1"/>
      <c r="BZ237" s="1"/>
      <c r="CB237" s="1"/>
      <c r="CD237" s="1"/>
      <c r="CF237" s="1"/>
      <c r="CH237" s="1"/>
    </row>
    <row r="238" spans="1:86" ht="13.5" customHeight="1" x14ac:dyDescent="0.2">
      <c r="A238" s="1"/>
      <c r="B238" s="1"/>
      <c r="C238" s="1"/>
      <c r="D238" s="1"/>
      <c r="E238" s="52"/>
      <c r="F238" s="1"/>
      <c r="G238" s="52"/>
      <c r="H238" s="1"/>
      <c r="I238" s="52"/>
      <c r="J238" s="1"/>
      <c r="K238" s="52"/>
      <c r="L238" s="1"/>
      <c r="M238" s="52"/>
      <c r="N238" s="1"/>
      <c r="O238" s="52"/>
      <c r="P238" s="1"/>
      <c r="Q238" s="52"/>
      <c r="R238" s="1"/>
      <c r="S238" s="52"/>
      <c r="T238" s="1"/>
      <c r="U238" s="52"/>
      <c r="V238" s="1"/>
      <c r="W238" s="52"/>
      <c r="X238" s="1"/>
      <c r="Y238" s="1"/>
      <c r="Z238" s="1"/>
      <c r="AA238" s="1"/>
      <c r="AB238" s="1"/>
      <c r="AC238" s="1"/>
      <c r="AD238" s="1"/>
      <c r="AF238" s="1"/>
      <c r="AH238" s="1"/>
      <c r="AJ238" s="1"/>
      <c r="AL238" s="1"/>
      <c r="AN238" s="1"/>
      <c r="AP238" s="1"/>
      <c r="AR238" s="1"/>
      <c r="AT238" s="1"/>
      <c r="AV238" s="1"/>
      <c r="AX238" s="1"/>
      <c r="AZ238" s="1"/>
      <c r="BB238" s="1"/>
      <c r="BD238" s="1"/>
      <c r="BF238" s="1"/>
      <c r="BH238" s="1"/>
      <c r="BJ238" s="1"/>
      <c r="BL238" s="1"/>
      <c r="BN238" s="1"/>
      <c r="BP238" s="1"/>
      <c r="BR238" s="1"/>
      <c r="BT238" s="1"/>
      <c r="BV238" s="1"/>
      <c r="BX238" s="1"/>
      <c r="BZ238" s="1"/>
      <c r="CB238" s="1"/>
      <c r="CD238" s="1"/>
      <c r="CF238" s="1"/>
      <c r="CH238" s="1"/>
    </row>
    <row r="239" spans="1:86" ht="13.5" customHeight="1" x14ac:dyDescent="0.2">
      <c r="A239" s="1"/>
      <c r="B239" s="1"/>
      <c r="C239" s="1"/>
      <c r="D239" s="1"/>
      <c r="E239" s="52"/>
      <c r="F239" s="1"/>
      <c r="G239" s="52"/>
      <c r="H239" s="1"/>
      <c r="I239" s="52"/>
      <c r="J239" s="1"/>
      <c r="K239" s="52"/>
      <c r="L239" s="1"/>
      <c r="M239" s="52"/>
      <c r="N239" s="1"/>
      <c r="O239" s="52"/>
      <c r="P239" s="1"/>
      <c r="Q239" s="52"/>
      <c r="R239" s="1"/>
      <c r="S239" s="52"/>
      <c r="T239" s="1"/>
      <c r="U239" s="52"/>
      <c r="V239" s="1"/>
      <c r="W239" s="52"/>
      <c r="X239" s="1"/>
      <c r="Y239" s="1"/>
      <c r="Z239" s="1"/>
      <c r="AA239" s="1"/>
      <c r="AB239" s="1"/>
      <c r="AC239" s="1"/>
      <c r="AD239" s="1"/>
      <c r="AF239" s="1"/>
      <c r="AH239" s="1"/>
      <c r="AJ239" s="1"/>
      <c r="AL239" s="1"/>
      <c r="AN239" s="1"/>
      <c r="AP239" s="1"/>
      <c r="AR239" s="1"/>
      <c r="AT239" s="1"/>
      <c r="AV239" s="1"/>
      <c r="AX239" s="1"/>
      <c r="AZ239" s="1"/>
      <c r="BB239" s="1"/>
      <c r="BD239" s="1"/>
      <c r="BF239" s="1"/>
      <c r="BH239" s="1"/>
      <c r="BJ239" s="1"/>
      <c r="BL239" s="1"/>
      <c r="BN239" s="1"/>
      <c r="BP239" s="1"/>
      <c r="BR239" s="1"/>
      <c r="BT239" s="1"/>
      <c r="BV239" s="1"/>
      <c r="BX239" s="1"/>
      <c r="BZ239" s="1"/>
      <c r="CB239" s="1"/>
      <c r="CD239" s="1"/>
      <c r="CF239" s="1"/>
      <c r="CH239" s="1"/>
    </row>
    <row r="240" spans="1:86" ht="13.5" customHeight="1" x14ac:dyDescent="0.2">
      <c r="A240" s="1"/>
      <c r="B240" s="1"/>
      <c r="C240" s="1"/>
      <c r="D240" s="1"/>
      <c r="E240" s="52"/>
      <c r="F240" s="1"/>
      <c r="G240" s="52"/>
      <c r="H240" s="1"/>
      <c r="I240" s="52"/>
      <c r="J240" s="1"/>
      <c r="K240" s="52"/>
      <c r="L240" s="1"/>
      <c r="M240" s="52"/>
      <c r="N240" s="1"/>
      <c r="O240" s="52"/>
      <c r="P240" s="1"/>
      <c r="Q240" s="52"/>
      <c r="R240" s="1"/>
      <c r="S240" s="52"/>
      <c r="T240" s="1"/>
      <c r="U240" s="52"/>
      <c r="V240" s="1"/>
      <c r="W240" s="52"/>
      <c r="X240" s="1"/>
      <c r="Y240" s="1"/>
      <c r="Z240" s="1"/>
      <c r="AA240" s="1"/>
      <c r="AB240" s="1"/>
      <c r="AC240" s="1"/>
      <c r="AD240" s="1"/>
      <c r="AF240" s="1"/>
      <c r="AH240" s="1"/>
      <c r="AJ240" s="1"/>
      <c r="AL240" s="1"/>
      <c r="AN240" s="1"/>
      <c r="AP240" s="1"/>
      <c r="AR240" s="1"/>
      <c r="AT240" s="1"/>
      <c r="AV240" s="1"/>
      <c r="AX240" s="1"/>
      <c r="AZ240" s="1"/>
      <c r="BB240" s="1"/>
      <c r="BD240" s="1"/>
      <c r="BF240" s="1"/>
      <c r="BH240" s="1"/>
      <c r="BJ240" s="1"/>
      <c r="BL240" s="1"/>
      <c r="BN240" s="1"/>
      <c r="BP240" s="1"/>
      <c r="BR240" s="1"/>
      <c r="BT240" s="1"/>
      <c r="BV240" s="1"/>
      <c r="BX240" s="1"/>
      <c r="BZ240" s="1"/>
      <c r="CB240" s="1"/>
      <c r="CD240" s="1"/>
      <c r="CF240" s="1"/>
      <c r="CH240" s="1"/>
    </row>
    <row r="241" spans="1:86" ht="13.5" customHeight="1" x14ac:dyDescent="0.2">
      <c r="A241" s="1"/>
      <c r="B241" s="1"/>
      <c r="C241" s="1"/>
      <c r="D241" s="1"/>
      <c r="E241" s="52"/>
      <c r="F241" s="1"/>
      <c r="G241" s="52"/>
      <c r="H241" s="1"/>
      <c r="I241" s="52"/>
      <c r="J241" s="1"/>
      <c r="K241" s="52"/>
      <c r="L241" s="1"/>
      <c r="M241" s="52"/>
      <c r="N241" s="1"/>
      <c r="O241" s="52"/>
      <c r="P241" s="1"/>
      <c r="Q241" s="52"/>
      <c r="R241" s="1"/>
      <c r="S241" s="52"/>
      <c r="T241" s="1"/>
      <c r="U241" s="52"/>
      <c r="V241" s="1"/>
      <c r="W241" s="52"/>
      <c r="X241" s="1"/>
      <c r="Y241" s="1"/>
      <c r="Z241" s="1"/>
      <c r="AA241" s="1"/>
      <c r="AB241" s="1"/>
      <c r="AC241" s="1"/>
      <c r="AD241" s="1"/>
      <c r="AF241" s="1"/>
      <c r="AH241" s="1"/>
      <c r="AJ241" s="1"/>
      <c r="AL241" s="1"/>
      <c r="AN241" s="1"/>
      <c r="AP241" s="1"/>
      <c r="AR241" s="1"/>
      <c r="AT241" s="1"/>
      <c r="AV241" s="1"/>
      <c r="AX241" s="1"/>
      <c r="AZ241" s="1"/>
      <c r="BB241" s="1"/>
      <c r="BD241" s="1"/>
      <c r="BF241" s="1"/>
      <c r="BH241" s="1"/>
      <c r="BJ241" s="1"/>
      <c r="BL241" s="1"/>
      <c r="BN241" s="1"/>
      <c r="BP241" s="1"/>
      <c r="BR241" s="1"/>
      <c r="BT241" s="1"/>
      <c r="BV241" s="1"/>
      <c r="BX241" s="1"/>
      <c r="BZ241" s="1"/>
      <c r="CB241" s="1"/>
      <c r="CD241" s="1"/>
      <c r="CF241" s="1"/>
      <c r="CH241" s="1"/>
    </row>
    <row r="242" spans="1:86" ht="13.5" customHeight="1" x14ac:dyDescent="0.2">
      <c r="A242" s="1"/>
      <c r="B242" s="1"/>
      <c r="C242" s="1"/>
      <c r="D242" s="1"/>
      <c r="E242" s="52"/>
      <c r="F242" s="1"/>
      <c r="G242" s="52"/>
      <c r="H242" s="1"/>
      <c r="I242" s="52"/>
      <c r="J242" s="1"/>
      <c r="K242" s="52"/>
      <c r="L242" s="1"/>
      <c r="M242" s="52"/>
      <c r="N242" s="1"/>
      <c r="O242" s="52"/>
      <c r="P242" s="1"/>
      <c r="Q242" s="52"/>
      <c r="R242" s="1"/>
      <c r="S242" s="52"/>
      <c r="T242" s="1"/>
      <c r="U242" s="52"/>
      <c r="V242" s="1"/>
      <c r="W242" s="52"/>
      <c r="X242" s="1"/>
      <c r="Y242" s="1"/>
      <c r="Z242" s="1"/>
      <c r="AA242" s="1"/>
      <c r="AB242" s="1"/>
      <c r="AC242" s="1"/>
      <c r="AD242" s="1"/>
      <c r="AF242" s="1"/>
      <c r="AH242" s="1"/>
      <c r="AJ242" s="1"/>
      <c r="AL242" s="1"/>
      <c r="AN242" s="1"/>
      <c r="AP242" s="1"/>
      <c r="AR242" s="1"/>
      <c r="AT242" s="1"/>
      <c r="AV242" s="1"/>
      <c r="AX242" s="1"/>
      <c r="AZ242" s="1"/>
      <c r="BB242" s="1"/>
      <c r="BD242" s="1"/>
      <c r="BF242" s="1"/>
      <c r="BH242" s="1"/>
      <c r="BJ242" s="1"/>
      <c r="BL242" s="1"/>
      <c r="BN242" s="1"/>
      <c r="BP242" s="1"/>
      <c r="BR242" s="1"/>
      <c r="BT242" s="1"/>
      <c r="BV242" s="1"/>
      <c r="BX242" s="1"/>
      <c r="BZ242" s="1"/>
      <c r="CB242" s="1"/>
      <c r="CD242" s="1"/>
      <c r="CF242" s="1"/>
      <c r="CH242" s="1"/>
    </row>
    <row r="243" spans="1:86" ht="13.5" customHeight="1" x14ac:dyDescent="0.2">
      <c r="A243" s="1"/>
      <c r="B243" s="1"/>
      <c r="C243" s="1"/>
      <c r="D243" s="1"/>
      <c r="E243" s="52"/>
      <c r="F243" s="1"/>
      <c r="G243" s="52"/>
      <c r="H243" s="1"/>
      <c r="I243" s="52"/>
      <c r="J243" s="1"/>
      <c r="K243" s="52"/>
      <c r="L243" s="1"/>
      <c r="M243" s="52"/>
      <c r="N243" s="1"/>
      <c r="O243" s="52"/>
      <c r="P243" s="1"/>
      <c r="Q243" s="52"/>
      <c r="R243" s="1"/>
      <c r="S243" s="52"/>
      <c r="T243" s="1"/>
      <c r="U243" s="52"/>
      <c r="V243" s="1"/>
      <c r="W243" s="52"/>
      <c r="X243" s="1"/>
      <c r="Y243" s="1"/>
      <c r="Z243" s="1"/>
      <c r="AA243" s="1"/>
      <c r="AB243" s="1"/>
      <c r="AC243" s="1"/>
      <c r="AD243" s="1"/>
      <c r="AF243" s="1"/>
      <c r="AH243" s="1"/>
      <c r="AJ243" s="1"/>
      <c r="AL243" s="1"/>
      <c r="AN243" s="1"/>
      <c r="AP243" s="1"/>
      <c r="AR243" s="1"/>
      <c r="AT243" s="1"/>
      <c r="AV243" s="1"/>
      <c r="AX243" s="1"/>
      <c r="AZ243" s="1"/>
      <c r="BB243" s="1"/>
      <c r="BD243" s="1"/>
      <c r="BF243" s="1"/>
      <c r="BH243" s="1"/>
      <c r="BJ243" s="1"/>
      <c r="BL243" s="1"/>
      <c r="BN243" s="1"/>
      <c r="BP243" s="1"/>
      <c r="BR243" s="1"/>
      <c r="BT243" s="1"/>
      <c r="BV243" s="1"/>
      <c r="BX243" s="1"/>
      <c r="BZ243" s="1"/>
      <c r="CB243" s="1"/>
      <c r="CD243" s="1"/>
      <c r="CF243" s="1"/>
      <c r="CH243" s="1"/>
    </row>
    <row r="244" spans="1:86" ht="13.5" customHeight="1" x14ac:dyDescent="0.2">
      <c r="A244" s="1"/>
      <c r="B244" s="1"/>
      <c r="C244" s="1"/>
      <c r="D244" s="1"/>
      <c r="E244" s="52"/>
      <c r="F244" s="1"/>
      <c r="G244" s="52"/>
      <c r="H244" s="1"/>
      <c r="I244" s="52"/>
      <c r="J244" s="1"/>
      <c r="K244" s="52"/>
      <c r="L244" s="1"/>
      <c r="M244" s="52"/>
      <c r="N244" s="1"/>
      <c r="O244" s="52"/>
      <c r="P244" s="1"/>
      <c r="Q244" s="52"/>
      <c r="R244" s="1"/>
      <c r="S244" s="52"/>
      <c r="T244" s="1"/>
      <c r="U244" s="52"/>
      <c r="V244" s="1"/>
      <c r="W244" s="52"/>
      <c r="X244" s="1"/>
      <c r="Y244" s="1"/>
      <c r="Z244" s="1"/>
      <c r="AA244" s="1"/>
      <c r="AB244" s="1"/>
      <c r="AC244" s="1"/>
      <c r="AD244" s="1"/>
      <c r="AF244" s="1"/>
      <c r="AH244" s="1"/>
      <c r="AJ244" s="1"/>
      <c r="AL244" s="1"/>
      <c r="AN244" s="1"/>
      <c r="AP244" s="1"/>
      <c r="AR244" s="1"/>
      <c r="AT244" s="1"/>
      <c r="AV244" s="1"/>
      <c r="AX244" s="1"/>
      <c r="AZ244" s="1"/>
      <c r="BB244" s="1"/>
      <c r="BD244" s="1"/>
      <c r="BF244" s="1"/>
      <c r="BH244" s="1"/>
      <c r="BJ244" s="1"/>
      <c r="BL244" s="1"/>
      <c r="BN244" s="1"/>
      <c r="BP244" s="1"/>
      <c r="BR244" s="1"/>
      <c r="BT244" s="1"/>
      <c r="BV244" s="1"/>
      <c r="BX244" s="1"/>
      <c r="BZ244" s="1"/>
      <c r="CB244" s="1"/>
      <c r="CD244" s="1"/>
      <c r="CF244" s="1"/>
      <c r="CH244" s="1"/>
    </row>
    <row r="245" spans="1:86" ht="13.5" customHeight="1" x14ac:dyDescent="0.2">
      <c r="A245" s="1"/>
      <c r="B245" s="1"/>
      <c r="C245" s="1"/>
      <c r="D245" s="1"/>
      <c r="E245" s="52"/>
      <c r="F245" s="1"/>
      <c r="G245" s="52"/>
      <c r="H245" s="1"/>
      <c r="I245" s="52"/>
      <c r="J245" s="1"/>
      <c r="K245" s="52"/>
      <c r="L245" s="1"/>
      <c r="M245" s="52"/>
      <c r="N245" s="1"/>
      <c r="O245" s="52"/>
      <c r="P245" s="1"/>
      <c r="Q245" s="52"/>
      <c r="R245" s="1"/>
      <c r="S245" s="52"/>
      <c r="T245" s="1"/>
      <c r="U245" s="52"/>
      <c r="V245" s="1"/>
      <c r="W245" s="52"/>
      <c r="X245" s="1"/>
      <c r="Y245" s="1"/>
      <c r="Z245" s="1"/>
      <c r="AA245" s="1"/>
      <c r="AB245" s="1"/>
      <c r="AC245" s="1"/>
      <c r="AD245" s="1"/>
      <c r="AF245" s="1"/>
      <c r="AH245" s="1"/>
      <c r="AJ245" s="1"/>
      <c r="AL245" s="1"/>
      <c r="AN245" s="1"/>
      <c r="AP245" s="1"/>
      <c r="AR245" s="1"/>
      <c r="AT245" s="1"/>
      <c r="AV245" s="1"/>
      <c r="AX245" s="1"/>
      <c r="AZ245" s="1"/>
      <c r="BB245" s="1"/>
      <c r="BD245" s="1"/>
      <c r="BF245" s="1"/>
      <c r="BH245" s="1"/>
      <c r="BJ245" s="1"/>
      <c r="BL245" s="1"/>
      <c r="BN245" s="1"/>
      <c r="BP245" s="1"/>
      <c r="BR245" s="1"/>
      <c r="BT245" s="1"/>
      <c r="BV245" s="1"/>
      <c r="BX245" s="1"/>
      <c r="BZ245" s="1"/>
      <c r="CB245" s="1"/>
      <c r="CD245" s="1"/>
      <c r="CF245" s="1"/>
      <c r="CH245" s="1"/>
    </row>
    <row r="246" spans="1:86" ht="13.5" customHeight="1" x14ac:dyDescent="0.2">
      <c r="A246" s="1"/>
      <c r="B246" s="1"/>
      <c r="C246" s="1"/>
      <c r="D246" s="1"/>
      <c r="E246" s="52"/>
      <c r="F246" s="1"/>
      <c r="G246" s="52"/>
      <c r="H246" s="1"/>
      <c r="I246" s="52"/>
      <c r="J246" s="1"/>
      <c r="K246" s="52"/>
      <c r="L246" s="1"/>
      <c r="M246" s="52"/>
      <c r="N246" s="1"/>
      <c r="O246" s="52"/>
      <c r="P246" s="1"/>
      <c r="Q246" s="52"/>
      <c r="R246" s="1"/>
      <c r="S246" s="52"/>
      <c r="T246" s="1"/>
      <c r="U246" s="52"/>
      <c r="V246" s="1"/>
      <c r="W246" s="52"/>
      <c r="X246" s="1"/>
      <c r="Y246" s="1"/>
      <c r="Z246" s="1"/>
      <c r="AA246" s="1"/>
      <c r="AB246" s="1"/>
      <c r="AC246" s="1"/>
      <c r="AD246" s="1"/>
      <c r="AF246" s="1"/>
      <c r="AH246" s="1"/>
      <c r="AJ246" s="1"/>
      <c r="AL246" s="1"/>
      <c r="AN246" s="1"/>
      <c r="AP246" s="1"/>
      <c r="AR246" s="1"/>
      <c r="AT246" s="1"/>
      <c r="AV246" s="1"/>
      <c r="AX246" s="1"/>
      <c r="AZ246" s="1"/>
      <c r="BB246" s="1"/>
      <c r="BD246" s="1"/>
      <c r="BF246" s="1"/>
      <c r="BH246" s="1"/>
      <c r="BJ246" s="1"/>
      <c r="BL246" s="1"/>
      <c r="BN246" s="1"/>
      <c r="BP246" s="1"/>
      <c r="BR246" s="1"/>
      <c r="BT246" s="1"/>
      <c r="BV246" s="1"/>
      <c r="BX246" s="1"/>
      <c r="BZ246" s="1"/>
      <c r="CB246" s="1"/>
      <c r="CD246" s="1"/>
      <c r="CF246" s="1"/>
      <c r="CH246" s="1"/>
    </row>
    <row r="247" spans="1:86" ht="13.5" customHeight="1" x14ac:dyDescent="0.2">
      <c r="A247" s="1"/>
      <c r="B247" s="1"/>
      <c r="C247" s="1"/>
      <c r="D247" s="1"/>
      <c r="E247" s="52"/>
      <c r="F247" s="1"/>
      <c r="G247" s="52"/>
      <c r="H247" s="1"/>
      <c r="I247" s="52"/>
      <c r="J247" s="1"/>
      <c r="K247" s="52"/>
      <c r="L247" s="1"/>
      <c r="M247" s="52"/>
      <c r="N247" s="1"/>
      <c r="O247" s="52"/>
      <c r="P247" s="1"/>
      <c r="Q247" s="52"/>
      <c r="R247" s="1"/>
      <c r="S247" s="52"/>
      <c r="T247" s="1"/>
      <c r="U247" s="52"/>
      <c r="V247" s="1"/>
      <c r="W247" s="52"/>
      <c r="X247" s="1"/>
      <c r="Y247" s="1"/>
      <c r="Z247" s="1"/>
      <c r="AA247" s="1"/>
      <c r="AB247" s="1"/>
      <c r="AC247" s="1"/>
      <c r="AD247" s="1"/>
      <c r="AF247" s="1"/>
      <c r="AH247" s="1"/>
      <c r="AJ247" s="1"/>
      <c r="AL247" s="1"/>
      <c r="AN247" s="1"/>
      <c r="AP247" s="1"/>
      <c r="AR247" s="1"/>
      <c r="AT247" s="1"/>
      <c r="AV247" s="1"/>
      <c r="AX247" s="1"/>
      <c r="AZ247" s="1"/>
      <c r="BB247" s="1"/>
      <c r="BD247" s="1"/>
      <c r="BF247" s="1"/>
      <c r="BH247" s="1"/>
      <c r="BJ247" s="1"/>
      <c r="BL247" s="1"/>
      <c r="BN247" s="1"/>
      <c r="BP247" s="1"/>
      <c r="BR247" s="1"/>
      <c r="BT247" s="1"/>
      <c r="BV247" s="1"/>
      <c r="BX247" s="1"/>
      <c r="BZ247" s="1"/>
      <c r="CB247" s="1"/>
      <c r="CD247" s="1"/>
      <c r="CF247" s="1"/>
      <c r="CH247" s="1"/>
    </row>
    <row r="248" spans="1:86" ht="13.5" customHeight="1" x14ac:dyDescent="0.2">
      <c r="A248" s="1"/>
      <c r="B248" s="1"/>
      <c r="C248" s="1"/>
      <c r="D248" s="1"/>
      <c r="E248" s="52"/>
      <c r="F248" s="1"/>
      <c r="G248" s="52"/>
      <c r="H248" s="1"/>
      <c r="I248" s="52"/>
      <c r="J248" s="1"/>
      <c r="K248" s="52"/>
      <c r="L248" s="1"/>
      <c r="M248" s="52"/>
      <c r="N248" s="1"/>
      <c r="O248" s="52"/>
      <c r="P248" s="1"/>
      <c r="Q248" s="52"/>
      <c r="R248" s="1"/>
      <c r="S248" s="52"/>
      <c r="T248" s="1"/>
      <c r="U248" s="52"/>
      <c r="V248" s="1"/>
      <c r="W248" s="52"/>
      <c r="X248" s="1"/>
      <c r="Y248" s="1"/>
      <c r="Z248" s="1"/>
      <c r="AA248" s="1"/>
      <c r="AB248" s="1"/>
      <c r="AC248" s="1"/>
      <c r="AD248" s="1"/>
      <c r="AF248" s="1"/>
      <c r="AH248" s="1"/>
      <c r="AJ248" s="1"/>
      <c r="AL248" s="1"/>
      <c r="AN248" s="1"/>
      <c r="AP248" s="1"/>
      <c r="AR248" s="1"/>
      <c r="AT248" s="1"/>
      <c r="AV248" s="1"/>
      <c r="AX248" s="1"/>
      <c r="AZ248" s="1"/>
      <c r="BB248" s="1"/>
      <c r="BD248" s="1"/>
      <c r="BF248" s="1"/>
      <c r="BH248" s="1"/>
      <c r="BJ248" s="1"/>
      <c r="BL248" s="1"/>
      <c r="BN248" s="1"/>
      <c r="BP248" s="1"/>
      <c r="BR248" s="1"/>
      <c r="BT248" s="1"/>
      <c r="BV248" s="1"/>
      <c r="BX248" s="1"/>
      <c r="BZ248" s="1"/>
      <c r="CB248" s="1"/>
      <c r="CD248" s="1"/>
      <c r="CF248" s="1"/>
      <c r="CH248" s="1"/>
    </row>
    <row r="249" spans="1:86" ht="13.5" customHeight="1" x14ac:dyDescent="0.2">
      <c r="A249" s="1"/>
      <c r="B249" s="1"/>
      <c r="C249" s="1"/>
      <c r="D249" s="1"/>
      <c r="E249" s="52"/>
      <c r="F249" s="1"/>
      <c r="G249" s="52"/>
      <c r="H249" s="1"/>
      <c r="I249" s="52"/>
      <c r="J249" s="1"/>
      <c r="K249" s="52"/>
      <c r="L249" s="1"/>
      <c r="M249" s="52"/>
      <c r="N249" s="1"/>
      <c r="O249" s="52"/>
      <c r="P249" s="1"/>
      <c r="Q249" s="52"/>
      <c r="R249" s="1"/>
      <c r="S249" s="52"/>
      <c r="T249" s="1"/>
      <c r="U249" s="52"/>
      <c r="V249" s="1"/>
      <c r="W249" s="52"/>
      <c r="X249" s="1"/>
      <c r="Y249" s="1"/>
      <c r="Z249" s="1"/>
      <c r="AA249" s="1"/>
      <c r="AB249" s="1"/>
      <c r="AC249" s="1"/>
      <c r="AD249" s="1"/>
      <c r="AF249" s="1"/>
      <c r="AH249" s="1"/>
      <c r="AJ249" s="1"/>
      <c r="AL249" s="1"/>
      <c r="AN249" s="1"/>
      <c r="AP249" s="1"/>
      <c r="AR249" s="1"/>
      <c r="AT249" s="1"/>
      <c r="AV249" s="1"/>
      <c r="AX249" s="1"/>
      <c r="AZ249" s="1"/>
      <c r="BB249" s="1"/>
      <c r="BD249" s="1"/>
      <c r="BF249" s="1"/>
      <c r="BH249" s="1"/>
      <c r="BJ249" s="1"/>
      <c r="BL249" s="1"/>
      <c r="BN249" s="1"/>
      <c r="BP249" s="1"/>
      <c r="BR249" s="1"/>
      <c r="BT249" s="1"/>
      <c r="BV249" s="1"/>
      <c r="BX249" s="1"/>
      <c r="BZ249" s="1"/>
      <c r="CB249" s="1"/>
      <c r="CD249" s="1"/>
      <c r="CF249" s="1"/>
      <c r="CH249" s="1"/>
    </row>
    <row r="250" spans="1:86" ht="13.5" customHeight="1" x14ac:dyDescent="0.2">
      <c r="A250" s="1"/>
      <c r="B250" s="1"/>
      <c r="C250" s="1"/>
      <c r="D250" s="1"/>
      <c r="E250" s="52"/>
      <c r="F250" s="1"/>
      <c r="G250" s="52"/>
      <c r="H250" s="1"/>
      <c r="I250" s="52"/>
      <c r="J250" s="1"/>
      <c r="K250" s="52"/>
      <c r="L250" s="1"/>
      <c r="M250" s="52"/>
      <c r="N250" s="1"/>
      <c r="O250" s="52"/>
      <c r="P250" s="1"/>
      <c r="Q250" s="52"/>
      <c r="R250" s="1"/>
      <c r="S250" s="52"/>
      <c r="T250" s="1"/>
      <c r="U250" s="52"/>
      <c r="V250" s="1"/>
      <c r="W250" s="52"/>
      <c r="X250" s="1"/>
      <c r="Y250" s="1"/>
      <c r="Z250" s="1"/>
      <c r="AA250" s="1"/>
      <c r="AB250" s="1"/>
      <c r="AC250" s="1"/>
      <c r="AD250" s="1"/>
      <c r="AF250" s="1"/>
      <c r="AH250" s="1"/>
      <c r="AJ250" s="1"/>
      <c r="AL250" s="1"/>
      <c r="AN250" s="1"/>
      <c r="AP250" s="1"/>
      <c r="AR250" s="1"/>
      <c r="AT250" s="1"/>
      <c r="AV250" s="1"/>
      <c r="AX250" s="1"/>
      <c r="AZ250" s="1"/>
      <c r="BB250" s="1"/>
      <c r="BD250" s="1"/>
      <c r="BF250" s="1"/>
      <c r="BH250" s="1"/>
      <c r="BJ250" s="1"/>
      <c r="BL250" s="1"/>
      <c r="BN250" s="1"/>
      <c r="BP250" s="1"/>
      <c r="BR250" s="1"/>
      <c r="BT250" s="1"/>
      <c r="BV250" s="1"/>
      <c r="BX250" s="1"/>
      <c r="BZ250" s="1"/>
      <c r="CB250" s="1"/>
      <c r="CD250" s="1"/>
      <c r="CF250" s="1"/>
      <c r="CH250" s="1"/>
    </row>
    <row r="251" spans="1:86" ht="13.5" customHeight="1" x14ac:dyDescent="0.2">
      <c r="A251" s="1"/>
      <c r="B251" s="1"/>
      <c r="C251" s="1"/>
      <c r="D251" s="1"/>
      <c r="E251" s="52"/>
      <c r="F251" s="1"/>
      <c r="G251" s="52"/>
      <c r="H251" s="1"/>
      <c r="I251" s="52"/>
      <c r="J251" s="1"/>
      <c r="K251" s="52"/>
      <c r="L251" s="1"/>
      <c r="M251" s="52"/>
      <c r="N251" s="1"/>
      <c r="O251" s="52"/>
      <c r="P251" s="1"/>
      <c r="Q251" s="52"/>
      <c r="R251" s="1"/>
      <c r="S251" s="52"/>
      <c r="T251" s="1"/>
      <c r="U251" s="52"/>
      <c r="V251" s="1"/>
      <c r="W251" s="52"/>
      <c r="X251" s="1"/>
      <c r="Y251" s="1"/>
      <c r="Z251" s="1"/>
      <c r="AA251" s="1"/>
      <c r="AB251" s="1"/>
      <c r="AC251" s="1"/>
      <c r="AD251" s="1"/>
      <c r="AF251" s="1"/>
      <c r="AH251" s="1"/>
      <c r="AJ251" s="1"/>
      <c r="AL251" s="1"/>
      <c r="AN251" s="1"/>
      <c r="AP251" s="1"/>
      <c r="AR251" s="1"/>
      <c r="AT251" s="1"/>
      <c r="AV251" s="1"/>
      <c r="AX251" s="1"/>
      <c r="AZ251" s="1"/>
      <c r="BB251" s="1"/>
      <c r="BD251" s="1"/>
      <c r="BF251" s="1"/>
      <c r="BH251" s="1"/>
      <c r="BJ251" s="1"/>
      <c r="BL251" s="1"/>
      <c r="BN251" s="1"/>
      <c r="BP251" s="1"/>
      <c r="BR251" s="1"/>
      <c r="BT251" s="1"/>
      <c r="BV251" s="1"/>
      <c r="BX251" s="1"/>
      <c r="BZ251" s="1"/>
      <c r="CB251" s="1"/>
      <c r="CD251" s="1"/>
      <c r="CF251" s="1"/>
      <c r="CH251" s="1"/>
    </row>
    <row r="252" spans="1:86" ht="13.5" customHeight="1" x14ac:dyDescent="0.2">
      <c r="A252" s="1"/>
      <c r="B252" s="1"/>
      <c r="C252" s="1"/>
      <c r="D252" s="1"/>
      <c r="E252" s="52"/>
      <c r="F252" s="1"/>
      <c r="G252" s="52"/>
      <c r="H252" s="1"/>
      <c r="I252" s="52"/>
      <c r="J252" s="1"/>
      <c r="K252" s="52"/>
      <c r="L252" s="1"/>
      <c r="M252" s="52"/>
      <c r="N252" s="1"/>
      <c r="O252" s="52"/>
      <c r="P252" s="1"/>
      <c r="Q252" s="52"/>
      <c r="R252" s="1"/>
      <c r="S252" s="52"/>
      <c r="T252" s="1"/>
      <c r="U252" s="52"/>
      <c r="V252" s="1"/>
      <c r="W252" s="52"/>
      <c r="X252" s="1"/>
      <c r="Y252" s="1"/>
      <c r="Z252" s="1"/>
      <c r="AA252" s="1"/>
      <c r="AB252" s="1"/>
      <c r="AC252" s="1"/>
      <c r="AD252" s="1"/>
      <c r="AF252" s="1"/>
      <c r="AH252" s="1"/>
      <c r="AJ252" s="1"/>
      <c r="AL252" s="1"/>
      <c r="AN252" s="1"/>
      <c r="AP252" s="1"/>
      <c r="AR252" s="1"/>
      <c r="AT252" s="1"/>
      <c r="AV252" s="1"/>
      <c r="AX252" s="1"/>
      <c r="AZ252" s="1"/>
      <c r="BB252" s="1"/>
      <c r="BD252" s="1"/>
      <c r="BF252" s="1"/>
      <c r="BH252" s="1"/>
      <c r="BJ252" s="1"/>
      <c r="BL252" s="1"/>
      <c r="BN252" s="1"/>
      <c r="BP252" s="1"/>
      <c r="BR252" s="1"/>
      <c r="BT252" s="1"/>
      <c r="BV252" s="1"/>
      <c r="BX252" s="1"/>
      <c r="BZ252" s="1"/>
      <c r="CB252" s="1"/>
      <c r="CD252" s="1"/>
      <c r="CF252" s="1"/>
      <c r="CH252" s="1"/>
    </row>
    <row r="253" spans="1:86" ht="13.5" customHeight="1" x14ac:dyDescent="0.2">
      <c r="A253" s="1"/>
      <c r="B253" s="1"/>
      <c r="C253" s="1"/>
      <c r="D253" s="1"/>
      <c r="E253" s="52"/>
      <c r="F253" s="1"/>
      <c r="G253" s="52"/>
      <c r="H253" s="1"/>
      <c r="I253" s="52"/>
      <c r="J253" s="1"/>
      <c r="K253" s="52"/>
      <c r="L253" s="1"/>
      <c r="M253" s="52"/>
      <c r="N253" s="1"/>
      <c r="O253" s="52"/>
      <c r="P253" s="1"/>
      <c r="Q253" s="52"/>
      <c r="R253" s="1"/>
      <c r="S253" s="52"/>
      <c r="T253" s="1"/>
      <c r="U253" s="52"/>
      <c r="V253" s="1"/>
      <c r="W253" s="52"/>
      <c r="X253" s="1"/>
      <c r="Y253" s="1"/>
      <c r="Z253" s="1"/>
      <c r="AA253" s="1"/>
      <c r="AB253" s="1"/>
      <c r="AC253" s="1"/>
      <c r="AD253" s="1"/>
      <c r="AF253" s="1"/>
      <c r="AH253" s="1"/>
      <c r="AJ253" s="1"/>
      <c r="AL253" s="1"/>
      <c r="AN253" s="1"/>
      <c r="AP253" s="1"/>
      <c r="AR253" s="1"/>
      <c r="AT253" s="1"/>
      <c r="AV253" s="1"/>
      <c r="AX253" s="1"/>
      <c r="AZ253" s="1"/>
      <c r="BB253" s="1"/>
      <c r="BD253" s="1"/>
      <c r="BF253" s="1"/>
      <c r="BH253" s="1"/>
      <c r="BJ253" s="1"/>
      <c r="BL253" s="1"/>
      <c r="BN253" s="1"/>
      <c r="BP253" s="1"/>
      <c r="BR253" s="1"/>
      <c r="BT253" s="1"/>
      <c r="BV253" s="1"/>
      <c r="BX253" s="1"/>
      <c r="BZ253" s="1"/>
      <c r="CB253" s="1"/>
      <c r="CD253" s="1"/>
      <c r="CF253" s="1"/>
      <c r="CH253" s="1"/>
    </row>
    <row r="254" spans="1:86" ht="13.5" customHeight="1" x14ac:dyDescent="0.2">
      <c r="A254" s="1"/>
      <c r="B254" s="1"/>
      <c r="C254" s="1"/>
      <c r="D254" s="1"/>
      <c r="E254" s="52"/>
      <c r="F254" s="1"/>
      <c r="G254" s="52"/>
      <c r="H254" s="1"/>
      <c r="I254" s="52"/>
      <c r="J254" s="1"/>
      <c r="K254" s="52"/>
      <c r="L254" s="1"/>
      <c r="M254" s="52"/>
      <c r="N254" s="1"/>
      <c r="O254" s="52"/>
      <c r="P254" s="1"/>
      <c r="Q254" s="52"/>
      <c r="R254" s="1"/>
      <c r="S254" s="52"/>
      <c r="T254" s="1"/>
      <c r="U254" s="52"/>
      <c r="V254" s="1"/>
      <c r="W254" s="52"/>
      <c r="X254" s="1"/>
      <c r="Y254" s="1"/>
      <c r="Z254" s="1"/>
      <c r="AA254" s="1"/>
      <c r="AB254" s="1"/>
      <c r="AC254" s="1"/>
      <c r="AD254" s="1"/>
      <c r="AF254" s="1"/>
      <c r="AH254" s="1"/>
      <c r="AJ254" s="1"/>
      <c r="AL254" s="1"/>
      <c r="AN254" s="1"/>
      <c r="AP254" s="1"/>
      <c r="AR254" s="1"/>
      <c r="AT254" s="1"/>
      <c r="AV254" s="1"/>
      <c r="AX254" s="1"/>
      <c r="AZ254" s="1"/>
      <c r="BB254" s="1"/>
      <c r="BD254" s="1"/>
      <c r="BF254" s="1"/>
      <c r="BH254" s="1"/>
      <c r="BJ254" s="1"/>
      <c r="BL254" s="1"/>
      <c r="BN254" s="1"/>
      <c r="BP254" s="1"/>
      <c r="BR254" s="1"/>
      <c r="BT254" s="1"/>
      <c r="BV254" s="1"/>
      <c r="BX254" s="1"/>
      <c r="BZ254" s="1"/>
      <c r="CB254" s="1"/>
      <c r="CD254" s="1"/>
      <c r="CF254" s="1"/>
      <c r="CH254" s="1"/>
    </row>
    <row r="255" spans="1:86" ht="13.5" customHeight="1" x14ac:dyDescent="0.2">
      <c r="A255" s="1"/>
      <c r="B255" s="1"/>
      <c r="C255" s="1"/>
      <c r="D255" s="1"/>
      <c r="E255" s="52"/>
      <c r="F255" s="1"/>
      <c r="G255" s="52"/>
      <c r="H255" s="1"/>
      <c r="I255" s="52"/>
      <c r="J255" s="1"/>
      <c r="K255" s="52"/>
      <c r="L255" s="1"/>
      <c r="M255" s="52"/>
      <c r="N255" s="1"/>
      <c r="O255" s="52"/>
      <c r="P255" s="1"/>
      <c r="Q255" s="52"/>
      <c r="R255" s="1"/>
      <c r="S255" s="52"/>
      <c r="T255" s="1"/>
      <c r="U255" s="52"/>
      <c r="V255" s="1"/>
      <c r="W255" s="52"/>
      <c r="X255" s="1"/>
      <c r="Y255" s="1"/>
      <c r="Z255" s="1"/>
      <c r="AA255" s="1"/>
      <c r="AB255" s="1"/>
      <c r="AC255" s="1"/>
      <c r="AD255" s="1"/>
      <c r="AF255" s="1"/>
      <c r="AH255" s="1"/>
      <c r="AJ255" s="1"/>
      <c r="AL255" s="1"/>
      <c r="AN255" s="1"/>
      <c r="AP255" s="1"/>
      <c r="AR255" s="1"/>
      <c r="AT255" s="1"/>
      <c r="AV255" s="1"/>
      <c r="AX255" s="1"/>
      <c r="AZ255" s="1"/>
      <c r="BB255" s="1"/>
      <c r="BD255" s="1"/>
      <c r="BF255" s="1"/>
      <c r="BH255" s="1"/>
      <c r="BJ255" s="1"/>
      <c r="BL255" s="1"/>
      <c r="BN255" s="1"/>
      <c r="BP255" s="1"/>
      <c r="BR255" s="1"/>
      <c r="BT255" s="1"/>
      <c r="BV255" s="1"/>
      <c r="BX255" s="1"/>
      <c r="BZ255" s="1"/>
      <c r="CB255" s="1"/>
      <c r="CD255" s="1"/>
      <c r="CF255" s="1"/>
      <c r="CH255" s="1"/>
    </row>
    <row r="256" spans="1:86" ht="13.5" customHeight="1" x14ac:dyDescent="0.2">
      <c r="A256" s="1"/>
      <c r="B256" s="1"/>
      <c r="C256" s="1"/>
      <c r="D256" s="1"/>
      <c r="E256" s="52"/>
      <c r="F256" s="1"/>
      <c r="G256" s="52"/>
      <c r="H256" s="1"/>
      <c r="I256" s="52"/>
      <c r="J256" s="1"/>
      <c r="K256" s="52"/>
      <c r="L256" s="1"/>
      <c r="M256" s="52"/>
      <c r="N256" s="1"/>
      <c r="O256" s="52"/>
      <c r="P256" s="1"/>
      <c r="Q256" s="52"/>
      <c r="R256" s="1"/>
      <c r="S256" s="52"/>
      <c r="T256" s="1"/>
      <c r="U256" s="52"/>
      <c r="V256" s="1"/>
      <c r="W256" s="52"/>
      <c r="X256" s="1"/>
      <c r="Y256" s="1"/>
      <c r="Z256" s="1"/>
      <c r="AA256" s="1"/>
      <c r="AB256" s="1"/>
      <c r="AC256" s="1"/>
      <c r="AD256" s="1"/>
      <c r="AF256" s="1"/>
      <c r="AH256" s="1"/>
      <c r="AJ256" s="1"/>
      <c r="AL256" s="1"/>
      <c r="AN256" s="1"/>
      <c r="AP256" s="1"/>
      <c r="AR256" s="1"/>
      <c r="AT256" s="1"/>
      <c r="AV256" s="1"/>
      <c r="AX256" s="1"/>
      <c r="AZ256" s="1"/>
      <c r="BB256" s="1"/>
      <c r="BD256" s="1"/>
      <c r="BF256" s="1"/>
      <c r="BH256" s="1"/>
      <c r="BJ256" s="1"/>
      <c r="BL256" s="1"/>
      <c r="BN256" s="1"/>
      <c r="BP256" s="1"/>
      <c r="BR256" s="1"/>
      <c r="BT256" s="1"/>
      <c r="BV256" s="1"/>
      <c r="BX256" s="1"/>
      <c r="BZ256" s="1"/>
      <c r="CB256" s="1"/>
      <c r="CD256" s="1"/>
      <c r="CF256" s="1"/>
      <c r="CH256" s="1"/>
    </row>
    <row r="257" spans="1:86" ht="13.5" customHeight="1" x14ac:dyDescent="0.2">
      <c r="A257" s="1"/>
      <c r="B257" s="1"/>
      <c r="C257" s="1"/>
      <c r="D257" s="1"/>
      <c r="E257" s="52"/>
      <c r="F257" s="1"/>
      <c r="G257" s="52"/>
      <c r="H257" s="1"/>
      <c r="I257" s="52"/>
      <c r="J257" s="1"/>
      <c r="K257" s="52"/>
      <c r="L257" s="1"/>
      <c r="M257" s="52"/>
      <c r="N257" s="1"/>
      <c r="O257" s="52"/>
      <c r="P257" s="1"/>
      <c r="Q257" s="52"/>
      <c r="R257" s="1"/>
      <c r="S257" s="52"/>
      <c r="T257" s="1"/>
      <c r="U257" s="52"/>
      <c r="V257" s="1"/>
      <c r="W257" s="52"/>
      <c r="X257" s="1"/>
      <c r="Y257" s="1"/>
      <c r="Z257" s="1"/>
      <c r="AA257" s="1"/>
      <c r="AB257" s="1"/>
      <c r="AC257" s="1"/>
      <c r="AD257" s="1"/>
      <c r="AF257" s="1"/>
      <c r="AH257" s="1"/>
      <c r="AJ257" s="1"/>
      <c r="AL257" s="1"/>
      <c r="AN257" s="1"/>
      <c r="AP257" s="1"/>
      <c r="AR257" s="1"/>
      <c r="AT257" s="1"/>
      <c r="AV257" s="1"/>
      <c r="AX257" s="1"/>
      <c r="AZ257" s="1"/>
      <c r="BB257" s="1"/>
      <c r="BD257" s="1"/>
      <c r="BF257" s="1"/>
      <c r="BH257" s="1"/>
      <c r="BJ257" s="1"/>
      <c r="BL257" s="1"/>
      <c r="BN257" s="1"/>
      <c r="BP257" s="1"/>
      <c r="BR257" s="1"/>
      <c r="BT257" s="1"/>
      <c r="BV257" s="1"/>
      <c r="BX257" s="1"/>
      <c r="BZ257" s="1"/>
      <c r="CB257" s="1"/>
      <c r="CD257" s="1"/>
      <c r="CF257" s="1"/>
      <c r="CH257" s="1"/>
    </row>
    <row r="258" spans="1:86" ht="13.5" customHeight="1" x14ac:dyDescent="0.2">
      <c r="A258" s="1"/>
      <c r="B258" s="1"/>
      <c r="C258" s="1"/>
      <c r="D258" s="1"/>
      <c r="E258" s="52"/>
      <c r="F258" s="1"/>
      <c r="G258" s="52"/>
      <c r="H258" s="1"/>
      <c r="I258" s="52"/>
      <c r="J258" s="1"/>
      <c r="K258" s="52"/>
      <c r="L258" s="1"/>
      <c r="M258" s="52"/>
      <c r="N258" s="1"/>
      <c r="O258" s="52"/>
      <c r="P258" s="1"/>
      <c r="Q258" s="52"/>
      <c r="R258" s="1"/>
      <c r="S258" s="52"/>
      <c r="T258" s="1"/>
      <c r="U258" s="52"/>
      <c r="V258" s="1"/>
      <c r="W258" s="52"/>
      <c r="X258" s="1"/>
      <c r="Y258" s="1"/>
      <c r="Z258" s="1"/>
      <c r="AA258" s="1"/>
      <c r="AB258" s="1"/>
      <c r="AC258" s="1"/>
      <c r="AD258" s="1"/>
      <c r="AF258" s="1"/>
      <c r="AH258" s="1"/>
      <c r="AJ258" s="1"/>
      <c r="AL258" s="1"/>
      <c r="AN258" s="1"/>
      <c r="AP258" s="1"/>
      <c r="AR258" s="1"/>
      <c r="AT258" s="1"/>
      <c r="AV258" s="1"/>
      <c r="AX258" s="1"/>
      <c r="AZ258" s="1"/>
      <c r="BB258" s="1"/>
      <c r="BD258" s="1"/>
      <c r="BF258" s="1"/>
      <c r="BH258" s="1"/>
      <c r="BJ258" s="1"/>
      <c r="BL258" s="1"/>
      <c r="BN258" s="1"/>
      <c r="BP258" s="1"/>
      <c r="BR258" s="1"/>
      <c r="BT258" s="1"/>
      <c r="BV258" s="1"/>
      <c r="BX258" s="1"/>
      <c r="BZ258" s="1"/>
      <c r="CB258" s="1"/>
      <c r="CD258" s="1"/>
      <c r="CF258" s="1"/>
      <c r="CH258" s="1"/>
    </row>
    <row r="259" spans="1:86" ht="13.5" customHeight="1" x14ac:dyDescent="0.2">
      <c r="A259" s="1"/>
      <c r="B259" s="1"/>
      <c r="C259" s="1"/>
      <c r="D259" s="1"/>
      <c r="E259" s="52"/>
      <c r="F259" s="1"/>
      <c r="G259" s="52"/>
      <c r="H259" s="1"/>
      <c r="I259" s="52"/>
      <c r="J259" s="1"/>
      <c r="K259" s="52"/>
      <c r="L259" s="1"/>
      <c r="M259" s="52"/>
      <c r="N259" s="1"/>
      <c r="O259" s="52"/>
      <c r="P259" s="1"/>
      <c r="Q259" s="52"/>
      <c r="R259" s="1"/>
      <c r="S259" s="52"/>
      <c r="T259" s="1"/>
      <c r="U259" s="52"/>
      <c r="V259" s="1"/>
      <c r="W259" s="52"/>
      <c r="X259" s="1"/>
      <c r="Y259" s="1"/>
      <c r="Z259" s="1"/>
      <c r="AA259" s="1"/>
      <c r="AB259" s="1"/>
      <c r="AC259" s="1"/>
      <c r="AD259" s="1"/>
      <c r="AF259" s="1"/>
      <c r="AH259" s="1"/>
      <c r="AJ259" s="1"/>
      <c r="AL259" s="1"/>
      <c r="AN259" s="1"/>
      <c r="AP259" s="1"/>
      <c r="AR259" s="1"/>
      <c r="AT259" s="1"/>
      <c r="AV259" s="1"/>
      <c r="AX259" s="1"/>
      <c r="AZ259" s="1"/>
      <c r="BB259" s="1"/>
      <c r="BD259" s="1"/>
      <c r="BF259" s="1"/>
      <c r="BH259" s="1"/>
      <c r="BJ259" s="1"/>
      <c r="BL259" s="1"/>
      <c r="BN259" s="1"/>
      <c r="BP259" s="1"/>
      <c r="BR259" s="1"/>
      <c r="BT259" s="1"/>
      <c r="BV259" s="1"/>
      <c r="BX259" s="1"/>
      <c r="BZ259" s="1"/>
      <c r="CB259" s="1"/>
      <c r="CD259" s="1"/>
      <c r="CF259" s="1"/>
      <c r="CH259" s="1"/>
    </row>
    <row r="260" spans="1:86" ht="13.5" customHeight="1" x14ac:dyDescent="0.2">
      <c r="A260" s="1"/>
      <c r="B260" s="1"/>
      <c r="C260" s="1"/>
      <c r="D260" s="1"/>
      <c r="E260" s="52"/>
      <c r="F260" s="1"/>
      <c r="G260" s="52"/>
      <c r="H260" s="1"/>
      <c r="I260" s="52"/>
      <c r="J260" s="1"/>
      <c r="K260" s="52"/>
      <c r="L260" s="1"/>
      <c r="M260" s="52"/>
      <c r="N260" s="1"/>
      <c r="O260" s="52"/>
      <c r="P260" s="1"/>
      <c r="Q260" s="52"/>
      <c r="R260" s="1"/>
      <c r="S260" s="52"/>
      <c r="T260" s="1"/>
      <c r="U260" s="52"/>
      <c r="V260" s="1"/>
      <c r="W260" s="52"/>
      <c r="X260" s="1"/>
      <c r="Y260" s="1"/>
      <c r="Z260" s="1"/>
      <c r="AA260" s="1"/>
      <c r="AB260" s="1"/>
      <c r="AC260" s="1"/>
      <c r="AD260" s="1"/>
      <c r="AF260" s="1"/>
      <c r="AH260" s="1"/>
      <c r="AJ260" s="1"/>
      <c r="AL260" s="1"/>
      <c r="AN260" s="1"/>
      <c r="AP260" s="1"/>
      <c r="AR260" s="1"/>
      <c r="AT260" s="1"/>
      <c r="AV260" s="1"/>
      <c r="AX260" s="1"/>
      <c r="AZ260" s="1"/>
      <c r="BB260" s="1"/>
      <c r="BD260" s="1"/>
      <c r="BF260" s="1"/>
      <c r="BH260" s="1"/>
      <c r="BJ260" s="1"/>
      <c r="BL260" s="1"/>
      <c r="BN260" s="1"/>
      <c r="BP260" s="1"/>
      <c r="BR260" s="1"/>
      <c r="BT260" s="1"/>
      <c r="BV260" s="1"/>
      <c r="BX260" s="1"/>
      <c r="BZ260" s="1"/>
      <c r="CB260" s="1"/>
      <c r="CD260" s="1"/>
      <c r="CF260" s="1"/>
      <c r="CH260" s="1"/>
    </row>
    <row r="261" spans="1:86" ht="13.5" customHeight="1" x14ac:dyDescent="0.2">
      <c r="A261" s="1"/>
      <c r="B261" s="1"/>
      <c r="C261" s="1"/>
      <c r="D261" s="1"/>
      <c r="E261" s="52"/>
      <c r="F261" s="1"/>
      <c r="G261" s="52"/>
      <c r="H261" s="1"/>
      <c r="I261" s="52"/>
      <c r="J261" s="1"/>
      <c r="K261" s="52"/>
      <c r="L261" s="1"/>
      <c r="M261" s="52"/>
      <c r="N261" s="1"/>
      <c r="O261" s="52"/>
      <c r="P261" s="1"/>
      <c r="Q261" s="52"/>
      <c r="R261" s="1"/>
      <c r="S261" s="52"/>
      <c r="T261" s="1"/>
      <c r="U261" s="52"/>
      <c r="V261" s="1"/>
      <c r="W261" s="52"/>
      <c r="X261" s="1"/>
      <c r="Y261" s="1"/>
      <c r="Z261" s="1"/>
      <c r="AA261" s="1"/>
      <c r="AB261" s="1"/>
      <c r="AC261" s="1"/>
      <c r="AD261" s="1"/>
      <c r="AF261" s="1"/>
      <c r="AH261" s="1"/>
      <c r="AJ261" s="1"/>
      <c r="AL261" s="1"/>
      <c r="AN261" s="1"/>
      <c r="AP261" s="1"/>
      <c r="AR261" s="1"/>
      <c r="AT261" s="1"/>
      <c r="AV261" s="1"/>
      <c r="AX261" s="1"/>
      <c r="AZ261" s="1"/>
      <c r="BB261" s="1"/>
      <c r="BD261" s="1"/>
      <c r="BF261" s="1"/>
      <c r="BH261" s="1"/>
      <c r="BJ261" s="1"/>
      <c r="BL261" s="1"/>
      <c r="BN261" s="1"/>
      <c r="BP261" s="1"/>
      <c r="BR261" s="1"/>
      <c r="BT261" s="1"/>
      <c r="BV261" s="1"/>
      <c r="BX261" s="1"/>
      <c r="BZ261" s="1"/>
      <c r="CB261" s="1"/>
      <c r="CD261" s="1"/>
      <c r="CF261" s="1"/>
      <c r="CH261" s="1"/>
    </row>
    <row r="262" spans="1:86" ht="13.5" customHeight="1" x14ac:dyDescent="0.2">
      <c r="A262" s="1"/>
      <c r="B262" s="1"/>
      <c r="C262" s="1"/>
      <c r="D262" s="1"/>
      <c r="E262" s="52"/>
      <c r="F262" s="1"/>
      <c r="G262" s="52"/>
      <c r="H262" s="1"/>
      <c r="I262" s="52"/>
      <c r="J262" s="1"/>
      <c r="K262" s="52"/>
      <c r="L262" s="1"/>
      <c r="M262" s="52"/>
      <c r="N262" s="1"/>
      <c r="O262" s="52"/>
      <c r="P262" s="1"/>
      <c r="Q262" s="52"/>
      <c r="R262" s="1"/>
      <c r="S262" s="52"/>
      <c r="T262" s="1"/>
      <c r="U262" s="52"/>
      <c r="V262" s="1"/>
      <c r="W262" s="52"/>
      <c r="X262" s="1"/>
      <c r="Y262" s="1"/>
      <c r="Z262" s="1"/>
      <c r="AA262" s="1"/>
      <c r="AB262" s="1"/>
      <c r="AC262" s="1"/>
      <c r="AD262" s="1"/>
      <c r="AF262" s="1"/>
      <c r="AH262" s="1"/>
      <c r="AJ262" s="1"/>
      <c r="AL262" s="1"/>
      <c r="AN262" s="1"/>
      <c r="AP262" s="1"/>
      <c r="AR262" s="1"/>
      <c r="AT262" s="1"/>
      <c r="AV262" s="1"/>
      <c r="AX262" s="1"/>
      <c r="AZ262" s="1"/>
      <c r="BB262" s="1"/>
      <c r="BD262" s="1"/>
      <c r="BF262" s="1"/>
      <c r="BH262" s="1"/>
      <c r="BJ262" s="1"/>
      <c r="BL262" s="1"/>
      <c r="BN262" s="1"/>
      <c r="BP262" s="1"/>
      <c r="BR262" s="1"/>
      <c r="BT262" s="1"/>
      <c r="BV262" s="1"/>
      <c r="BX262" s="1"/>
      <c r="BZ262" s="1"/>
      <c r="CB262" s="1"/>
      <c r="CD262" s="1"/>
      <c r="CF262" s="1"/>
      <c r="CH262" s="1"/>
    </row>
    <row r="263" spans="1:86" ht="13.5" customHeight="1" x14ac:dyDescent="0.2">
      <c r="A263" s="1"/>
      <c r="B263" s="1"/>
      <c r="C263" s="1"/>
      <c r="D263" s="1"/>
      <c r="E263" s="52"/>
      <c r="F263" s="1"/>
      <c r="G263" s="52"/>
      <c r="H263" s="1"/>
      <c r="I263" s="52"/>
      <c r="J263" s="1"/>
      <c r="K263" s="52"/>
      <c r="L263" s="1"/>
      <c r="M263" s="52"/>
      <c r="N263" s="1"/>
      <c r="O263" s="52"/>
      <c r="P263" s="1"/>
      <c r="Q263" s="52"/>
      <c r="R263" s="1"/>
      <c r="S263" s="52"/>
      <c r="T263" s="1"/>
      <c r="U263" s="52"/>
      <c r="V263" s="1"/>
      <c r="W263" s="52"/>
      <c r="X263" s="1"/>
      <c r="Y263" s="1"/>
      <c r="Z263" s="1"/>
      <c r="AA263" s="1"/>
      <c r="AB263" s="1"/>
      <c r="AC263" s="1"/>
      <c r="AD263" s="1"/>
      <c r="AF263" s="1"/>
      <c r="AH263" s="1"/>
      <c r="AJ263" s="1"/>
      <c r="AL263" s="1"/>
      <c r="AN263" s="1"/>
      <c r="AP263" s="1"/>
      <c r="AR263" s="1"/>
      <c r="AT263" s="1"/>
      <c r="AV263" s="1"/>
      <c r="AX263" s="1"/>
      <c r="AZ263" s="1"/>
      <c r="BB263" s="1"/>
      <c r="BD263" s="1"/>
      <c r="BF263" s="1"/>
      <c r="BH263" s="1"/>
      <c r="BJ263" s="1"/>
      <c r="BL263" s="1"/>
      <c r="BN263" s="1"/>
      <c r="BP263" s="1"/>
      <c r="BR263" s="1"/>
      <c r="BT263" s="1"/>
      <c r="BV263" s="1"/>
      <c r="BX263" s="1"/>
      <c r="BZ263" s="1"/>
      <c r="CB263" s="1"/>
      <c r="CD263" s="1"/>
      <c r="CF263" s="1"/>
      <c r="CH263" s="1"/>
    </row>
    <row r="264" spans="1:86" ht="13.5" customHeight="1" x14ac:dyDescent="0.2">
      <c r="A264" s="1"/>
      <c r="B264" s="1"/>
      <c r="C264" s="1"/>
      <c r="D264" s="1"/>
      <c r="E264" s="52"/>
      <c r="F264" s="1"/>
      <c r="G264" s="52"/>
      <c r="H264" s="1"/>
      <c r="I264" s="52"/>
      <c r="J264" s="1"/>
      <c r="K264" s="52"/>
      <c r="L264" s="1"/>
      <c r="M264" s="52"/>
      <c r="N264" s="1"/>
      <c r="O264" s="52"/>
      <c r="P264" s="1"/>
      <c r="Q264" s="52"/>
      <c r="R264" s="1"/>
      <c r="S264" s="52"/>
      <c r="T264" s="1"/>
      <c r="U264" s="52"/>
      <c r="V264" s="1"/>
      <c r="W264" s="52"/>
      <c r="X264" s="1"/>
      <c r="Y264" s="1"/>
      <c r="Z264" s="1"/>
      <c r="AA264" s="1"/>
      <c r="AB264" s="1"/>
      <c r="AC264" s="1"/>
      <c r="AD264" s="1"/>
      <c r="AF264" s="1"/>
      <c r="AH264" s="1"/>
      <c r="AJ264" s="1"/>
      <c r="AL264" s="1"/>
      <c r="AN264" s="1"/>
      <c r="AP264" s="1"/>
      <c r="AR264" s="1"/>
      <c r="AT264" s="1"/>
      <c r="AV264" s="1"/>
      <c r="AX264" s="1"/>
      <c r="AZ264" s="1"/>
      <c r="BB264" s="1"/>
      <c r="BD264" s="1"/>
      <c r="BF264" s="1"/>
      <c r="BH264" s="1"/>
      <c r="BJ264" s="1"/>
      <c r="BL264" s="1"/>
      <c r="BN264" s="1"/>
      <c r="BP264" s="1"/>
      <c r="BR264" s="1"/>
      <c r="BT264" s="1"/>
      <c r="BV264" s="1"/>
      <c r="BX264" s="1"/>
      <c r="BZ264" s="1"/>
      <c r="CB264" s="1"/>
      <c r="CD264" s="1"/>
      <c r="CF264" s="1"/>
      <c r="CH264" s="1"/>
    </row>
    <row r="265" spans="1:86" ht="13.5" customHeight="1" x14ac:dyDescent="0.2">
      <c r="A265" s="1"/>
      <c r="B265" s="1"/>
      <c r="C265" s="1"/>
      <c r="D265" s="1"/>
      <c r="E265" s="52"/>
      <c r="F265" s="1"/>
      <c r="G265" s="52"/>
      <c r="H265" s="1"/>
      <c r="I265" s="52"/>
      <c r="J265" s="1"/>
      <c r="K265" s="52"/>
      <c r="L265" s="1"/>
      <c r="M265" s="52"/>
      <c r="N265" s="1"/>
      <c r="O265" s="52"/>
      <c r="P265" s="1"/>
      <c r="Q265" s="52"/>
      <c r="R265" s="1"/>
      <c r="S265" s="52"/>
      <c r="T265" s="1"/>
      <c r="U265" s="52"/>
      <c r="V265" s="1"/>
      <c r="W265" s="52"/>
      <c r="X265" s="1"/>
      <c r="Y265" s="1"/>
      <c r="Z265" s="1"/>
      <c r="AA265" s="1"/>
      <c r="AB265" s="1"/>
      <c r="AC265" s="1"/>
      <c r="AD265" s="1"/>
      <c r="AF265" s="1"/>
      <c r="AH265" s="1"/>
      <c r="AJ265" s="1"/>
      <c r="AL265" s="1"/>
      <c r="AN265" s="1"/>
      <c r="AP265" s="1"/>
      <c r="AR265" s="1"/>
      <c r="AT265" s="1"/>
      <c r="AV265" s="1"/>
      <c r="AX265" s="1"/>
      <c r="AZ265" s="1"/>
      <c r="BB265" s="1"/>
      <c r="BD265" s="1"/>
      <c r="BF265" s="1"/>
      <c r="BH265" s="1"/>
      <c r="BJ265" s="1"/>
      <c r="BL265" s="1"/>
      <c r="BN265" s="1"/>
      <c r="BP265" s="1"/>
      <c r="BR265" s="1"/>
      <c r="BT265" s="1"/>
      <c r="BV265" s="1"/>
      <c r="BX265" s="1"/>
      <c r="BZ265" s="1"/>
      <c r="CB265" s="1"/>
      <c r="CD265" s="1"/>
      <c r="CF265" s="1"/>
      <c r="CH265" s="1"/>
    </row>
    <row r="266" spans="1:86" ht="13.5" customHeight="1" x14ac:dyDescent="0.2">
      <c r="A266" s="1"/>
      <c r="B266" s="1"/>
      <c r="C266" s="1"/>
      <c r="D266" s="1"/>
      <c r="E266" s="52"/>
      <c r="F266" s="1"/>
      <c r="G266" s="52"/>
      <c r="H266" s="1"/>
      <c r="I266" s="52"/>
      <c r="J266" s="1"/>
      <c r="K266" s="52"/>
      <c r="L266" s="1"/>
      <c r="M266" s="52"/>
      <c r="N266" s="1"/>
      <c r="O266" s="52"/>
      <c r="P266" s="1"/>
      <c r="Q266" s="52"/>
      <c r="R266" s="1"/>
      <c r="S266" s="52"/>
      <c r="T266" s="1"/>
      <c r="U266" s="52"/>
      <c r="V266" s="1"/>
      <c r="W266" s="52"/>
      <c r="X266" s="1"/>
      <c r="Y266" s="1"/>
      <c r="Z266" s="1"/>
      <c r="AA266" s="1"/>
      <c r="AB266" s="1"/>
      <c r="AC266" s="1"/>
      <c r="AD266" s="1"/>
      <c r="AF266" s="1"/>
      <c r="AH266" s="1"/>
      <c r="AJ266" s="1"/>
      <c r="AL266" s="1"/>
      <c r="AN266" s="1"/>
      <c r="AP266" s="1"/>
      <c r="AR266" s="1"/>
      <c r="AT266" s="1"/>
      <c r="AV266" s="1"/>
      <c r="AX266" s="1"/>
      <c r="AZ266" s="1"/>
      <c r="BB266" s="1"/>
      <c r="BD266" s="1"/>
      <c r="BF266" s="1"/>
      <c r="BH266" s="1"/>
      <c r="BJ266" s="1"/>
      <c r="BL266" s="1"/>
      <c r="BN266" s="1"/>
      <c r="BP266" s="1"/>
      <c r="BR266" s="1"/>
      <c r="BT266" s="1"/>
      <c r="BV266" s="1"/>
      <c r="BX266" s="1"/>
      <c r="BZ266" s="1"/>
      <c r="CB266" s="1"/>
      <c r="CD266" s="1"/>
      <c r="CF266" s="1"/>
      <c r="CH266" s="1"/>
    </row>
    <row r="267" spans="1:86" ht="13.5" customHeight="1" x14ac:dyDescent="0.2">
      <c r="A267" s="1"/>
      <c r="B267" s="1"/>
      <c r="C267" s="1"/>
      <c r="D267" s="1"/>
      <c r="E267" s="52"/>
      <c r="F267" s="1"/>
      <c r="G267" s="52"/>
      <c r="H267" s="1"/>
      <c r="I267" s="52"/>
      <c r="J267" s="1"/>
      <c r="K267" s="52"/>
      <c r="L267" s="1"/>
      <c r="M267" s="52"/>
      <c r="N267" s="1"/>
      <c r="O267" s="52"/>
      <c r="P267" s="1"/>
      <c r="Q267" s="52"/>
      <c r="R267" s="1"/>
      <c r="S267" s="52"/>
      <c r="T267" s="1"/>
      <c r="U267" s="52"/>
      <c r="V267" s="1"/>
      <c r="W267" s="52"/>
      <c r="X267" s="1"/>
      <c r="Y267" s="1"/>
      <c r="Z267" s="1"/>
      <c r="AA267" s="1"/>
      <c r="AB267" s="1"/>
      <c r="AC267" s="1"/>
      <c r="AD267" s="1"/>
      <c r="AF267" s="1"/>
      <c r="AH267" s="1"/>
      <c r="AJ267" s="1"/>
      <c r="AL267" s="1"/>
      <c r="AN267" s="1"/>
      <c r="AP267" s="1"/>
      <c r="AR267" s="1"/>
      <c r="AT267" s="1"/>
      <c r="AV267" s="1"/>
      <c r="AX267" s="1"/>
      <c r="AZ267" s="1"/>
      <c r="BB267" s="1"/>
      <c r="BD267" s="1"/>
      <c r="BF267" s="1"/>
      <c r="BH267" s="1"/>
      <c r="BJ267" s="1"/>
      <c r="BL267" s="1"/>
      <c r="BN267" s="1"/>
      <c r="BP267" s="1"/>
      <c r="BR267" s="1"/>
      <c r="BT267" s="1"/>
      <c r="BV267" s="1"/>
      <c r="BX267" s="1"/>
      <c r="BZ267" s="1"/>
      <c r="CB267" s="1"/>
      <c r="CD267" s="1"/>
      <c r="CF267" s="1"/>
      <c r="CH267" s="1"/>
    </row>
    <row r="268" spans="1:86" ht="13.5" customHeight="1" x14ac:dyDescent="0.2">
      <c r="A268" s="1"/>
      <c r="B268" s="1"/>
      <c r="C268" s="1"/>
      <c r="D268" s="1"/>
      <c r="E268" s="52"/>
      <c r="F268" s="1"/>
      <c r="G268" s="52"/>
      <c r="H268" s="1"/>
      <c r="I268" s="52"/>
      <c r="J268" s="1"/>
      <c r="K268" s="52"/>
      <c r="L268" s="1"/>
      <c r="M268" s="52"/>
      <c r="N268" s="1"/>
      <c r="O268" s="52"/>
      <c r="P268" s="1"/>
      <c r="Q268" s="52"/>
      <c r="R268" s="1"/>
      <c r="S268" s="52"/>
      <c r="T268" s="1"/>
      <c r="U268" s="52"/>
      <c r="V268" s="1"/>
      <c r="W268" s="52"/>
      <c r="X268" s="1"/>
      <c r="Y268" s="1"/>
      <c r="Z268" s="1"/>
      <c r="AA268" s="1"/>
      <c r="AB268" s="1"/>
      <c r="AC268" s="1"/>
      <c r="AD268" s="1"/>
      <c r="AF268" s="1"/>
      <c r="AH268" s="1"/>
      <c r="AJ268" s="1"/>
      <c r="AL268" s="1"/>
      <c r="AN268" s="1"/>
      <c r="AP268" s="1"/>
      <c r="AR268" s="1"/>
      <c r="AT268" s="1"/>
      <c r="AV268" s="1"/>
      <c r="AX268" s="1"/>
      <c r="AZ268" s="1"/>
      <c r="BB268" s="1"/>
      <c r="BD268" s="1"/>
      <c r="BF268" s="1"/>
      <c r="BH268" s="1"/>
      <c r="BJ268" s="1"/>
      <c r="BL268" s="1"/>
      <c r="BN268" s="1"/>
      <c r="BP268" s="1"/>
      <c r="BR268" s="1"/>
      <c r="BT268" s="1"/>
      <c r="BV268" s="1"/>
      <c r="BX268" s="1"/>
      <c r="BZ268" s="1"/>
      <c r="CB268" s="1"/>
      <c r="CD268" s="1"/>
      <c r="CF268" s="1"/>
      <c r="CH268" s="1"/>
    </row>
    <row r="269" spans="1:86" ht="13.5" customHeight="1" x14ac:dyDescent="0.2">
      <c r="A269" s="1"/>
      <c r="B269" s="1"/>
      <c r="C269" s="1"/>
      <c r="D269" s="1"/>
      <c r="E269" s="52"/>
      <c r="F269" s="1"/>
      <c r="G269" s="52"/>
      <c r="H269" s="1"/>
      <c r="I269" s="52"/>
      <c r="J269" s="1"/>
      <c r="K269" s="52"/>
      <c r="L269" s="1"/>
      <c r="M269" s="52"/>
      <c r="N269" s="1"/>
      <c r="O269" s="52"/>
      <c r="P269" s="1"/>
      <c r="Q269" s="52"/>
      <c r="R269" s="1"/>
      <c r="S269" s="52"/>
      <c r="T269" s="1"/>
      <c r="U269" s="52"/>
      <c r="V269" s="1"/>
      <c r="W269" s="52"/>
      <c r="X269" s="1"/>
      <c r="Y269" s="1"/>
      <c r="Z269" s="1"/>
      <c r="AA269" s="1"/>
      <c r="AB269" s="1"/>
      <c r="AC269" s="1"/>
      <c r="AD269" s="1"/>
      <c r="AF269" s="1"/>
      <c r="AH269" s="1"/>
      <c r="AJ269" s="1"/>
      <c r="AL269" s="1"/>
      <c r="AN269" s="1"/>
      <c r="AP269" s="1"/>
      <c r="AR269" s="1"/>
      <c r="AT269" s="1"/>
      <c r="AV269" s="1"/>
      <c r="AX269" s="1"/>
      <c r="AZ269" s="1"/>
      <c r="BB269" s="1"/>
      <c r="BD269" s="1"/>
      <c r="BF269" s="1"/>
      <c r="BH269" s="1"/>
      <c r="BJ269" s="1"/>
      <c r="BL269" s="1"/>
      <c r="BN269" s="1"/>
      <c r="BP269" s="1"/>
      <c r="BR269" s="1"/>
      <c r="BT269" s="1"/>
      <c r="BV269" s="1"/>
      <c r="BX269" s="1"/>
      <c r="BZ269" s="1"/>
      <c r="CB269" s="1"/>
      <c r="CD269" s="1"/>
      <c r="CF269" s="1"/>
      <c r="CH269" s="1"/>
    </row>
    <row r="270" spans="1:86" ht="13.5" customHeight="1" x14ac:dyDescent="0.2">
      <c r="A270" s="1"/>
      <c r="B270" s="1"/>
      <c r="C270" s="1"/>
      <c r="D270" s="1"/>
      <c r="E270" s="52"/>
      <c r="F270" s="1"/>
      <c r="G270" s="52"/>
      <c r="H270" s="1"/>
      <c r="I270" s="52"/>
      <c r="J270" s="1"/>
      <c r="K270" s="52"/>
      <c r="L270" s="1"/>
      <c r="M270" s="52"/>
      <c r="N270" s="1"/>
      <c r="O270" s="52"/>
      <c r="P270" s="1"/>
      <c r="Q270" s="52"/>
      <c r="R270" s="1"/>
      <c r="S270" s="52"/>
      <c r="T270" s="1"/>
      <c r="U270" s="52"/>
      <c r="V270" s="1"/>
      <c r="W270" s="52"/>
      <c r="X270" s="1"/>
      <c r="Y270" s="1"/>
      <c r="Z270" s="1"/>
      <c r="AA270" s="1"/>
      <c r="AB270" s="1"/>
      <c r="AC270" s="1"/>
      <c r="AD270" s="1"/>
      <c r="AF270" s="1"/>
      <c r="AH270" s="1"/>
      <c r="AJ270" s="1"/>
      <c r="AL270" s="1"/>
      <c r="AN270" s="1"/>
      <c r="AP270" s="1"/>
      <c r="AR270" s="1"/>
      <c r="AT270" s="1"/>
      <c r="AV270" s="1"/>
      <c r="AX270" s="1"/>
      <c r="AZ270" s="1"/>
      <c r="BB270" s="1"/>
      <c r="BD270" s="1"/>
      <c r="BF270" s="1"/>
      <c r="BH270" s="1"/>
      <c r="BJ270" s="1"/>
      <c r="BL270" s="1"/>
      <c r="BN270" s="1"/>
      <c r="BP270" s="1"/>
      <c r="BR270" s="1"/>
      <c r="BT270" s="1"/>
      <c r="BV270" s="1"/>
      <c r="BX270" s="1"/>
      <c r="BZ270" s="1"/>
      <c r="CB270" s="1"/>
      <c r="CD270" s="1"/>
      <c r="CF270" s="1"/>
      <c r="CH270" s="1"/>
    </row>
    <row r="271" spans="1:86" ht="13.5" customHeight="1" x14ac:dyDescent="0.2">
      <c r="A271" s="1"/>
      <c r="B271" s="1"/>
      <c r="C271" s="1"/>
      <c r="D271" s="1"/>
      <c r="E271" s="52"/>
      <c r="F271" s="1"/>
      <c r="G271" s="52"/>
      <c r="H271" s="1"/>
      <c r="I271" s="52"/>
      <c r="J271" s="1"/>
      <c r="K271" s="52"/>
      <c r="L271" s="1"/>
      <c r="M271" s="52"/>
      <c r="N271" s="1"/>
      <c r="O271" s="52"/>
      <c r="P271" s="1"/>
      <c r="Q271" s="52"/>
      <c r="R271" s="1"/>
      <c r="S271" s="52"/>
      <c r="T271" s="1"/>
      <c r="U271" s="52"/>
      <c r="V271" s="1"/>
      <c r="W271" s="52"/>
      <c r="X271" s="1"/>
      <c r="Y271" s="1"/>
      <c r="Z271" s="1"/>
      <c r="AA271" s="1"/>
      <c r="AB271" s="1"/>
      <c r="AC271" s="1"/>
      <c r="AD271" s="1"/>
      <c r="AF271" s="1"/>
      <c r="AH271" s="1"/>
      <c r="AJ271" s="1"/>
      <c r="AL271" s="1"/>
      <c r="AN271" s="1"/>
      <c r="AP271" s="1"/>
      <c r="AR271" s="1"/>
      <c r="AT271" s="1"/>
      <c r="AV271" s="1"/>
      <c r="AX271" s="1"/>
      <c r="AZ271" s="1"/>
      <c r="BB271" s="1"/>
      <c r="BD271" s="1"/>
      <c r="BF271" s="1"/>
      <c r="BH271" s="1"/>
      <c r="BJ271" s="1"/>
      <c r="BL271" s="1"/>
      <c r="BN271" s="1"/>
      <c r="BP271" s="1"/>
      <c r="BR271" s="1"/>
      <c r="BT271" s="1"/>
      <c r="BV271" s="1"/>
      <c r="BX271" s="1"/>
      <c r="BZ271" s="1"/>
      <c r="CB271" s="1"/>
      <c r="CD271" s="1"/>
      <c r="CF271" s="1"/>
      <c r="CH271" s="1"/>
    </row>
    <row r="272" spans="1:86" ht="13.5" customHeight="1" x14ac:dyDescent="0.2">
      <c r="A272" s="1"/>
      <c r="B272" s="1"/>
      <c r="C272" s="1"/>
      <c r="D272" s="1"/>
      <c r="E272" s="52"/>
      <c r="F272" s="1"/>
      <c r="G272" s="52"/>
      <c r="H272" s="1"/>
      <c r="I272" s="52"/>
      <c r="J272" s="1"/>
      <c r="K272" s="52"/>
      <c r="L272" s="1"/>
      <c r="M272" s="52"/>
      <c r="N272" s="1"/>
      <c r="O272" s="52"/>
      <c r="P272" s="1"/>
      <c r="Q272" s="52"/>
      <c r="R272" s="1"/>
      <c r="S272" s="52"/>
      <c r="T272" s="1"/>
      <c r="U272" s="52"/>
      <c r="V272" s="1"/>
      <c r="W272" s="52"/>
      <c r="X272" s="1"/>
      <c r="Y272" s="1"/>
      <c r="Z272" s="1"/>
      <c r="AA272" s="1"/>
      <c r="AB272" s="1"/>
      <c r="AC272" s="1"/>
      <c r="AD272" s="1"/>
      <c r="AF272" s="1"/>
      <c r="AH272" s="1"/>
      <c r="AJ272" s="1"/>
      <c r="AL272" s="1"/>
      <c r="AN272" s="1"/>
      <c r="AP272" s="1"/>
      <c r="AR272" s="1"/>
      <c r="AT272" s="1"/>
      <c r="AV272" s="1"/>
      <c r="AX272" s="1"/>
      <c r="AZ272" s="1"/>
      <c r="BB272" s="1"/>
      <c r="BD272" s="1"/>
      <c r="BF272" s="1"/>
      <c r="BH272" s="1"/>
      <c r="BJ272" s="1"/>
      <c r="BL272" s="1"/>
      <c r="BN272" s="1"/>
      <c r="BP272" s="1"/>
      <c r="BR272" s="1"/>
      <c r="BT272" s="1"/>
      <c r="BV272" s="1"/>
      <c r="BX272" s="1"/>
      <c r="BZ272" s="1"/>
      <c r="CB272" s="1"/>
      <c r="CD272" s="1"/>
      <c r="CF272" s="1"/>
      <c r="CH272" s="1"/>
    </row>
    <row r="273" spans="1:86" ht="13.5" customHeight="1" x14ac:dyDescent="0.2">
      <c r="A273" s="1"/>
      <c r="B273" s="1"/>
      <c r="C273" s="1"/>
      <c r="D273" s="1"/>
      <c r="E273" s="52"/>
      <c r="F273" s="1"/>
      <c r="G273" s="52"/>
      <c r="H273" s="1"/>
      <c r="I273" s="52"/>
      <c r="J273" s="1"/>
      <c r="K273" s="52"/>
      <c r="L273" s="1"/>
      <c r="M273" s="52"/>
      <c r="N273" s="1"/>
      <c r="O273" s="52"/>
      <c r="P273" s="1"/>
      <c r="Q273" s="52"/>
      <c r="R273" s="1"/>
      <c r="S273" s="52"/>
      <c r="T273" s="1"/>
      <c r="U273" s="52"/>
      <c r="V273" s="1"/>
      <c r="W273" s="52"/>
      <c r="X273" s="1"/>
      <c r="Y273" s="1"/>
      <c r="Z273" s="1"/>
      <c r="AA273" s="1"/>
      <c r="AB273" s="1"/>
      <c r="AC273" s="1"/>
      <c r="AD273" s="1"/>
      <c r="AF273" s="1"/>
      <c r="AH273" s="1"/>
      <c r="AJ273" s="1"/>
      <c r="AL273" s="1"/>
      <c r="AN273" s="1"/>
      <c r="AP273" s="1"/>
      <c r="AR273" s="1"/>
      <c r="AT273" s="1"/>
      <c r="AV273" s="1"/>
      <c r="AX273" s="1"/>
      <c r="AZ273" s="1"/>
      <c r="BB273" s="1"/>
      <c r="BD273" s="1"/>
      <c r="BF273" s="1"/>
      <c r="BH273" s="1"/>
      <c r="BJ273" s="1"/>
      <c r="BL273" s="1"/>
      <c r="BN273" s="1"/>
      <c r="BP273" s="1"/>
      <c r="BR273" s="1"/>
      <c r="BT273" s="1"/>
      <c r="BV273" s="1"/>
      <c r="BX273" s="1"/>
      <c r="BZ273" s="1"/>
      <c r="CB273" s="1"/>
      <c r="CD273" s="1"/>
      <c r="CF273" s="1"/>
      <c r="CH273" s="1"/>
    </row>
    <row r="274" spans="1:86" ht="13.5" customHeight="1" x14ac:dyDescent="0.2">
      <c r="A274" s="1"/>
      <c r="B274" s="1"/>
      <c r="C274" s="1"/>
      <c r="D274" s="1"/>
      <c r="E274" s="52"/>
      <c r="F274" s="1"/>
      <c r="G274" s="52"/>
      <c r="H274" s="1"/>
      <c r="I274" s="52"/>
      <c r="J274" s="1"/>
      <c r="K274" s="52"/>
      <c r="L274" s="1"/>
      <c r="M274" s="52"/>
      <c r="N274" s="1"/>
      <c r="O274" s="52"/>
      <c r="P274" s="1"/>
      <c r="Q274" s="52"/>
      <c r="R274" s="1"/>
      <c r="S274" s="52"/>
      <c r="T274" s="1"/>
      <c r="U274" s="52"/>
      <c r="V274" s="1"/>
      <c r="W274" s="52"/>
      <c r="X274" s="1"/>
      <c r="Y274" s="1"/>
      <c r="Z274" s="1"/>
      <c r="AA274" s="1"/>
      <c r="AB274" s="1"/>
      <c r="AC274" s="1"/>
      <c r="AD274" s="1"/>
      <c r="AF274" s="1"/>
      <c r="AH274" s="1"/>
      <c r="AJ274" s="1"/>
      <c r="AL274" s="1"/>
      <c r="AN274" s="1"/>
      <c r="AP274" s="1"/>
      <c r="AR274" s="1"/>
      <c r="AT274" s="1"/>
      <c r="AV274" s="1"/>
      <c r="AX274" s="1"/>
      <c r="AZ274" s="1"/>
      <c r="BB274" s="1"/>
      <c r="BD274" s="1"/>
      <c r="BF274" s="1"/>
      <c r="BH274" s="1"/>
      <c r="BJ274" s="1"/>
      <c r="BL274" s="1"/>
      <c r="BN274" s="1"/>
      <c r="BP274" s="1"/>
      <c r="BR274" s="1"/>
      <c r="BT274" s="1"/>
      <c r="BV274" s="1"/>
      <c r="BX274" s="1"/>
      <c r="BZ274" s="1"/>
      <c r="CB274" s="1"/>
      <c r="CD274" s="1"/>
      <c r="CF274" s="1"/>
      <c r="CH274" s="1"/>
    </row>
    <row r="275" spans="1:86" ht="13.5" customHeight="1" x14ac:dyDescent="0.2">
      <c r="A275" s="1"/>
      <c r="B275" s="1"/>
      <c r="C275" s="1"/>
      <c r="D275" s="1"/>
      <c r="E275" s="52"/>
      <c r="F275" s="1"/>
      <c r="G275" s="52"/>
      <c r="H275" s="1"/>
      <c r="I275" s="52"/>
      <c r="J275" s="1"/>
      <c r="K275" s="52"/>
      <c r="L275" s="1"/>
      <c r="M275" s="52"/>
      <c r="N275" s="1"/>
      <c r="O275" s="52"/>
      <c r="P275" s="1"/>
      <c r="Q275" s="52"/>
      <c r="R275" s="1"/>
      <c r="S275" s="52"/>
      <c r="T275" s="1"/>
      <c r="U275" s="52"/>
      <c r="V275" s="1"/>
      <c r="W275" s="52"/>
      <c r="X275" s="1"/>
      <c r="Y275" s="1"/>
      <c r="Z275" s="1"/>
      <c r="AA275" s="1"/>
      <c r="AB275" s="1"/>
      <c r="AC275" s="1"/>
      <c r="AD275" s="1"/>
      <c r="AF275" s="1"/>
      <c r="AH275" s="1"/>
      <c r="AJ275" s="1"/>
      <c r="AL275" s="1"/>
      <c r="AN275" s="1"/>
      <c r="AP275" s="1"/>
      <c r="AR275" s="1"/>
      <c r="AT275" s="1"/>
      <c r="AV275" s="1"/>
      <c r="AX275" s="1"/>
      <c r="AZ275" s="1"/>
      <c r="BB275" s="1"/>
      <c r="BD275" s="1"/>
      <c r="BF275" s="1"/>
      <c r="BH275" s="1"/>
      <c r="BJ275" s="1"/>
      <c r="BL275" s="1"/>
      <c r="BN275" s="1"/>
      <c r="BP275" s="1"/>
      <c r="BR275" s="1"/>
      <c r="BT275" s="1"/>
      <c r="BV275" s="1"/>
      <c r="BX275" s="1"/>
      <c r="BZ275" s="1"/>
      <c r="CB275" s="1"/>
      <c r="CD275" s="1"/>
      <c r="CF275" s="1"/>
      <c r="CH275" s="1"/>
    </row>
    <row r="276" spans="1:86" ht="13.5" customHeight="1" x14ac:dyDescent="0.2">
      <c r="A276" s="1"/>
      <c r="B276" s="1"/>
      <c r="C276" s="1"/>
      <c r="D276" s="1"/>
      <c r="E276" s="52"/>
      <c r="F276" s="1"/>
      <c r="G276" s="52"/>
      <c r="H276" s="1"/>
      <c r="I276" s="52"/>
      <c r="J276" s="1"/>
      <c r="K276" s="52"/>
      <c r="L276" s="1"/>
      <c r="M276" s="52"/>
      <c r="N276" s="1"/>
      <c r="O276" s="52"/>
      <c r="P276" s="1"/>
      <c r="Q276" s="52"/>
      <c r="R276" s="1"/>
      <c r="S276" s="52"/>
      <c r="T276" s="1"/>
      <c r="U276" s="52"/>
      <c r="V276" s="1"/>
      <c r="W276" s="52"/>
      <c r="X276" s="1"/>
      <c r="Y276" s="1"/>
      <c r="Z276" s="1"/>
      <c r="AA276" s="1"/>
      <c r="AB276" s="1"/>
      <c r="AC276" s="1"/>
      <c r="AD276" s="1"/>
      <c r="AF276" s="1"/>
      <c r="AH276" s="1"/>
      <c r="AJ276" s="1"/>
      <c r="AL276" s="1"/>
      <c r="AN276" s="1"/>
      <c r="AP276" s="1"/>
      <c r="AR276" s="1"/>
      <c r="AT276" s="1"/>
      <c r="AV276" s="1"/>
      <c r="AX276" s="1"/>
      <c r="AZ276" s="1"/>
      <c r="BB276" s="1"/>
      <c r="BD276" s="1"/>
      <c r="BF276" s="1"/>
      <c r="BH276" s="1"/>
      <c r="BJ276" s="1"/>
      <c r="BL276" s="1"/>
      <c r="BN276" s="1"/>
      <c r="BP276" s="1"/>
      <c r="BR276" s="1"/>
      <c r="BT276" s="1"/>
      <c r="BV276" s="1"/>
      <c r="BX276" s="1"/>
      <c r="BZ276" s="1"/>
      <c r="CB276" s="1"/>
      <c r="CD276" s="1"/>
      <c r="CF276" s="1"/>
      <c r="CH276" s="1"/>
    </row>
    <row r="277" spans="1:86" ht="13.5" customHeight="1" x14ac:dyDescent="0.2">
      <c r="A277" s="1"/>
      <c r="B277" s="1"/>
      <c r="C277" s="1"/>
      <c r="D277" s="1"/>
      <c r="E277" s="52"/>
      <c r="F277" s="1"/>
      <c r="G277" s="52"/>
      <c r="H277" s="1"/>
      <c r="I277" s="52"/>
      <c r="J277" s="1"/>
      <c r="K277" s="52"/>
      <c r="L277" s="1"/>
      <c r="M277" s="52"/>
      <c r="N277" s="1"/>
      <c r="O277" s="52"/>
      <c r="P277" s="1"/>
      <c r="Q277" s="52"/>
      <c r="R277" s="1"/>
      <c r="S277" s="52"/>
      <c r="T277" s="1"/>
      <c r="U277" s="52"/>
      <c r="V277" s="1"/>
      <c r="W277" s="52"/>
      <c r="X277" s="1"/>
      <c r="Y277" s="1"/>
      <c r="Z277" s="1"/>
      <c r="AA277" s="1"/>
      <c r="AB277" s="1"/>
      <c r="AC277" s="1"/>
      <c r="AD277" s="1"/>
      <c r="AF277" s="1"/>
      <c r="AH277" s="1"/>
      <c r="AJ277" s="1"/>
      <c r="AL277" s="1"/>
      <c r="AN277" s="1"/>
      <c r="AP277" s="1"/>
      <c r="AR277" s="1"/>
      <c r="AT277" s="1"/>
      <c r="AV277" s="1"/>
      <c r="AX277" s="1"/>
      <c r="AZ277" s="1"/>
      <c r="BB277" s="1"/>
      <c r="BD277" s="1"/>
      <c r="BF277" s="1"/>
      <c r="BH277" s="1"/>
      <c r="BJ277" s="1"/>
      <c r="BL277" s="1"/>
      <c r="BN277" s="1"/>
      <c r="BP277" s="1"/>
      <c r="BR277" s="1"/>
      <c r="BT277" s="1"/>
      <c r="BV277" s="1"/>
      <c r="BX277" s="1"/>
      <c r="BZ277" s="1"/>
      <c r="CB277" s="1"/>
      <c r="CD277" s="1"/>
      <c r="CF277" s="1"/>
      <c r="CH277" s="1"/>
    </row>
    <row r="278" spans="1:86" ht="13.5" customHeight="1" x14ac:dyDescent="0.2">
      <c r="A278" s="1"/>
      <c r="B278" s="1"/>
      <c r="C278" s="1"/>
      <c r="D278" s="1"/>
      <c r="E278" s="52"/>
      <c r="F278" s="1"/>
      <c r="G278" s="52"/>
      <c r="H278" s="1"/>
      <c r="I278" s="52"/>
      <c r="J278" s="1"/>
      <c r="K278" s="52"/>
      <c r="L278" s="1"/>
      <c r="M278" s="52"/>
      <c r="N278" s="1"/>
      <c r="O278" s="52"/>
      <c r="P278" s="1"/>
      <c r="Q278" s="52"/>
      <c r="R278" s="1"/>
      <c r="S278" s="52"/>
      <c r="T278" s="1"/>
      <c r="U278" s="52"/>
      <c r="V278" s="1"/>
      <c r="W278" s="52"/>
      <c r="X278" s="1"/>
      <c r="Y278" s="1"/>
      <c r="Z278" s="1"/>
      <c r="AA278" s="1"/>
      <c r="AB278" s="1"/>
      <c r="AC278" s="1"/>
      <c r="AD278" s="1"/>
      <c r="AF278" s="1"/>
      <c r="AH278" s="1"/>
      <c r="AJ278" s="1"/>
      <c r="AL278" s="1"/>
      <c r="AN278" s="1"/>
      <c r="AP278" s="1"/>
      <c r="AR278" s="1"/>
      <c r="AT278" s="1"/>
      <c r="AV278" s="1"/>
      <c r="AX278" s="1"/>
      <c r="AZ278" s="1"/>
      <c r="BB278" s="1"/>
      <c r="BD278" s="1"/>
      <c r="BF278" s="1"/>
      <c r="BH278" s="1"/>
      <c r="BJ278" s="1"/>
      <c r="BL278" s="1"/>
      <c r="BN278" s="1"/>
      <c r="BP278" s="1"/>
      <c r="BR278" s="1"/>
      <c r="BT278" s="1"/>
      <c r="BV278" s="1"/>
      <c r="BX278" s="1"/>
      <c r="BZ278" s="1"/>
      <c r="CB278" s="1"/>
      <c r="CD278" s="1"/>
      <c r="CF278" s="1"/>
      <c r="CH278" s="1"/>
    </row>
    <row r="279" spans="1:86" ht="13.5" customHeight="1" x14ac:dyDescent="0.2">
      <c r="A279" s="1"/>
      <c r="B279" s="1"/>
      <c r="C279" s="1"/>
      <c r="D279" s="1"/>
      <c r="E279" s="52"/>
      <c r="F279" s="1"/>
      <c r="G279" s="52"/>
      <c r="H279" s="1"/>
      <c r="I279" s="52"/>
      <c r="J279" s="1"/>
      <c r="K279" s="52"/>
      <c r="L279" s="1"/>
      <c r="M279" s="52"/>
      <c r="N279" s="1"/>
      <c r="O279" s="52"/>
      <c r="P279" s="1"/>
      <c r="Q279" s="52"/>
      <c r="R279" s="1"/>
      <c r="S279" s="52"/>
      <c r="T279" s="1"/>
      <c r="U279" s="52"/>
      <c r="V279" s="1"/>
      <c r="W279" s="52"/>
      <c r="X279" s="1"/>
      <c r="Y279" s="1"/>
      <c r="Z279" s="1"/>
      <c r="AA279" s="1"/>
      <c r="AB279" s="1"/>
      <c r="AC279" s="1"/>
      <c r="AD279" s="1"/>
      <c r="AF279" s="1"/>
      <c r="AH279" s="1"/>
      <c r="AJ279" s="1"/>
      <c r="AL279" s="1"/>
      <c r="AN279" s="1"/>
      <c r="AP279" s="1"/>
      <c r="AR279" s="1"/>
      <c r="AT279" s="1"/>
      <c r="AV279" s="1"/>
      <c r="AX279" s="1"/>
      <c r="AZ279" s="1"/>
      <c r="BB279" s="1"/>
      <c r="BD279" s="1"/>
      <c r="BF279" s="1"/>
      <c r="BH279" s="1"/>
      <c r="BJ279" s="1"/>
      <c r="BL279" s="1"/>
      <c r="BN279" s="1"/>
      <c r="BP279" s="1"/>
      <c r="BR279" s="1"/>
      <c r="BT279" s="1"/>
      <c r="BV279" s="1"/>
      <c r="BX279" s="1"/>
      <c r="BZ279" s="1"/>
      <c r="CB279" s="1"/>
      <c r="CD279" s="1"/>
      <c r="CF279" s="1"/>
      <c r="CH279" s="1"/>
    </row>
    <row r="280" spans="1:86" ht="13.5" customHeight="1" x14ac:dyDescent="0.2">
      <c r="A280" s="1"/>
      <c r="B280" s="1"/>
      <c r="C280" s="1"/>
      <c r="D280" s="1"/>
      <c r="E280" s="52"/>
      <c r="F280" s="1"/>
      <c r="G280" s="52"/>
      <c r="H280" s="1"/>
      <c r="I280" s="52"/>
      <c r="J280" s="1"/>
      <c r="K280" s="52"/>
      <c r="L280" s="1"/>
      <c r="M280" s="52"/>
      <c r="N280" s="1"/>
      <c r="O280" s="52"/>
      <c r="P280" s="1"/>
      <c r="Q280" s="52"/>
      <c r="R280" s="1"/>
      <c r="S280" s="52"/>
      <c r="T280" s="1"/>
      <c r="U280" s="52"/>
      <c r="V280" s="1"/>
      <c r="W280" s="52"/>
      <c r="X280" s="1"/>
      <c r="Y280" s="1"/>
      <c r="Z280" s="1"/>
      <c r="AA280" s="1"/>
      <c r="AB280" s="1"/>
      <c r="AC280" s="1"/>
      <c r="AD280" s="1"/>
      <c r="AF280" s="1"/>
      <c r="AH280" s="1"/>
      <c r="AJ280" s="1"/>
      <c r="AL280" s="1"/>
      <c r="AN280" s="1"/>
      <c r="AP280" s="1"/>
      <c r="AR280" s="1"/>
      <c r="AT280" s="1"/>
      <c r="AV280" s="1"/>
      <c r="AX280" s="1"/>
      <c r="AZ280" s="1"/>
      <c r="BB280" s="1"/>
      <c r="BD280" s="1"/>
      <c r="BF280" s="1"/>
      <c r="BH280" s="1"/>
      <c r="BJ280" s="1"/>
      <c r="BL280" s="1"/>
      <c r="BN280" s="1"/>
      <c r="BP280" s="1"/>
      <c r="BR280" s="1"/>
      <c r="BT280" s="1"/>
      <c r="BV280" s="1"/>
      <c r="BX280" s="1"/>
      <c r="BZ280" s="1"/>
      <c r="CB280" s="1"/>
      <c r="CD280" s="1"/>
      <c r="CF280" s="1"/>
      <c r="CH280" s="1"/>
    </row>
    <row r="281" spans="1:86" ht="13.5" customHeight="1" x14ac:dyDescent="0.2">
      <c r="A281" s="1"/>
      <c r="B281" s="1"/>
      <c r="C281" s="1"/>
      <c r="D281" s="1"/>
      <c r="E281" s="52"/>
      <c r="F281" s="1"/>
      <c r="G281" s="52"/>
      <c r="H281" s="1"/>
      <c r="I281" s="52"/>
      <c r="J281" s="1"/>
      <c r="K281" s="52"/>
      <c r="L281" s="1"/>
      <c r="M281" s="52"/>
      <c r="N281" s="1"/>
      <c r="O281" s="52"/>
      <c r="P281" s="1"/>
      <c r="Q281" s="52"/>
      <c r="R281" s="1"/>
      <c r="S281" s="52"/>
      <c r="T281" s="1"/>
      <c r="U281" s="52"/>
      <c r="V281" s="1"/>
      <c r="W281" s="52"/>
      <c r="X281" s="1"/>
      <c r="Y281" s="1"/>
      <c r="Z281" s="1"/>
      <c r="AA281" s="1"/>
      <c r="AB281" s="1"/>
      <c r="AC281" s="1"/>
      <c r="AD281" s="1"/>
      <c r="AF281" s="1"/>
      <c r="AH281" s="1"/>
      <c r="AJ281" s="1"/>
      <c r="AL281" s="1"/>
      <c r="AN281" s="1"/>
      <c r="AP281" s="1"/>
      <c r="AR281" s="1"/>
      <c r="AT281" s="1"/>
      <c r="AV281" s="1"/>
      <c r="AX281" s="1"/>
      <c r="AZ281" s="1"/>
      <c r="BB281" s="1"/>
      <c r="BD281" s="1"/>
      <c r="BF281" s="1"/>
      <c r="BH281" s="1"/>
      <c r="BJ281" s="1"/>
      <c r="BL281" s="1"/>
      <c r="BN281" s="1"/>
      <c r="BP281" s="1"/>
      <c r="BR281" s="1"/>
      <c r="BT281" s="1"/>
      <c r="BV281" s="1"/>
      <c r="BX281" s="1"/>
      <c r="BZ281" s="1"/>
      <c r="CB281" s="1"/>
      <c r="CD281" s="1"/>
      <c r="CF281" s="1"/>
      <c r="CH281" s="1"/>
    </row>
    <row r="282" spans="1:86" ht="13.5" customHeight="1" x14ac:dyDescent="0.2">
      <c r="A282" s="1"/>
      <c r="B282" s="1"/>
      <c r="C282" s="1"/>
      <c r="D282" s="1"/>
      <c r="E282" s="52"/>
      <c r="F282" s="1"/>
      <c r="G282" s="52"/>
      <c r="H282" s="1"/>
      <c r="I282" s="52"/>
      <c r="J282" s="1"/>
      <c r="K282" s="52"/>
      <c r="L282" s="1"/>
      <c r="M282" s="52"/>
      <c r="N282" s="1"/>
      <c r="O282" s="52"/>
      <c r="P282" s="1"/>
      <c r="Q282" s="52"/>
      <c r="R282" s="1"/>
      <c r="S282" s="52"/>
      <c r="T282" s="1"/>
      <c r="U282" s="52"/>
      <c r="V282" s="1"/>
      <c r="W282" s="52"/>
      <c r="X282" s="1"/>
      <c r="Y282" s="1"/>
      <c r="Z282" s="1"/>
      <c r="AA282" s="1"/>
      <c r="AB282" s="1"/>
      <c r="AC282" s="1"/>
      <c r="AD282" s="1"/>
      <c r="AF282" s="1"/>
      <c r="AH282" s="1"/>
      <c r="AJ282" s="1"/>
      <c r="AL282" s="1"/>
      <c r="AN282" s="1"/>
      <c r="AP282" s="1"/>
      <c r="AR282" s="1"/>
      <c r="AT282" s="1"/>
      <c r="AV282" s="1"/>
      <c r="AX282" s="1"/>
      <c r="AZ282" s="1"/>
      <c r="BB282" s="1"/>
      <c r="BD282" s="1"/>
      <c r="BF282" s="1"/>
      <c r="BH282" s="1"/>
      <c r="BJ282" s="1"/>
      <c r="BL282" s="1"/>
      <c r="BN282" s="1"/>
      <c r="BP282" s="1"/>
      <c r="BR282" s="1"/>
      <c r="BT282" s="1"/>
      <c r="BV282" s="1"/>
      <c r="BX282" s="1"/>
      <c r="BZ282" s="1"/>
      <c r="CB282" s="1"/>
      <c r="CD282" s="1"/>
      <c r="CF282" s="1"/>
      <c r="CH282" s="1"/>
    </row>
    <row r="283" spans="1:86" ht="13.5" customHeight="1" x14ac:dyDescent="0.2">
      <c r="A283" s="1"/>
      <c r="B283" s="1"/>
      <c r="C283" s="1"/>
      <c r="D283" s="1"/>
      <c r="E283" s="52"/>
      <c r="F283" s="1"/>
      <c r="G283" s="52"/>
      <c r="H283" s="1"/>
      <c r="I283" s="52"/>
      <c r="J283" s="1"/>
      <c r="K283" s="52"/>
      <c r="L283" s="1"/>
      <c r="M283" s="52"/>
      <c r="N283" s="1"/>
      <c r="O283" s="52"/>
      <c r="P283" s="1"/>
      <c r="Q283" s="52"/>
      <c r="R283" s="1"/>
      <c r="S283" s="52"/>
      <c r="T283" s="1"/>
      <c r="U283" s="52"/>
      <c r="V283" s="1"/>
      <c r="W283" s="52"/>
      <c r="X283" s="1"/>
      <c r="Y283" s="1"/>
      <c r="Z283" s="1"/>
      <c r="AA283" s="1"/>
      <c r="AB283" s="1"/>
      <c r="AC283" s="1"/>
      <c r="AD283" s="1"/>
      <c r="AF283" s="1"/>
      <c r="AH283" s="1"/>
      <c r="AJ283" s="1"/>
      <c r="AL283" s="1"/>
      <c r="AN283" s="1"/>
      <c r="AP283" s="1"/>
      <c r="AR283" s="1"/>
      <c r="AT283" s="1"/>
      <c r="AV283" s="1"/>
      <c r="AX283" s="1"/>
      <c r="AZ283" s="1"/>
      <c r="BB283" s="1"/>
      <c r="BD283" s="1"/>
      <c r="BF283" s="1"/>
      <c r="BH283" s="1"/>
      <c r="BJ283" s="1"/>
      <c r="BL283" s="1"/>
      <c r="BN283" s="1"/>
      <c r="BP283" s="1"/>
      <c r="BR283" s="1"/>
      <c r="BT283" s="1"/>
      <c r="BV283" s="1"/>
      <c r="BX283" s="1"/>
      <c r="BZ283" s="1"/>
      <c r="CB283" s="1"/>
      <c r="CD283" s="1"/>
      <c r="CF283" s="1"/>
      <c r="CH283" s="1"/>
    </row>
    <row r="284" spans="1:86" ht="13.5" customHeight="1" x14ac:dyDescent="0.2">
      <c r="A284" s="1"/>
      <c r="B284" s="1"/>
      <c r="C284" s="1"/>
      <c r="D284" s="1"/>
      <c r="E284" s="52"/>
      <c r="F284" s="1"/>
      <c r="G284" s="52"/>
      <c r="H284" s="1"/>
      <c r="I284" s="52"/>
      <c r="J284" s="1"/>
      <c r="K284" s="52"/>
      <c r="L284" s="1"/>
      <c r="M284" s="52"/>
      <c r="N284" s="1"/>
      <c r="O284" s="52"/>
      <c r="P284" s="1"/>
      <c r="Q284" s="52"/>
      <c r="R284" s="1"/>
      <c r="S284" s="52"/>
      <c r="T284" s="1"/>
      <c r="U284" s="52"/>
      <c r="V284" s="1"/>
      <c r="W284" s="52"/>
      <c r="X284" s="1"/>
      <c r="Y284" s="1"/>
      <c r="Z284" s="1"/>
      <c r="AA284" s="1"/>
      <c r="AB284" s="1"/>
      <c r="AC284" s="1"/>
      <c r="AD284" s="1"/>
      <c r="AF284" s="1"/>
      <c r="AH284" s="1"/>
      <c r="AJ284" s="1"/>
      <c r="AL284" s="1"/>
      <c r="AN284" s="1"/>
      <c r="AP284" s="1"/>
      <c r="AR284" s="1"/>
      <c r="AT284" s="1"/>
      <c r="AV284" s="1"/>
      <c r="AX284" s="1"/>
      <c r="AZ284" s="1"/>
      <c r="BB284" s="1"/>
      <c r="BD284" s="1"/>
      <c r="BF284" s="1"/>
      <c r="BH284" s="1"/>
      <c r="BJ284" s="1"/>
      <c r="BL284" s="1"/>
      <c r="BN284" s="1"/>
      <c r="BP284" s="1"/>
      <c r="BR284" s="1"/>
      <c r="BT284" s="1"/>
      <c r="BV284" s="1"/>
      <c r="BX284" s="1"/>
      <c r="BZ284" s="1"/>
      <c r="CB284" s="1"/>
      <c r="CD284" s="1"/>
      <c r="CF284" s="1"/>
      <c r="CH284" s="1"/>
    </row>
    <row r="285" spans="1:86" ht="13.5" customHeight="1" x14ac:dyDescent="0.2">
      <c r="A285" s="1"/>
      <c r="B285" s="1"/>
      <c r="C285" s="1"/>
      <c r="D285" s="1"/>
      <c r="E285" s="52"/>
      <c r="F285" s="1"/>
      <c r="G285" s="52"/>
      <c r="H285" s="1"/>
      <c r="I285" s="52"/>
      <c r="J285" s="1"/>
      <c r="K285" s="52"/>
      <c r="L285" s="1"/>
      <c r="M285" s="52"/>
      <c r="N285" s="1"/>
      <c r="O285" s="52"/>
      <c r="P285" s="1"/>
      <c r="Q285" s="52"/>
      <c r="R285" s="1"/>
      <c r="S285" s="52"/>
      <c r="T285" s="1"/>
      <c r="U285" s="52"/>
      <c r="V285" s="1"/>
      <c r="W285" s="52"/>
      <c r="X285" s="1"/>
      <c r="Y285" s="1"/>
      <c r="Z285" s="1"/>
      <c r="AA285" s="1"/>
      <c r="AB285" s="1"/>
      <c r="AC285" s="1"/>
      <c r="AD285" s="1"/>
      <c r="AF285" s="1"/>
      <c r="AH285" s="1"/>
      <c r="AJ285" s="1"/>
      <c r="AL285" s="1"/>
      <c r="AN285" s="1"/>
      <c r="AP285" s="1"/>
      <c r="AR285" s="1"/>
      <c r="AT285" s="1"/>
      <c r="AV285" s="1"/>
      <c r="AX285" s="1"/>
      <c r="AZ285" s="1"/>
      <c r="BB285" s="1"/>
      <c r="BD285" s="1"/>
      <c r="BF285" s="1"/>
      <c r="BH285" s="1"/>
      <c r="BJ285" s="1"/>
      <c r="BL285" s="1"/>
      <c r="BN285" s="1"/>
      <c r="BP285" s="1"/>
      <c r="BR285" s="1"/>
      <c r="BT285" s="1"/>
      <c r="BV285" s="1"/>
      <c r="BX285" s="1"/>
      <c r="BZ285" s="1"/>
      <c r="CB285" s="1"/>
      <c r="CD285" s="1"/>
      <c r="CF285" s="1"/>
      <c r="CH285" s="1"/>
    </row>
    <row r="286" spans="1:86" ht="13.5" customHeight="1" x14ac:dyDescent="0.2">
      <c r="A286" s="1"/>
      <c r="B286" s="1"/>
      <c r="C286" s="1"/>
      <c r="D286" s="1"/>
      <c r="E286" s="52"/>
      <c r="F286" s="1"/>
      <c r="G286" s="52"/>
      <c r="H286" s="1"/>
      <c r="I286" s="52"/>
      <c r="J286" s="1"/>
      <c r="K286" s="52"/>
      <c r="L286" s="1"/>
      <c r="M286" s="52"/>
      <c r="N286" s="1"/>
      <c r="O286" s="52"/>
      <c r="P286" s="1"/>
      <c r="Q286" s="52"/>
      <c r="R286" s="1"/>
      <c r="S286" s="52"/>
      <c r="T286" s="1"/>
      <c r="U286" s="52"/>
      <c r="V286" s="1"/>
      <c r="W286" s="52"/>
      <c r="X286" s="1"/>
      <c r="Y286" s="1"/>
      <c r="Z286" s="1"/>
      <c r="AA286" s="1"/>
      <c r="AB286" s="1"/>
      <c r="AC286" s="1"/>
      <c r="AD286" s="1"/>
      <c r="AF286" s="1"/>
      <c r="AH286" s="1"/>
      <c r="AJ286" s="1"/>
      <c r="AL286" s="1"/>
      <c r="AN286" s="1"/>
      <c r="AP286" s="1"/>
      <c r="AR286" s="1"/>
      <c r="AT286" s="1"/>
      <c r="AV286" s="1"/>
      <c r="AX286" s="1"/>
      <c r="AZ286" s="1"/>
      <c r="BB286" s="1"/>
      <c r="BD286" s="1"/>
      <c r="BF286" s="1"/>
      <c r="BH286" s="1"/>
      <c r="BJ286" s="1"/>
      <c r="BL286" s="1"/>
      <c r="BN286" s="1"/>
      <c r="BP286" s="1"/>
      <c r="BR286" s="1"/>
      <c r="BT286" s="1"/>
      <c r="BV286" s="1"/>
      <c r="BX286" s="1"/>
      <c r="BZ286" s="1"/>
      <c r="CB286" s="1"/>
      <c r="CD286" s="1"/>
      <c r="CF286" s="1"/>
      <c r="CH286" s="1"/>
    </row>
    <row r="287" spans="1:86" ht="13.5" customHeight="1" x14ac:dyDescent="0.2">
      <c r="A287" s="1"/>
      <c r="B287" s="1"/>
      <c r="C287" s="1"/>
      <c r="D287" s="1"/>
      <c r="E287" s="52"/>
      <c r="F287" s="1"/>
      <c r="G287" s="52"/>
      <c r="H287" s="1"/>
      <c r="I287" s="52"/>
      <c r="J287" s="1"/>
      <c r="K287" s="52"/>
      <c r="L287" s="1"/>
      <c r="M287" s="52"/>
      <c r="N287" s="1"/>
      <c r="O287" s="52"/>
      <c r="P287" s="1"/>
      <c r="Q287" s="52"/>
      <c r="R287" s="1"/>
      <c r="S287" s="52"/>
      <c r="T287" s="1"/>
      <c r="U287" s="52"/>
      <c r="V287" s="1"/>
      <c r="W287" s="52"/>
      <c r="X287" s="1"/>
      <c r="Y287" s="1"/>
      <c r="Z287" s="1"/>
      <c r="AA287" s="1"/>
      <c r="AB287" s="1"/>
      <c r="AC287" s="1"/>
      <c r="AD287" s="1"/>
      <c r="AF287" s="1"/>
      <c r="AH287" s="1"/>
      <c r="AJ287" s="1"/>
      <c r="AL287" s="1"/>
      <c r="AN287" s="1"/>
      <c r="AP287" s="1"/>
      <c r="AR287" s="1"/>
      <c r="AT287" s="1"/>
      <c r="AV287" s="1"/>
      <c r="AX287" s="1"/>
      <c r="AZ287" s="1"/>
      <c r="BB287" s="1"/>
      <c r="BD287" s="1"/>
      <c r="BF287" s="1"/>
      <c r="BH287" s="1"/>
      <c r="BJ287" s="1"/>
      <c r="BL287" s="1"/>
      <c r="BN287" s="1"/>
      <c r="BP287" s="1"/>
      <c r="BR287" s="1"/>
      <c r="BT287" s="1"/>
      <c r="BV287" s="1"/>
      <c r="BX287" s="1"/>
      <c r="BZ287" s="1"/>
      <c r="CB287" s="1"/>
      <c r="CD287" s="1"/>
      <c r="CF287" s="1"/>
      <c r="CH287" s="1"/>
    </row>
    <row r="288" spans="1:86" ht="13.5" customHeight="1" x14ac:dyDescent="0.2">
      <c r="A288" s="1"/>
      <c r="B288" s="1"/>
      <c r="C288" s="1"/>
      <c r="D288" s="1"/>
      <c r="E288" s="52"/>
      <c r="F288" s="1"/>
      <c r="G288" s="52"/>
      <c r="H288" s="1"/>
      <c r="I288" s="52"/>
      <c r="J288" s="1"/>
      <c r="K288" s="52"/>
      <c r="L288" s="1"/>
      <c r="M288" s="52"/>
      <c r="N288" s="1"/>
      <c r="O288" s="52"/>
      <c r="P288" s="1"/>
      <c r="Q288" s="52"/>
      <c r="R288" s="1"/>
      <c r="S288" s="52"/>
      <c r="T288" s="1"/>
      <c r="U288" s="52"/>
      <c r="V288" s="1"/>
      <c r="W288" s="52"/>
      <c r="X288" s="1"/>
      <c r="Y288" s="1"/>
      <c r="Z288" s="1"/>
      <c r="AA288" s="1"/>
      <c r="AB288" s="1"/>
      <c r="AC288" s="1"/>
      <c r="AD288" s="1"/>
      <c r="AF288" s="1"/>
      <c r="AH288" s="1"/>
      <c r="AJ288" s="1"/>
      <c r="AL288" s="1"/>
      <c r="AN288" s="1"/>
      <c r="AP288" s="1"/>
      <c r="AR288" s="1"/>
      <c r="AT288" s="1"/>
      <c r="AV288" s="1"/>
      <c r="AX288" s="1"/>
      <c r="AZ288" s="1"/>
      <c r="BB288" s="1"/>
      <c r="BD288" s="1"/>
      <c r="BF288" s="1"/>
      <c r="BH288" s="1"/>
      <c r="BJ288" s="1"/>
      <c r="BL288" s="1"/>
      <c r="BN288" s="1"/>
      <c r="BP288" s="1"/>
      <c r="BR288" s="1"/>
      <c r="BT288" s="1"/>
      <c r="BV288" s="1"/>
      <c r="BX288" s="1"/>
      <c r="BZ288" s="1"/>
      <c r="CB288" s="1"/>
      <c r="CD288" s="1"/>
      <c r="CF288" s="1"/>
      <c r="CH288" s="1"/>
    </row>
    <row r="289" spans="1:86" ht="13.5" customHeight="1" x14ac:dyDescent="0.2">
      <c r="A289" s="1"/>
      <c r="B289" s="1"/>
      <c r="C289" s="1"/>
      <c r="D289" s="1"/>
      <c r="E289" s="52"/>
      <c r="F289" s="1"/>
      <c r="G289" s="52"/>
      <c r="H289" s="1"/>
      <c r="I289" s="52"/>
      <c r="J289" s="1"/>
      <c r="K289" s="52"/>
      <c r="L289" s="1"/>
      <c r="M289" s="52"/>
      <c r="N289" s="1"/>
      <c r="O289" s="52"/>
      <c r="P289" s="1"/>
      <c r="Q289" s="52"/>
      <c r="R289" s="1"/>
      <c r="S289" s="52"/>
      <c r="T289" s="1"/>
      <c r="U289" s="52"/>
      <c r="V289" s="1"/>
      <c r="W289" s="52"/>
      <c r="X289" s="1"/>
      <c r="Y289" s="1"/>
      <c r="Z289" s="1"/>
      <c r="AA289" s="1"/>
      <c r="AB289" s="1"/>
      <c r="AC289" s="1"/>
      <c r="AD289" s="1"/>
      <c r="AF289" s="1"/>
      <c r="AH289" s="1"/>
      <c r="AJ289" s="1"/>
      <c r="AL289" s="1"/>
      <c r="AN289" s="1"/>
      <c r="AP289" s="1"/>
      <c r="AR289" s="1"/>
      <c r="AT289" s="1"/>
      <c r="AV289" s="1"/>
      <c r="AX289" s="1"/>
      <c r="AZ289" s="1"/>
      <c r="BB289" s="1"/>
      <c r="BD289" s="1"/>
      <c r="BF289" s="1"/>
      <c r="BH289" s="1"/>
      <c r="BJ289" s="1"/>
      <c r="BL289" s="1"/>
      <c r="BN289" s="1"/>
      <c r="BP289" s="1"/>
      <c r="BR289" s="1"/>
      <c r="BT289" s="1"/>
      <c r="BV289" s="1"/>
      <c r="BX289" s="1"/>
      <c r="BZ289" s="1"/>
      <c r="CB289" s="1"/>
      <c r="CD289" s="1"/>
      <c r="CF289" s="1"/>
      <c r="CH289" s="1"/>
    </row>
    <row r="290" spans="1:86" ht="13.5" customHeight="1" x14ac:dyDescent="0.2">
      <c r="A290" s="1"/>
      <c r="B290" s="1"/>
      <c r="C290" s="1"/>
      <c r="D290" s="1"/>
      <c r="E290" s="52"/>
      <c r="F290" s="1"/>
      <c r="G290" s="52"/>
      <c r="H290" s="1"/>
      <c r="I290" s="52"/>
      <c r="J290" s="1"/>
      <c r="K290" s="52"/>
      <c r="L290" s="1"/>
      <c r="M290" s="52"/>
      <c r="N290" s="1"/>
      <c r="O290" s="52"/>
      <c r="P290" s="1"/>
      <c r="Q290" s="52"/>
      <c r="R290" s="1"/>
      <c r="S290" s="52"/>
      <c r="T290" s="1"/>
      <c r="U290" s="52"/>
      <c r="V290" s="1"/>
      <c r="W290" s="52"/>
      <c r="X290" s="1"/>
      <c r="Y290" s="1"/>
      <c r="Z290" s="1"/>
      <c r="AA290" s="1"/>
      <c r="AB290" s="1"/>
      <c r="AC290" s="1"/>
      <c r="AD290" s="1"/>
      <c r="AF290" s="1"/>
      <c r="AH290" s="1"/>
      <c r="AJ290" s="1"/>
      <c r="AL290" s="1"/>
      <c r="AN290" s="1"/>
      <c r="AP290" s="1"/>
      <c r="AR290" s="1"/>
      <c r="AT290" s="1"/>
      <c r="AV290" s="1"/>
      <c r="AX290" s="1"/>
      <c r="AZ290" s="1"/>
      <c r="BB290" s="1"/>
      <c r="BD290" s="1"/>
      <c r="BF290" s="1"/>
      <c r="BH290" s="1"/>
      <c r="BJ290" s="1"/>
      <c r="BL290" s="1"/>
      <c r="BN290" s="1"/>
      <c r="BP290" s="1"/>
      <c r="BR290" s="1"/>
      <c r="BT290" s="1"/>
      <c r="BV290" s="1"/>
      <c r="BX290" s="1"/>
      <c r="BZ290" s="1"/>
      <c r="CB290" s="1"/>
      <c r="CD290" s="1"/>
      <c r="CF290" s="1"/>
      <c r="CH290" s="1"/>
    </row>
    <row r="291" spans="1:86" ht="13.5" customHeight="1" x14ac:dyDescent="0.2">
      <c r="A291" s="1"/>
      <c r="B291" s="1"/>
      <c r="C291" s="1"/>
      <c r="D291" s="1"/>
      <c r="E291" s="52"/>
      <c r="F291" s="1"/>
      <c r="G291" s="52"/>
      <c r="H291" s="1"/>
      <c r="I291" s="52"/>
      <c r="J291" s="1"/>
      <c r="K291" s="52"/>
      <c r="L291" s="1"/>
      <c r="M291" s="52"/>
      <c r="N291" s="1"/>
      <c r="O291" s="52"/>
      <c r="P291" s="1"/>
      <c r="Q291" s="52"/>
      <c r="R291" s="1"/>
      <c r="S291" s="52"/>
      <c r="T291" s="1"/>
      <c r="U291" s="52"/>
      <c r="V291" s="1"/>
      <c r="W291" s="52"/>
      <c r="X291" s="1"/>
      <c r="Y291" s="1"/>
      <c r="Z291" s="1"/>
      <c r="AA291" s="1"/>
      <c r="AB291" s="1"/>
      <c r="AC291" s="1"/>
      <c r="AD291" s="1"/>
      <c r="AF291" s="1"/>
      <c r="AH291" s="1"/>
      <c r="AJ291" s="1"/>
      <c r="AL291" s="1"/>
      <c r="AN291" s="1"/>
      <c r="AP291" s="1"/>
      <c r="AR291" s="1"/>
      <c r="AT291" s="1"/>
      <c r="AV291" s="1"/>
      <c r="AX291" s="1"/>
      <c r="AZ291" s="1"/>
      <c r="BB291" s="1"/>
      <c r="BD291" s="1"/>
      <c r="BF291" s="1"/>
      <c r="BH291" s="1"/>
      <c r="BJ291" s="1"/>
      <c r="BL291" s="1"/>
      <c r="BN291" s="1"/>
      <c r="BP291" s="1"/>
      <c r="BR291" s="1"/>
      <c r="BT291" s="1"/>
      <c r="BV291" s="1"/>
      <c r="BX291" s="1"/>
      <c r="BZ291" s="1"/>
      <c r="CB291" s="1"/>
      <c r="CD291" s="1"/>
      <c r="CF291" s="1"/>
      <c r="CH291" s="1"/>
    </row>
    <row r="292" spans="1:86" ht="13.5" customHeight="1" x14ac:dyDescent="0.2">
      <c r="A292" s="1"/>
      <c r="B292" s="1"/>
      <c r="C292" s="1"/>
      <c r="D292" s="1"/>
      <c r="E292" s="52"/>
      <c r="F292" s="1"/>
      <c r="G292" s="52"/>
      <c r="H292" s="1"/>
      <c r="I292" s="52"/>
      <c r="J292" s="1"/>
      <c r="K292" s="52"/>
      <c r="L292" s="1"/>
      <c r="M292" s="52"/>
      <c r="N292" s="1"/>
      <c r="O292" s="52"/>
      <c r="P292" s="1"/>
      <c r="Q292" s="52"/>
      <c r="R292" s="1"/>
      <c r="S292" s="52"/>
      <c r="T292" s="1"/>
      <c r="U292" s="52"/>
      <c r="V292" s="1"/>
      <c r="W292" s="52"/>
      <c r="X292" s="1"/>
      <c r="Y292" s="1"/>
      <c r="Z292" s="1"/>
      <c r="AA292" s="1"/>
      <c r="AB292" s="1"/>
      <c r="AC292" s="1"/>
      <c r="AD292" s="1"/>
      <c r="AF292" s="1"/>
      <c r="AH292" s="1"/>
      <c r="AJ292" s="1"/>
      <c r="AL292" s="1"/>
      <c r="AN292" s="1"/>
      <c r="AP292" s="1"/>
      <c r="AR292" s="1"/>
      <c r="AT292" s="1"/>
      <c r="AV292" s="1"/>
      <c r="AX292" s="1"/>
      <c r="AZ292" s="1"/>
      <c r="BB292" s="1"/>
      <c r="BD292" s="1"/>
      <c r="BF292" s="1"/>
      <c r="BH292" s="1"/>
      <c r="BJ292" s="1"/>
      <c r="BL292" s="1"/>
      <c r="BN292" s="1"/>
      <c r="BP292" s="1"/>
      <c r="BR292" s="1"/>
      <c r="BT292" s="1"/>
      <c r="BV292" s="1"/>
      <c r="BX292" s="1"/>
      <c r="BZ292" s="1"/>
      <c r="CB292" s="1"/>
      <c r="CD292" s="1"/>
      <c r="CF292" s="1"/>
      <c r="CH292" s="1"/>
    </row>
    <row r="293" spans="1:86" ht="13.5" customHeight="1" x14ac:dyDescent="0.2">
      <c r="A293" s="1"/>
      <c r="B293" s="1"/>
      <c r="C293" s="1"/>
      <c r="D293" s="1"/>
      <c r="E293" s="52"/>
      <c r="F293" s="1"/>
      <c r="G293" s="52"/>
      <c r="H293" s="1"/>
      <c r="I293" s="52"/>
      <c r="J293" s="1"/>
      <c r="K293" s="52"/>
      <c r="L293" s="1"/>
      <c r="M293" s="52"/>
      <c r="N293" s="1"/>
      <c r="O293" s="52"/>
      <c r="P293" s="1"/>
      <c r="Q293" s="52"/>
      <c r="R293" s="1"/>
      <c r="S293" s="52"/>
      <c r="T293" s="1"/>
      <c r="U293" s="52"/>
      <c r="V293" s="1"/>
      <c r="W293" s="52"/>
      <c r="X293" s="1"/>
      <c r="Y293" s="1"/>
      <c r="Z293" s="1"/>
      <c r="AA293" s="1"/>
      <c r="AB293" s="1"/>
      <c r="AC293" s="1"/>
      <c r="AD293" s="1"/>
      <c r="AF293" s="1"/>
      <c r="AH293" s="1"/>
      <c r="AJ293" s="1"/>
      <c r="AL293" s="1"/>
      <c r="AN293" s="1"/>
      <c r="AP293" s="1"/>
      <c r="AR293" s="1"/>
      <c r="AT293" s="1"/>
      <c r="AV293" s="1"/>
      <c r="AX293" s="1"/>
      <c r="AZ293" s="1"/>
      <c r="BB293" s="1"/>
      <c r="BD293" s="1"/>
      <c r="BF293" s="1"/>
      <c r="BH293" s="1"/>
      <c r="BJ293" s="1"/>
      <c r="BL293" s="1"/>
      <c r="BN293" s="1"/>
      <c r="BP293" s="1"/>
      <c r="BR293" s="1"/>
      <c r="BT293" s="1"/>
      <c r="BV293" s="1"/>
      <c r="BX293" s="1"/>
      <c r="BZ293" s="1"/>
      <c r="CB293" s="1"/>
      <c r="CD293" s="1"/>
      <c r="CF293" s="1"/>
      <c r="CH293" s="1"/>
    </row>
    <row r="294" spans="1:86" ht="13.5" customHeight="1" x14ac:dyDescent="0.2">
      <c r="A294" s="1"/>
      <c r="B294" s="1"/>
      <c r="C294" s="1"/>
      <c r="D294" s="1"/>
      <c r="E294" s="52"/>
      <c r="F294" s="1"/>
      <c r="G294" s="52"/>
      <c r="H294" s="1"/>
      <c r="I294" s="52"/>
      <c r="J294" s="1"/>
      <c r="K294" s="52"/>
      <c r="L294" s="1"/>
      <c r="M294" s="52"/>
      <c r="N294" s="1"/>
      <c r="O294" s="52"/>
      <c r="P294" s="1"/>
      <c r="Q294" s="52"/>
      <c r="R294" s="1"/>
      <c r="S294" s="52"/>
      <c r="T294" s="1"/>
      <c r="U294" s="52"/>
      <c r="V294" s="1"/>
      <c r="W294" s="52"/>
      <c r="X294" s="1"/>
      <c r="Y294" s="1"/>
      <c r="Z294" s="1"/>
      <c r="AA294" s="1"/>
      <c r="AB294" s="1"/>
      <c r="AC294" s="1"/>
      <c r="AD294" s="1"/>
      <c r="AF294" s="1"/>
      <c r="AH294" s="1"/>
      <c r="AJ294" s="1"/>
      <c r="AL294" s="1"/>
      <c r="AN294" s="1"/>
      <c r="AP294" s="1"/>
      <c r="AR294" s="1"/>
      <c r="AT294" s="1"/>
      <c r="AV294" s="1"/>
      <c r="AX294" s="1"/>
      <c r="AZ294" s="1"/>
      <c r="BB294" s="1"/>
      <c r="BD294" s="1"/>
      <c r="BF294" s="1"/>
      <c r="BH294" s="1"/>
      <c r="BJ294" s="1"/>
      <c r="BL294" s="1"/>
      <c r="BN294" s="1"/>
      <c r="BP294" s="1"/>
      <c r="BR294" s="1"/>
      <c r="BT294" s="1"/>
      <c r="BV294" s="1"/>
      <c r="BX294" s="1"/>
      <c r="BZ294" s="1"/>
      <c r="CB294" s="1"/>
      <c r="CD294" s="1"/>
      <c r="CF294" s="1"/>
      <c r="CH294" s="1"/>
    </row>
    <row r="295" spans="1:86" ht="13.5" customHeight="1" x14ac:dyDescent="0.2">
      <c r="A295" s="1"/>
      <c r="B295" s="1"/>
      <c r="C295" s="1"/>
      <c r="D295" s="1"/>
      <c r="E295" s="52"/>
      <c r="F295" s="1"/>
      <c r="G295" s="52"/>
      <c r="H295" s="1"/>
      <c r="I295" s="52"/>
      <c r="J295" s="1"/>
      <c r="K295" s="52"/>
      <c r="L295" s="1"/>
      <c r="M295" s="52"/>
      <c r="N295" s="1"/>
      <c r="O295" s="52"/>
      <c r="P295" s="1"/>
      <c r="Q295" s="52"/>
      <c r="R295" s="1"/>
      <c r="S295" s="52"/>
      <c r="T295" s="1"/>
      <c r="U295" s="52"/>
      <c r="V295" s="1"/>
      <c r="W295" s="52"/>
      <c r="X295" s="1"/>
      <c r="Y295" s="1"/>
      <c r="Z295" s="1"/>
      <c r="AA295" s="1"/>
      <c r="AB295" s="1"/>
      <c r="AC295" s="1"/>
      <c r="AD295" s="1"/>
      <c r="AF295" s="1"/>
      <c r="AH295" s="1"/>
      <c r="AJ295" s="1"/>
      <c r="AL295" s="1"/>
      <c r="AN295" s="1"/>
      <c r="AP295" s="1"/>
      <c r="AR295" s="1"/>
      <c r="AT295" s="1"/>
      <c r="AV295" s="1"/>
      <c r="AX295" s="1"/>
      <c r="AZ295" s="1"/>
      <c r="BB295" s="1"/>
      <c r="BD295" s="1"/>
      <c r="BF295" s="1"/>
      <c r="BH295" s="1"/>
      <c r="BJ295" s="1"/>
      <c r="BL295" s="1"/>
      <c r="BN295" s="1"/>
      <c r="BP295" s="1"/>
      <c r="BR295" s="1"/>
      <c r="BT295" s="1"/>
      <c r="BV295" s="1"/>
      <c r="BX295" s="1"/>
      <c r="BZ295" s="1"/>
      <c r="CB295" s="1"/>
      <c r="CD295" s="1"/>
      <c r="CF295" s="1"/>
      <c r="CH295" s="1"/>
    </row>
    <row r="296" spans="1:86" ht="13.5" customHeight="1" x14ac:dyDescent="0.2">
      <c r="A296" s="1"/>
      <c r="B296" s="1"/>
      <c r="C296" s="1"/>
      <c r="D296" s="1"/>
      <c r="E296" s="52"/>
      <c r="F296" s="1"/>
      <c r="G296" s="52"/>
      <c r="H296" s="1"/>
      <c r="I296" s="52"/>
      <c r="J296" s="1"/>
      <c r="K296" s="52"/>
      <c r="L296" s="1"/>
      <c r="M296" s="52"/>
      <c r="N296" s="1"/>
      <c r="O296" s="52"/>
      <c r="P296" s="1"/>
      <c r="Q296" s="52"/>
      <c r="R296" s="1"/>
      <c r="S296" s="52"/>
      <c r="T296" s="1"/>
      <c r="U296" s="52"/>
      <c r="V296" s="1"/>
      <c r="W296" s="52"/>
      <c r="X296" s="1"/>
      <c r="Y296" s="1"/>
      <c r="Z296" s="1"/>
      <c r="AA296" s="1"/>
      <c r="AB296" s="1"/>
      <c r="AC296" s="1"/>
      <c r="AD296" s="1"/>
      <c r="AF296" s="1"/>
      <c r="AH296" s="1"/>
      <c r="AJ296" s="1"/>
      <c r="AL296" s="1"/>
      <c r="AN296" s="1"/>
      <c r="AP296" s="1"/>
      <c r="AR296" s="1"/>
      <c r="AT296" s="1"/>
      <c r="AV296" s="1"/>
      <c r="AX296" s="1"/>
      <c r="AZ296" s="1"/>
      <c r="BB296" s="1"/>
      <c r="BD296" s="1"/>
      <c r="BF296" s="1"/>
      <c r="BH296" s="1"/>
      <c r="BJ296" s="1"/>
      <c r="BL296" s="1"/>
      <c r="BN296" s="1"/>
      <c r="BP296" s="1"/>
      <c r="BR296" s="1"/>
      <c r="BT296" s="1"/>
      <c r="BV296" s="1"/>
      <c r="BX296" s="1"/>
      <c r="BZ296" s="1"/>
      <c r="CB296" s="1"/>
      <c r="CD296" s="1"/>
      <c r="CF296" s="1"/>
      <c r="CH296" s="1"/>
    </row>
    <row r="297" spans="1:86" ht="13.5" customHeight="1" x14ac:dyDescent="0.2">
      <c r="A297" s="1"/>
      <c r="B297" s="1"/>
      <c r="C297" s="1"/>
      <c r="D297" s="1"/>
      <c r="E297" s="52"/>
      <c r="F297" s="1"/>
      <c r="G297" s="52"/>
      <c r="H297" s="1"/>
      <c r="I297" s="52"/>
      <c r="J297" s="1"/>
      <c r="K297" s="52"/>
      <c r="L297" s="1"/>
      <c r="M297" s="52"/>
      <c r="N297" s="1"/>
      <c r="O297" s="52"/>
      <c r="P297" s="1"/>
      <c r="Q297" s="52"/>
      <c r="R297" s="1"/>
      <c r="S297" s="52"/>
      <c r="T297" s="1"/>
      <c r="U297" s="52"/>
      <c r="V297" s="1"/>
      <c r="W297" s="52"/>
      <c r="X297" s="1"/>
      <c r="Y297" s="1"/>
      <c r="Z297" s="1"/>
      <c r="AA297" s="1"/>
      <c r="AB297" s="1"/>
      <c r="AC297" s="1"/>
      <c r="AD297" s="1"/>
      <c r="AF297" s="1"/>
      <c r="AH297" s="1"/>
      <c r="AJ297" s="1"/>
      <c r="AL297" s="1"/>
      <c r="AN297" s="1"/>
      <c r="AP297" s="1"/>
      <c r="AR297" s="1"/>
      <c r="AT297" s="1"/>
      <c r="AV297" s="1"/>
      <c r="AX297" s="1"/>
      <c r="AZ297" s="1"/>
      <c r="BB297" s="1"/>
      <c r="BD297" s="1"/>
      <c r="BF297" s="1"/>
      <c r="BH297" s="1"/>
      <c r="BJ297" s="1"/>
      <c r="BL297" s="1"/>
      <c r="BN297" s="1"/>
      <c r="BP297" s="1"/>
      <c r="BR297" s="1"/>
      <c r="BT297" s="1"/>
      <c r="BV297" s="1"/>
      <c r="BX297" s="1"/>
      <c r="BZ297" s="1"/>
      <c r="CB297" s="1"/>
      <c r="CD297" s="1"/>
      <c r="CF297" s="1"/>
      <c r="CH297" s="1"/>
    </row>
    <row r="298" spans="1:86" ht="13.5" customHeight="1" x14ac:dyDescent="0.2">
      <c r="A298" s="1"/>
      <c r="B298" s="1"/>
      <c r="C298" s="1"/>
      <c r="D298" s="1"/>
      <c r="E298" s="52"/>
      <c r="F298" s="1"/>
      <c r="G298" s="52"/>
      <c r="H298" s="1"/>
      <c r="I298" s="52"/>
      <c r="J298" s="1"/>
      <c r="K298" s="52"/>
      <c r="L298" s="1"/>
      <c r="M298" s="52"/>
      <c r="N298" s="1"/>
      <c r="O298" s="52"/>
      <c r="P298" s="1"/>
      <c r="Q298" s="52"/>
      <c r="R298" s="1"/>
      <c r="S298" s="52"/>
      <c r="T298" s="1"/>
      <c r="U298" s="52"/>
      <c r="V298" s="1"/>
      <c r="W298" s="52"/>
      <c r="X298" s="1"/>
      <c r="Y298" s="1"/>
      <c r="Z298" s="1"/>
      <c r="AA298" s="1"/>
      <c r="AB298" s="1"/>
      <c r="AC298" s="1"/>
      <c r="AD298" s="1"/>
      <c r="AF298" s="1"/>
      <c r="AH298" s="1"/>
      <c r="AJ298" s="1"/>
      <c r="AL298" s="1"/>
      <c r="AN298" s="1"/>
      <c r="AP298" s="1"/>
      <c r="AR298" s="1"/>
      <c r="AT298" s="1"/>
      <c r="AV298" s="1"/>
      <c r="AX298" s="1"/>
      <c r="AZ298" s="1"/>
      <c r="BB298" s="1"/>
      <c r="BD298" s="1"/>
      <c r="BF298" s="1"/>
      <c r="BH298" s="1"/>
      <c r="BJ298" s="1"/>
      <c r="BL298" s="1"/>
      <c r="BN298" s="1"/>
      <c r="BP298" s="1"/>
      <c r="BR298" s="1"/>
      <c r="BT298" s="1"/>
      <c r="BV298" s="1"/>
      <c r="BX298" s="1"/>
      <c r="BZ298" s="1"/>
      <c r="CB298" s="1"/>
      <c r="CD298" s="1"/>
      <c r="CF298" s="1"/>
      <c r="CH298" s="1"/>
    </row>
    <row r="299" spans="1:86" ht="13.5" customHeight="1" x14ac:dyDescent="0.2">
      <c r="A299" s="1"/>
      <c r="B299" s="1"/>
      <c r="C299" s="1"/>
      <c r="D299" s="1"/>
      <c r="E299" s="52"/>
      <c r="F299" s="1"/>
      <c r="G299" s="52"/>
      <c r="H299" s="1"/>
      <c r="I299" s="52"/>
      <c r="J299" s="1"/>
      <c r="K299" s="52"/>
      <c r="L299" s="1"/>
      <c r="M299" s="52"/>
      <c r="N299" s="1"/>
      <c r="O299" s="52"/>
      <c r="P299" s="1"/>
      <c r="Q299" s="52"/>
      <c r="R299" s="1"/>
      <c r="S299" s="52"/>
      <c r="T299" s="1"/>
      <c r="U299" s="52"/>
      <c r="V299" s="1"/>
      <c r="W299" s="52"/>
      <c r="X299" s="1"/>
      <c r="Y299" s="1"/>
      <c r="Z299" s="1"/>
      <c r="AA299" s="1"/>
      <c r="AB299" s="1"/>
      <c r="AC299" s="1"/>
      <c r="AD299" s="1"/>
      <c r="AF299" s="1"/>
      <c r="AH299" s="1"/>
      <c r="AJ299" s="1"/>
      <c r="AL299" s="1"/>
      <c r="AN299" s="1"/>
      <c r="AP299" s="1"/>
      <c r="AR299" s="1"/>
      <c r="AT299" s="1"/>
      <c r="AV299" s="1"/>
      <c r="AX299" s="1"/>
      <c r="AZ299" s="1"/>
      <c r="BB299" s="1"/>
      <c r="BD299" s="1"/>
      <c r="BF299" s="1"/>
      <c r="BH299" s="1"/>
      <c r="BJ299" s="1"/>
      <c r="BL299" s="1"/>
      <c r="BN299" s="1"/>
      <c r="BP299" s="1"/>
      <c r="BR299" s="1"/>
      <c r="BT299" s="1"/>
      <c r="BV299" s="1"/>
      <c r="BX299" s="1"/>
      <c r="BZ299" s="1"/>
      <c r="CB299" s="1"/>
      <c r="CD299" s="1"/>
      <c r="CF299" s="1"/>
      <c r="CH299" s="1"/>
    </row>
    <row r="300" spans="1:86" ht="13.5" customHeight="1" x14ac:dyDescent="0.2">
      <c r="A300" s="1"/>
      <c r="B300" s="1"/>
      <c r="C300" s="1"/>
      <c r="D300" s="1"/>
      <c r="E300" s="52"/>
      <c r="F300" s="1"/>
      <c r="G300" s="52"/>
      <c r="H300" s="1"/>
      <c r="I300" s="52"/>
      <c r="J300" s="1"/>
      <c r="K300" s="52"/>
      <c r="L300" s="1"/>
      <c r="M300" s="52"/>
      <c r="N300" s="1"/>
      <c r="O300" s="52"/>
      <c r="P300" s="1"/>
      <c r="Q300" s="52"/>
      <c r="R300" s="1"/>
      <c r="S300" s="52"/>
      <c r="T300" s="1"/>
      <c r="U300" s="52"/>
      <c r="V300" s="1"/>
      <c r="W300" s="52"/>
      <c r="X300" s="1"/>
      <c r="Y300" s="1"/>
      <c r="Z300" s="1"/>
      <c r="AA300" s="1"/>
      <c r="AB300" s="1"/>
      <c r="AC300" s="1"/>
      <c r="AD300" s="1"/>
      <c r="AF300" s="1"/>
      <c r="AH300" s="1"/>
      <c r="AJ300" s="1"/>
      <c r="AL300" s="1"/>
      <c r="AN300" s="1"/>
      <c r="AP300" s="1"/>
      <c r="AR300" s="1"/>
      <c r="AT300" s="1"/>
      <c r="AV300" s="1"/>
      <c r="AX300" s="1"/>
      <c r="AZ300" s="1"/>
      <c r="BB300" s="1"/>
      <c r="BD300" s="1"/>
      <c r="BF300" s="1"/>
      <c r="BH300" s="1"/>
      <c r="BJ300" s="1"/>
      <c r="BL300" s="1"/>
      <c r="BN300" s="1"/>
      <c r="BP300" s="1"/>
      <c r="BR300" s="1"/>
      <c r="BT300" s="1"/>
      <c r="BV300" s="1"/>
      <c r="BX300" s="1"/>
      <c r="BZ300" s="1"/>
      <c r="CB300" s="1"/>
      <c r="CD300" s="1"/>
      <c r="CF300" s="1"/>
      <c r="CH300" s="1"/>
    </row>
    <row r="301" spans="1:86" ht="13.5" customHeight="1" x14ac:dyDescent="0.2">
      <c r="A301" s="1"/>
      <c r="B301" s="1"/>
      <c r="C301" s="1"/>
      <c r="D301" s="1"/>
      <c r="E301" s="52"/>
      <c r="F301" s="1"/>
      <c r="G301" s="52"/>
      <c r="H301" s="1"/>
      <c r="I301" s="52"/>
      <c r="J301" s="1"/>
      <c r="K301" s="52"/>
      <c r="L301" s="1"/>
      <c r="M301" s="52"/>
      <c r="N301" s="1"/>
      <c r="O301" s="52"/>
      <c r="P301" s="1"/>
      <c r="Q301" s="52"/>
      <c r="R301" s="1"/>
      <c r="S301" s="52"/>
      <c r="T301" s="1"/>
      <c r="U301" s="52"/>
      <c r="V301" s="1"/>
      <c r="W301" s="52"/>
      <c r="X301" s="1"/>
      <c r="Y301" s="1"/>
      <c r="Z301" s="1"/>
      <c r="AA301" s="1"/>
      <c r="AB301" s="1"/>
      <c r="AC301" s="1"/>
      <c r="AD301" s="1"/>
      <c r="AF301" s="1"/>
      <c r="AH301" s="1"/>
      <c r="AJ301" s="1"/>
      <c r="AL301" s="1"/>
      <c r="AN301" s="1"/>
      <c r="AP301" s="1"/>
      <c r="AR301" s="1"/>
      <c r="AT301" s="1"/>
      <c r="AV301" s="1"/>
      <c r="AX301" s="1"/>
      <c r="AZ301" s="1"/>
      <c r="BB301" s="1"/>
      <c r="BD301" s="1"/>
      <c r="BF301" s="1"/>
      <c r="BH301" s="1"/>
      <c r="BJ301" s="1"/>
      <c r="BL301" s="1"/>
      <c r="BN301" s="1"/>
      <c r="BP301" s="1"/>
      <c r="BR301" s="1"/>
      <c r="BT301" s="1"/>
      <c r="BV301" s="1"/>
      <c r="BX301" s="1"/>
      <c r="BZ301" s="1"/>
      <c r="CB301" s="1"/>
      <c r="CD301" s="1"/>
      <c r="CF301" s="1"/>
      <c r="CH301" s="1"/>
    </row>
    <row r="302" spans="1:86" ht="13.5" customHeight="1" x14ac:dyDescent="0.2">
      <c r="A302" s="1"/>
      <c r="B302" s="1"/>
      <c r="C302" s="1"/>
      <c r="D302" s="1"/>
      <c r="E302" s="52"/>
      <c r="F302" s="1"/>
      <c r="G302" s="52"/>
      <c r="H302" s="1"/>
      <c r="I302" s="52"/>
      <c r="J302" s="1"/>
      <c r="K302" s="52"/>
      <c r="L302" s="1"/>
      <c r="M302" s="52"/>
      <c r="N302" s="1"/>
      <c r="O302" s="52"/>
      <c r="P302" s="1"/>
      <c r="Q302" s="52"/>
      <c r="R302" s="1"/>
      <c r="S302" s="52"/>
      <c r="T302" s="1"/>
      <c r="U302" s="52"/>
      <c r="V302" s="1"/>
      <c r="W302" s="52"/>
      <c r="X302" s="1"/>
      <c r="Y302" s="1"/>
      <c r="Z302" s="1"/>
      <c r="AA302" s="1"/>
      <c r="AB302" s="1"/>
      <c r="AC302" s="1"/>
      <c r="AD302" s="1"/>
      <c r="AF302" s="1"/>
      <c r="AH302" s="1"/>
      <c r="AJ302" s="1"/>
      <c r="AL302" s="1"/>
      <c r="AN302" s="1"/>
      <c r="AP302" s="1"/>
      <c r="AR302" s="1"/>
      <c r="AT302" s="1"/>
      <c r="AV302" s="1"/>
      <c r="AX302" s="1"/>
      <c r="AZ302" s="1"/>
      <c r="BB302" s="1"/>
      <c r="BD302" s="1"/>
      <c r="BF302" s="1"/>
      <c r="BH302" s="1"/>
      <c r="BJ302" s="1"/>
      <c r="BL302" s="1"/>
      <c r="BN302" s="1"/>
      <c r="BP302" s="1"/>
      <c r="BR302" s="1"/>
      <c r="BT302" s="1"/>
      <c r="BV302" s="1"/>
      <c r="BX302" s="1"/>
      <c r="BZ302" s="1"/>
      <c r="CB302" s="1"/>
      <c r="CD302" s="1"/>
      <c r="CF302" s="1"/>
      <c r="CH302" s="1"/>
    </row>
    <row r="303" spans="1:86" ht="13.5" customHeight="1" x14ac:dyDescent="0.2">
      <c r="A303" s="1"/>
      <c r="B303" s="1"/>
      <c r="C303" s="1"/>
      <c r="D303" s="1"/>
      <c r="E303" s="52"/>
      <c r="F303" s="1"/>
      <c r="G303" s="52"/>
      <c r="H303" s="1"/>
      <c r="I303" s="52"/>
      <c r="J303" s="1"/>
      <c r="K303" s="52"/>
      <c r="L303" s="1"/>
      <c r="M303" s="52"/>
      <c r="N303" s="1"/>
      <c r="O303" s="52"/>
      <c r="P303" s="1"/>
      <c r="Q303" s="52"/>
      <c r="R303" s="1"/>
      <c r="S303" s="52"/>
      <c r="T303" s="1"/>
      <c r="U303" s="52"/>
      <c r="V303" s="1"/>
      <c r="W303" s="52"/>
      <c r="X303" s="1"/>
      <c r="Y303" s="1"/>
      <c r="Z303" s="1"/>
      <c r="AA303" s="1"/>
      <c r="AB303" s="1"/>
      <c r="AC303" s="1"/>
      <c r="AD303" s="1"/>
      <c r="AF303" s="1"/>
      <c r="AH303" s="1"/>
      <c r="AJ303" s="1"/>
      <c r="AL303" s="1"/>
      <c r="AN303" s="1"/>
      <c r="AP303" s="1"/>
      <c r="AR303" s="1"/>
      <c r="AT303" s="1"/>
      <c r="AV303" s="1"/>
      <c r="AX303" s="1"/>
      <c r="AZ303" s="1"/>
      <c r="BB303" s="1"/>
      <c r="BD303" s="1"/>
      <c r="BF303" s="1"/>
      <c r="BH303" s="1"/>
      <c r="BJ303" s="1"/>
      <c r="BL303" s="1"/>
      <c r="BN303" s="1"/>
      <c r="BP303" s="1"/>
      <c r="BR303" s="1"/>
      <c r="BT303" s="1"/>
      <c r="BV303" s="1"/>
      <c r="BX303" s="1"/>
      <c r="BZ303" s="1"/>
      <c r="CB303" s="1"/>
      <c r="CD303" s="1"/>
      <c r="CF303" s="1"/>
      <c r="CH303" s="1"/>
    </row>
    <row r="304" spans="1:86" ht="13.5" customHeight="1" x14ac:dyDescent="0.2">
      <c r="A304" s="1"/>
      <c r="B304" s="1"/>
      <c r="C304" s="1"/>
      <c r="D304" s="1"/>
      <c r="E304" s="52"/>
      <c r="F304" s="1"/>
      <c r="G304" s="52"/>
      <c r="H304" s="1"/>
      <c r="I304" s="52"/>
      <c r="J304" s="1"/>
      <c r="K304" s="52"/>
      <c r="L304" s="1"/>
      <c r="M304" s="52"/>
      <c r="N304" s="1"/>
      <c r="O304" s="52"/>
      <c r="P304" s="1"/>
      <c r="Q304" s="52"/>
      <c r="R304" s="1"/>
      <c r="S304" s="52"/>
      <c r="T304" s="1"/>
      <c r="U304" s="52"/>
      <c r="V304" s="1"/>
      <c r="W304" s="52"/>
      <c r="X304" s="1"/>
      <c r="Y304" s="1"/>
      <c r="Z304" s="1"/>
      <c r="AA304" s="1"/>
      <c r="AB304" s="1"/>
      <c r="AC304" s="1"/>
      <c r="AD304" s="1"/>
      <c r="AF304" s="1"/>
      <c r="AH304" s="1"/>
      <c r="AJ304" s="1"/>
      <c r="AL304" s="1"/>
      <c r="AN304" s="1"/>
      <c r="AP304" s="1"/>
      <c r="AR304" s="1"/>
      <c r="AT304" s="1"/>
      <c r="AV304" s="1"/>
      <c r="AX304" s="1"/>
      <c r="AZ304" s="1"/>
      <c r="BB304" s="1"/>
      <c r="BD304" s="1"/>
      <c r="BF304" s="1"/>
      <c r="BH304" s="1"/>
      <c r="BJ304" s="1"/>
      <c r="BL304" s="1"/>
      <c r="BN304" s="1"/>
      <c r="BP304" s="1"/>
      <c r="BR304" s="1"/>
      <c r="BT304" s="1"/>
      <c r="BV304" s="1"/>
      <c r="BX304" s="1"/>
      <c r="BZ304" s="1"/>
      <c r="CB304" s="1"/>
      <c r="CD304" s="1"/>
      <c r="CF304" s="1"/>
      <c r="CH304" s="1"/>
    </row>
    <row r="305" spans="1:86" ht="13.5" customHeight="1" x14ac:dyDescent="0.2">
      <c r="A305" s="1"/>
      <c r="B305" s="1"/>
      <c r="C305" s="1"/>
      <c r="D305" s="1"/>
      <c r="E305" s="52"/>
      <c r="F305" s="1"/>
      <c r="G305" s="52"/>
      <c r="H305" s="1"/>
      <c r="I305" s="52"/>
      <c r="J305" s="1"/>
      <c r="K305" s="52"/>
      <c r="L305" s="1"/>
      <c r="M305" s="52"/>
      <c r="N305" s="1"/>
      <c r="O305" s="52"/>
      <c r="P305" s="1"/>
      <c r="Q305" s="52"/>
      <c r="R305" s="1"/>
      <c r="S305" s="52"/>
      <c r="T305" s="1"/>
      <c r="U305" s="52"/>
      <c r="V305" s="1"/>
      <c r="W305" s="52"/>
      <c r="X305" s="1"/>
      <c r="Y305" s="1"/>
      <c r="Z305" s="1"/>
      <c r="AA305" s="1"/>
      <c r="AB305" s="1"/>
      <c r="AC305" s="1"/>
      <c r="AD305" s="1"/>
      <c r="AF305" s="1"/>
      <c r="AH305" s="1"/>
      <c r="AJ305" s="1"/>
      <c r="AL305" s="1"/>
      <c r="AN305" s="1"/>
      <c r="AP305" s="1"/>
      <c r="AR305" s="1"/>
      <c r="AT305" s="1"/>
      <c r="AV305" s="1"/>
      <c r="AX305" s="1"/>
      <c r="AZ305" s="1"/>
      <c r="BB305" s="1"/>
      <c r="BD305" s="1"/>
      <c r="BF305" s="1"/>
      <c r="BH305" s="1"/>
      <c r="BJ305" s="1"/>
      <c r="BL305" s="1"/>
      <c r="BN305" s="1"/>
      <c r="BP305" s="1"/>
      <c r="BR305" s="1"/>
      <c r="BT305" s="1"/>
      <c r="BV305" s="1"/>
      <c r="BX305" s="1"/>
      <c r="BZ305" s="1"/>
      <c r="CB305" s="1"/>
      <c r="CD305" s="1"/>
      <c r="CF305" s="1"/>
      <c r="CH305" s="1"/>
    </row>
    <row r="306" spans="1:86" ht="13.5" customHeight="1" x14ac:dyDescent="0.2">
      <c r="A306" s="1"/>
      <c r="B306" s="1"/>
      <c r="C306" s="1"/>
      <c r="D306" s="1"/>
      <c r="E306" s="52"/>
      <c r="F306" s="1"/>
      <c r="G306" s="52"/>
      <c r="H306" s="1"/>
      <c r="I306" s="52"/>
      <c r="J306" s="1"/>
      <c r="K306" s="52"/>
      <c r="L306" s="1"/>
      <c r="M306" s="52"/>
      <c r="N306" s="1"/>
      <c r="O306" s="52"/>
      <c r="P306" s="1"/>
      <c r="Q306" s="52"/>
      <c r="R306" s="1"/>
      <c r="S306" s="52"/>
      <c r="T306" s="1"/>
      <c r="U306" s="52"/>
      <c r="V306" s="1"/>
      <c r="W306" s="52"/>
      <c r="X306" s="1"/>
      <c r="Y306" s="1"/>
      <c r="Z306" s="1"/>
      <c r="AA306" s="1"/>
      <c r="AB306" s="1"/>
      <c r="AC306" s="1"/>
      <c r="AD306" s="1"/>
      <c r="AF306" s="1"/>
      <c r="AH306" s="1"/>
      <c r="AJ306" s="1"/>
      <c r="AL306" s="1"/>
      <c r="AN306" s="1"/>
      <c r="AP306" s="1"/>
      <c r="AR306" s="1"/>
      <c r="AT306" s="1"/>
      <c r="AV306" s="1"/>
      <c r="AX306" s="1"/>
      <c r="AZ306" s="1"/>
      <c r="BB306" s="1"/>
      <c r="BD306" s="1"/>
      <c r="BF306" s="1"/>
      <c r="BH306" s="1"/>
      <c r="BJ306" s="1"/>
      <c r="BL306" s="1"/>
      <c r="BN306" s="1"/>
      <c r="BP306" s="1"/>
      <c r="BR306" s="1"/>
      <c r="BT306" s="1"/>
      <c r="BV306" s="1"/>
      <c r="BX306" s="1"/>
      <c r="BZ306" s="1"/>
      <c r="CB306" s="1"/>
      <c r="CD306" s="1"/>
      <c r="CF306" s="1"/>
      <c r="CH306" s="1"/>
    </row>
    <row r="307" spans="1:86" ht="13.5" customHeight="1" x14ac:dyDescent="0.2">
      <c r="A307" s="1"/>
      <c r="B307" s="1"/>
      <c r="C307" s="1"/>
      <c r="D307" s="1"/>
      <c r="E307" s="52"/>
      <c r="F307" s="1"/>
      <c r="G307" s="52"/>
      <c r="H307" s="1"/>
      <c r="I307" s="52"/>
      <c r="J307" s="1"/>
      <c r="K307" s="52"/>
      <c r="L307" s="1"/>
      <c r="M307" s="52"/>
      <c r="N307" s="1"/>
      <c r="O307" s="52"/>
      <c r="P307" s="1"/>
      <c r="Q307" s="52"/>
      <c r="R307" s="1"/>
      <c r="S307" s="52"/>
      <c r="T307" s="1"/>
      <c r="U307" s="52"/>
      <c r="V307" s="1"/>
      <c r="W307" s="52"/>
      <c r="X307" s="1"/>
      <c r="Y307" s="1"/>
      <c r="Z307" s="1"/>
      <c r="AA307" s="1"/>
      <c r="AB307" s="1"/>
      <c r="AC307" s="1"/>
      <c r="AD307" s="1"/>
      <c r="AF307" s="1"/>
      <c r="AH307" s="1"/>
      <c r="AJ307" s="1"/>
      <c r="AL307" s="1"/>
      <c r="AN307" s="1"/>
      <c r="AP307" s="1"/>
      <c r="AR307" s="1"/>
      <c r="AT307" s="1"/>
      <c r="AV307" s="1"/>
      <c r="AX307" s="1"/>
      <c r="AZ307" s="1"/>
      <c r="BB307" s="1"/>
      <c r="BD307" s="1"/>
      <c r="BF307" s="1"/>
      <c r="BH307" s="1"/>
      <c r="BJ307" s="1"/>
      <c r="BL307" s="1"/>
      <c r="BN307" s="1"/>
      <c r="BP307" s="1"/>
      <c r="BR307" s="1"/>
      <c r="BT307" s="1"/>
      <c r="BV307" s="1"/>
      <c r="BX307" s="1"/>
      <c r="BZ307" s="1"/>
      <c r="CB307" s="1"/>
      <c r="CD307" s="1"/>
      <c r="CF307" s="1"/>
      <c r="CH307" s="1"/>
    </row>
    <row r="308" spans="1:86" ht="13.5" customHeight="1" x14ac:dyDescent="0.2">
      <c r="A308" s="1"/>
      <c r="B308" s="1"/>
      <c r="C308" s="1"/>
      <c r="D308" s="1"/>
      <c r="E308" s="52"/>
      <c r="F308" s="1"/>
      <c r="G308" s="52"/>
      <c r="H308" s="1"/>
      <c r="I308" s="52"/>
      <c r="J308" s="1"/>
      <c r="K308" s="52"/>
      <c r="L308" s="1"/>
      <c r="M308" s="52"/>
      <c r="N308" s="1"/>
      <c r="O308" s="52"/>
      <c r="P308" s="1"/>
      <c r="Q308" s="52"/>
      <c r="R308" s="1"/>
      <c r="S308" s="52"/>
      <c r="T308" s="1"/>
      <c r="U308" s="52"/>
      <c r="V308" s="1"/>
      <c r="W308" s="52"/>
      <c r="X308" s="1"/>
      <c r="Y308" s="1"/>
      <c r="Z308" s="1"/>
      <c r="AA308" s="1"/>
      <c r="AB308" s="1"/>
      <c r="AC308" s="1"/>
      <c r="AD308" s="1"/>
      <c r="AF308" s="1"/>
      <c r="AH308" s="1"/>
      <c r="AJ308" s="1"/>
      <c r="AL308" s="1"/>
      <c r="AN308" s="1"/>
      <c r="AP308" s="1"/>
      <c r="AR308" s="1"/>
      <c r="AT308" s="1"/>
      <c r="AV308" s="1"/>
      <c r="AX308" s="1"/>
      <c r="AZ308" s="1"/>
      <c r="BB308" s="1"/>
      <c r="BD308" s="1"/>
      <c r="BF308" s="1"/>
      <c r="BH308" s="1"/>
      <c r="BJ308" s="1"/>
      <c r="BL308" s="1"/>
      <c r="BN308" s="1"/>
      <c r="BP308" s="1"/>
      <c r="BR308" s="1"/>
      <c r="BT308" s="1"/>
      <c r="BV308" s="1"/>
      <c r="BX308" s="1"/>
      <c r="BZ308" s="1"/>
      <c r="CB308" s="1"/>
      <c r="CD308" s="1"/>
      <c r="CF308" s="1"/>
      <c r="CH308" s="1"/>
    </row>
    <row r="309" spans="1:86" ht="13.5" customHeight="1" x14ac:dyDescent="0.2">
      <c r="A309" s="1"/>
      <c r="B309" s="1"/>
      <c r="C309" s="1"/>
      <c r="D309" s="1"/>
      <c r="E309" s="52"/>
      <c r="F309" s="1"/>
      <c r="G309" s="52"/>
      <c r="H309" s="1"/>
      <c r="I309" s="52"/>
      <c r="J309" s="1"/>
      <c r="K309" s="52"/>
      <c r="L309" s="1"/>
      <c r="M309" s="52"/>
      <c r="N309" s="1"/>
      <c r="O309" s="52"/>
      <c r="P309" s="1"/>
      <c r="Q309" s="52"/>
      <c r="R309" s="1"/>
      <c r="S309" s="52"/>
      <c r="T309" s="1"/>
      <c r="U309" s="52"/>
      <c r="V309" s="1"/>
      <c r="W309" s="52"/>
      <c r="X309" s="1"/>
      <c r="Y309" s="1"/>
      <c r="Z309" s="1"/>
      <c r="AA309" s="1"/>
      <c r="AB309" s="1"/>
      <c r="AC309" s="1"/>
      <c r="AD309" s="1"/>
      <c r="AF309" s="1"/>
      <c r="AH309" s="1"/>
      <c r="AJ309" s="1"/>
      <c r="AL309" s="1"/>
      <c r="AN309" s="1"/>
      <c r="AP309" s="1"/>
      <c r="AR309" s="1"/>
      <c r="AT309" s="1"/>
      <c r="AV309" s="1"/>
      <c r="AX309" s="1"/>
      <c r="AZ309" s="1"/>
      <c r="BB309" s="1"/>
      <c r="BD309" s="1"/>
      <c r="BF309" s="1"/>
      <c r="BH309" s="1"/>
      <c r="BJ309" s="1"/>
      <c r="BL309" s="1"/>
      <c r="BN309" s="1"/>
      <c r="BP309" s="1"/>
      <c r="BR309" s="1"/>
      <c r="BT309" s="1"/>
      <c r="BV309" s="1"/>
      <c r="BX309" s="1"/>
      <c r="BZ309" s="1"/>
      <c r="CB309" s="1"/>
      <c r="CD309" s="1"/>
      <c r="CF309" s="1"/>
      <c r="CH309" s="1"/>
    </row>
    <row r="310" spans="1:86" ht="13.5" customHeight="1" x14ac:dyDescent="0.2">
      <c r="A310" s="1"/>
      <c r="B310" s="1"/>
      <c r="C310" s="1"/>
      <c r="D310" s="1"/>
      <c r="E310" s="52"/>
      <c r="F310" s="1"/>
      <c r="G310" s="52"/>
      <c r="H310" s="1"/>
      <c r="I310" s="52"/>
      <c r="J310" s="1"/>
      <c r="K310" s="52"/>
      <c r="L310" s="1"/>
      <c r="M310" s="52"/>
      <c r="N310" s="1"/>
      <c r="O310" s="52"/>
      <c r="P310" s="1"/>
      <c r="Q310" s="52"/>
      <c r="R310" s="1"/>
      <c r="S310" s="52"/>
      <c r="T310" s="1"/>
      <c r="U310" s="52"/>
      <c r="V310" s="1"/>
      <c r="W310" s="52"/>
      <c r="X310" s="1"/>
      <c r="Y310" s="1"/>
      <c r="Z310" s="1"/>
      <c r="AA310" s="1"/>
      <c r="AB310" s="1"/>
      <c r="AC310" s="1"/>
      <c r="AD310" s="1"/>
      <c r="AF310" s="1"/>
      <c r="AH310" s="1"/>
      <c r="AJ310" s="1"/>
      <c r="AL310" s="1"/>
      <c r="AN310" s="1"/>
      <c r="AP310" s="1"/>
      <c r="AR310" s="1"/>
      <c r="AT310" s="1"/>
      <c r="AV310" s="1"/>
      <c r="AX310" s="1"/>
      <c r="AZ310" s="1"/>
      <c r="BB310" s="1"/>
      <c r="BD310" s="1"/>
      <c r="BF310" s="1"/>
      <c r="BH310" s="1"/>
      <c r="BJ310" s="1"/>
      <c r="BL310" s="1"/>
      <c r="BN310" s="1"/>
      <c r="BP310" s="1"/>
      <c r="BR310" s="1"/>
      <c r="BT310" s="1"/>
      <c r="BV310" s="1"/>
      <c r="BX310" s="1"/>
      <c r="BZ310" s="1"/>
      <c r="CB310" s="1"/>
      <c r="CD310" s="1"/>
      <c r="CF310" s="1"/>
      <c r="CH310" s="1"/>
    </row>
    <row r="311" spans="1:86" ht="15.75" customHeight="1" x14ac:dyDescent="0.2"/>
    <row r="312" spans="1:86" ht="15.75" customHeight="1" x14ac:dyDescent="0.2"/>
    <row r="313" spans="1:86" ht="15.75" customHeight="1" x14ac:dyDescent="0.2"/>
    <row r="314" spans="1:86" ht="15.75" customHeight="1" x14ac:dyDescent="0.2"/>
    <row r="315" spans="1:86" ht="15.75" customHeight="1" x14ac:dyDescent="0.2"/>
    <row r="316" spans="1:86" ht="15.75" customHeight="1" x14ac:dyDescent="0.2"/>
    <row r="317" spans="1:86" ht="15.75" customHeight="1" x14ac:dyDescent="0.2"/>
    <row r="318" spans="1:86" ht="15.75" customHeight="1" x14ac:dyDescent="0.2"/>
    <row r="319" spans="1:86" ht="15.75" customHeight="1" x14ac:dyDescent="0.2"/>
    <row r="320" spans="1:86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17">
    <mergeCell ref="O6:S6"/>
    <mergeCell ref="A93:F93"/>
    <mergeCell ref="G93:J93"/>
    <mergeCell ref="I6:M6"/>
    <mergeCell ref="A7:X7"/>
    <mergeCell ref="E6:G6"/>
    <mergeCell ref="U6:X6"/>
    <mergeCell ref="D19:D20"/>
    <mergeCell ref="D21:D22"/>
    <mergeCell ref="D23:D24"/>
    <mergeCell ref="D25:D26"/>
    <mergeCell ref="A1:X1"/>
    <mergeCell ref="A2:X2"/>
    <mergeCell ref="E5:G5"/>
    <mergeCell ref="I5:M5"/>
    <mergeCell ref="U5:X5"/>
    <mergeCell ref="O5:S5"/>
  </mergeCells>
  <phoneticPr fontId="24" type="noConversion"/>
  <conditionalFormatting sqref="A69:D75 F69:F75 H69:H75 J69:J75 L69:L75 N69:N75 P69:P75 R69:R75 T69:T75 V69:V75 X69:X75">
    <cfRule type="cellIs" dxfId="144" priority="259" operator="equal">
      <formula>"NOK"</formula>
    </cfRule>
    <cfRule type="cellIs" dxfId="143" priority="258" operator="equal">
      <formula>"OK"</formula>
    </cfRule>
  </conditionalFormatting>
  <conditionalFormatting sqref="E5:G5">
    <cfRule type="expression" dxfId="142" priority="262">
      <formula>$E$5=""</formula>
    </cfRule>
  </conditionalFormatting>
  <conditionalFormatting sqref="E6:G6">
    <cfRule type="expression" dxfId="141" priority="263">
      <formula>$E$6=""</formula>
    </cfRule>
  </conditionalFormatting>
  <conditionalFormatting sqref="F9:F12 F17:F67 H17:H67 J17:J67 L17:L67 N17:N67 P17:P67 R17:R67 T17:T67 V17:V67 X17:X67 Z17:Z67 AB17:AB67 AD17:AD67 AF17:AF67 AH17:AH67 AJ17:AJ67 AL17:AL67 AN17:AN67 AP17:AP67 AR17:AR67 AT17:AT67 AV17:AV67 AX17:AX67 AZ17:AZ67 BB17:BB67 BD17:BD67 BF17:BF67 BH17:BH67 BJ17:BJ67 BL17:BL67 BN17:BN67 BP17:BP67 BR17:BR67 BT17:BT67 BV17:BV67 BX17:BX67 BZ17:BZ67 CB17:CB67 CD17:CD67 CF17:CF67 CH17:CH67">
    <cfRule type="expression" dxfId="140" priority="288">
      <formula>F9=""</formula>
    </cfRule>
  </conditionalFormatting>
  <conditionalFormatting sqref="G93:J93">
    <cfRule type="cellIs" dxfId="139" priority="261" operator="equal">
      <formula>"OK"</formula>
    </cfRule>
    <cfRule type="cellIs" dxfId="138" priority="260" operator="equal">
      <formula>"NOK"</formula>
    </cfRule>
  </conditionalFormatting>
  <conditionalFormatting sqref="H9:H12">
    <cfRule type="expression" dxfId="137" priority="102">
      <formula>H9=""</formula>
    </cfRule>
  </conditionalFormatting>
  <conditionalFormatting sqref="I5:M5">
    <cfRule type="expression" dxfId="136" priority="264">
      <formula>$I$5=""</formula>
    </cfRule>
  </conditionalFormatting>
  <conditionalFormatting sqref="I6:M6">
    <cfRule type="expression" dxfId="135" priority="265">
      <formula>$I$6=""</formula>
    </cfRule>
  </conditionalFormatting>
  <conditionalFormatting sqref="J9:J12">
    <cfRule type="expression" dxfId="134" priority="101">
      <formula>J9=""</formula>
    </cfRule>
  </conditionalFormatting>
  <conditionalFormatting sqref="L9:L12">
    <cfRule type="expression" dxfId="133" priority="100">
      <formula>L9=""</formula>
    </cfRule>
  </conditionalFormatting>
  <conditionalFormatting sqref="N9:N12">
    <cfRule type="expression" dxfId="132" priority="99">
      <formula>N9=""</formula>
    </cfRule>
  </conditionalFormatting>
  <conditionalFormatting sqref="O5:S5">
    <cfRule type="expression" dxfId="131" priority="266">
      <formula>$O$5=""</formula>
    </cfRule>
  </conditionalFormatting>
  <conditionalFormatting sqref="O6:S6">
    <cfRule type="expression" dxfId="130" priority="267">
      <formula>$O$6=""</formula>
    </cfRule>
  </conditionalFormatting>
  <conditionalFormatting sqref="P9:P12">
    <cfRule type="expression" dxfId="129" priority="98">
      <formula>P9=""</formula>
    </cfRule>
  </conditionalFormatting>
  <conditionalFormatting sqref="R9:R12">
    <cfRule type="expression" dxfId="128" priority="97">
      <formula>R9=""</formula>
    </cfRule>
  </conditionalFormatting>
  <conditionalFormatting sqref="T9:T12">
    <cfRule type="expression" dxfId="127" priority="96">
      <formula>T9=""</formula>
    </cfRule>
  </conditionalFormatting>
  <conditionalFormatting sqref="U5:X5">
    <cfRule type="expression" dxfId="126" priority="268">
      <formula>$U$5=""</formula>
    </cfRule>
  </conditionalFormatting>
  <conditionalFormatting sqref="V9:V12">
    <cfRule type="expression" dxfId="125" priority="95">
      <formula>V9=""</formula>
    </cfRule>
  </conditionalFormatting>
  <conditionalFormatting sqref="X9:X12">
    <cfRule type="expression" dxfId="124" priority="94">
      <formula>X9=""</formula>
    </cfRule>
  </conditionalFormatting>
  <conditionalFormatting sqref="Z5">
    <cfRule type="expression" dxfId="123" priority="255">
      <formula>$U$5=""</formula>
    </cfRule>
  </conditionalFormatting>
  <conditionalFormatting sqref="Z9:Z12">
    <cfRule type="expression" dxfId="122" priority="93">
      <formula>Z9=""</formula>
    </cfRule>
  </conditionalFormatting>
  <conditionalFormatting sqref="Z69:Z75">
    <cfRule type="cellIs" dxfId="121" priority="254" operator="equal">
      <formula>"NOK"</formula>
    </cfRule>
    <cfRule type="cellIs" dxfId="120" priority="253" operator="equal">
      <formula>"OK"</formula>
    </cfRule>
  </conditionalFormatting>
  <conditionalFormatting sqref="AB5">
    <cfRule type="expression" dxfId="119" priority="250">
      <formula>$U$5=""</formula>
    </cfRule>
  </conditionalFormatting>
  <conditionalFormatting sqref="AB9:AB12">
    <cfRule type="expression" dxfId="118" priority="92">
      <formula>AB9=""</formula>
    </cfRule>
  </conditionalFormatting>
  <conditionalFormatting sqref="AB69:AB75">
    <cfRule type="cellIs" dxfId="117" priority="248" operator="equal">
      <formula>"OK"</formula>
    </cfRule>
    <cfRule type="cellIs" dxfId="116" priority="249" operator="equal">
      <formula>"NOK"</formula>
    </cfRule>
  </conditionalFormatting>
  <conditionalFormatting sqref="AD5">
    <cfRule type="expression" dxfId="115" priority="245">
      <formula>$U$5=""</formula>
    </cfRule>
  </conditionalFormatting>
  <conditionalFormatting sqref="AD9:AD12">
    <cfRule type="expression" dxfId="114" priority="91">
      <formula>AD9=""</formula>
    </cfRule>
  </conditionalFormatting>
  <conditionalFormatting sqref="AD69:AD75">
    <cfRule type="cellIs" dxfId="113" priority="244" operator="equal">
      <formula>"NOK"</formula>
    </cfRule>
    <cfRule type="cellIs" dxfId="112" priority="243" operator="equal">
      <formula>"OK"</formula>
    </cfRule>
  </conditionalFormatting>
  <conditionalFormatting sqref="AF5">
    <cfRule type="expression" dxfId="111" priority="240">
      <formula>$U$5=""</formula>
    </cfRule>
  </conditionalFormatting>
  <conditionalFormatting sqref="AF9:AF12">
    <cfRule type="expression" dxfId="110" priority="90">
      <formula>AF9=""</formula>
    </cfRule>
  </conditionalFormatting>
  <conditionalFormatting sqref="AF69:AF75">
    <cfRule type="cellIs" dxfId="109" priority="238" operator="equal">
      <formula>"OK"</formula>
    </cfRule>
    <cfRule type="cellIs" dxfId="108" priority="239" operator="equal">
      <formula>"NOK"</formula>
    </cfRule>
  </conditionalFormatting>
  <conditionalFormatting sqref="AH5">
    <cfRule type="expression" dxfId="107" priority="235">
      <formula>$U$5=""</formula>
    </cfRule>
  </conditionalFormatting>
  <conditionalFormatting sqref="AH9:AH12">
    <cfRule type="expression" dxfId="106" priority="89">
      <formula>AH9=""</formula>
    </cfRule>
  </conditionalFormatting>
  <conditionalFormatting sqref="AH69:AH75">
    <cfRule type="cellIs" dxfId="105" priority="234" operator="equal">
      <formula>"NOK"</formula>
    </cfRule>
    <cfRule type="cellIs" dxfId="104" priority="233" operator="equal">
      <formula>"OK"</formula>
    </cfRule>
  </conditionalFormatting>
  <conditionalFormatting sqref="AJ5">
    <cfRule type="expression" dxfId="103" priority="230">
      <formula>$U$5=""</formula>
    </cfRule>
  </conditionalFormatting>
  <conditionalFormatting sqref="AJ9:AJ12">
    <cfRule type="expression" dxfId="102" priority="88">
      <formula>AJ9=""</formula>
    </cfRule>
  </conditionalFormatting>
  <conditionalFormatting sqref="AJ69:AJ75">
    <cfRule type="cellIs" dxfId="101" priority="228" operator="equal">
      <formula>"OK"</formula>
    </cfRule>
    <cfRule type="cellIs" dxfId="100" priority="229" operator="equal">
      <formula>"NOK"</formula>
    </cfRule>
  </conditionalFormatting>
  <conditionalFormatting sqref="AL5">
    <cfRule type="expression" dxfId="99" priority="225">
      <formula>$U$5=""</formula>
    </cfRule>
  </conditionalFormatting>
  <conditionalFormatting sqref="AL9:AL12">
    <cfRule type="expression" dxfId="98" priority="87">
      <formula>AL9=""</formula>
    </cfRule>
  </conditionalFormatting>
  <conditionalFormatting sqref="AL69:AL75">
    <cfRule type="cellIs" dxfId="97" priority="224" operator="equal">
      <formula>"NOK"</formula>
    </cfRule>
    <cfRule type="cellIs" dxfId="96" priority="223" operator="equal">
      <formula>"OK"</formula>
    </cfRule>
  </conditionalFormatting>
  <conditionalFormatting sqref="AN5">
    <cfRule type="expression" dxfId="95" priority="220">
      <formula>$U$5=""</formula>
    </cfRule>
  </conditionalFormatting>
  <conditionalFormatting sqref="AN9:AN12">
    <cfRule type="expression" dxfId="94" priority="86">
      <formula>AN9=""</formula>
    </cfRule>
  </conditionalFormatting>
  <conditionalFormatting sqref="AN69:AN75">
    <cfRule type="cellIs" dxfId="93" priority="219" operator="equal">
      <formula>"NOK"</formula>
    </cfRule>
    <cfRule type="cellIs" dxfId="92" priority="218" operator="equal">
      <formula>"OK"</formula>
    </cfRule>
  </conditionalFormatting>
  <conditionalFormatting sqref="AP5">
    <cfRule type="expression" dxfId="91" priority="215">
      <formula>$U$5=""</formula>
    </cfRule>
  </conditionalFormatting>
  <conditionalFormatting sqref="AP9:AP12">
    <cfRule type="expression" dxfId="90" priority="85">
      <formula>AP9=""</formula>
    </cfRule>
  </conditionalFormatting>
  <conditionalFormatting sqref="AP69:AP75">
    <cfRule type="cellIs" dxfId="89" priority="214" operator="equal">
      <formula>"NOK"</formula>
    </cfRule>
    <cfRule type="cellIs" dxfId="88" priority="213" operator="equal">
      <formula>"OK"</formula>
    </cfRule>
  </conditionalFormatting>
  <conditionalFormatting sqref="AR5">
    <cfRule type="expression" dxfId="87" priority="210">
      <formula>$U$5=""</formula>
    </cfRule>
  </conditionalFormatting>
  <conditionalFormatting sqref="AR9:AR12">
    <cfRule type="expression" dxfId="86" priority="84">
      <formula>AR9=""</formula>
    </cfRule>
  </conditionalFormatting>
  <conditionalFormatting sqref="AR69:AR75">
    <cfRule type="cellIs" dxfId="85" priority="209" operator="equal">
      <formula>"NOK"</formula>
    </cfRule>
    <cfRule type="cellIs" dxfId="84" priority="208" operator="equal">
      <formula>"OK"</formula>
    </cfRule>
  </conditionalFormatting>
  <conditionalFormatting sqref="AT5">
    <cfRule type="expression" dxfId="83" priority="205">
      <formula>$U$5=""</formula>
    </cfRule>
  </conditionalFormatting>
  <conditionalFormatting sqref="AT9:AT12">
    <cfRule type="expression" dxfId="82" priority="83">
      <formula>AT9=""</formula>
    </cfRule>
  </conditionalFormatting>
  <conditionalFormatting sqref="AT69:AT75">
    <cfRule type="cellIs" dxfId="81" priority="203" operator="equal">
      <formula>"OK"</formula>
    </cfRule>
    <cfRule type="cellIs" dxfId="80" priority="204" operator="equal">
      <formula>"NOK"</formula>
    </cfRule>
  </conditionalFormatting>
  <conditionalFormatting sqref="AV5">
    <cfRule type="expression" dxfId="79" priority="200">
      <formula>$U$5=""</formula>
    </cfRule>
  </conditionalFormatting>
  <conditionalFormatting sqref="AV9:AV12">
    <cfRule type="expression" dxfId="78" priority="82">
      <formula>AV9=""</formula>
    </cfRule>
  </conditionalFormatting>
  <conditionalFormatting sqref="AV69:AV75">
    <cfRule type="cellIs" dxfId="77" priority="198" operator="equal">
      <formula>"OK"</formula>
    </cfRule>
    <cfRule type="cellIs" dxfId="76" priority="199" operator="equal">
      <formula>"NOK"</formula>
    </cfRule>
  </conditionalFormatting>
  <conditionalFormatting sqref="AX5">
    <cfRule type="expression" dxfId="75" priority="190">
      <formula>$U$5=""</formula>
    </cfRule>
  </conditionalFormatting>
  <conditionalFormatting sqref="AX9:AX12">
    <cfRule type="expression" dxfId="74" priority="192">
      <formula>AX9=""</formula>
    </cfRule>
  </conditionalFormatting>
  <conditionalFormatting sqref="AX69:AX75">
    <cfRule type="cellIs" dxfId="73" priority="188" operator="equal">
      <formula>"OK"</formula>
    </cfRule>
    <cfRule type="cellIs" dxfId="72" priority="189" operator="equal">
      <formula>"NOK"</formula>
    </cfRule>
  </conditionalFormatting>
  <conditionalFormatting sqref="AZ5">
    <cfRule type="expression" dxfId="71" priority="185">
      <formula>$U$5=""</formula>
    </cfRule>
  </conditionalFormatting>
  <conditionalFormatting sqref="AZ9:AZ12">
    <cfRule type="expression" dxfId="70" priority="187">
      <formula>AZ9=""</formula>
    </cfRule>
  </conditionalFormatting>
  <conditionalFormatting sqref="AZ69:AZ75">
    <cfRule type="cellIs" dxfId="69" priority="184" operator="equal">
      <formula>"NOK"</formula>
    </cfRule>
    <cfRule type="cellIs" dxfId="68" priority="183" operator="equal">
      <formula>"OK"</formula>
    </cfRule>
  </conditionalFormatting>
  <conditionalFormatting sqref="BB5">
    <cfRule type="expression" dxfId="67" priority="180">
      <formula>$U$5=""</formula>
    </cfRule>
  </conditionalFormatting>
  <conditionalFormatting sqref="BB9:BB12">
    <cfRule type="expression" dxfId="66" priority="182">
      <formula>BB9=""</formula>
    </cfRule>
  </conditionalFormatting>
  <conditionalFormatting sqref="BB69:BB75">
    <cfRule type="cellIs" dxfId="65" priority="178" operator="equal">
      <formula>"OK"</formula>
    </cfRule>
    <cfRule type="cellIs" dxfId="64" priority="179" operator="equal">
      <formula>"NOK"</formula>
    </cfRule>
  </conditionalFormatting>
  <conditionalFormatting sqref="BD5">
    <cfRule type="expression" dxfId="63" priority="175">
      <formula>$U$5=""</formula>
    </cfRule>
  </conditionalFormatting>
  <conditionalFormatting sqref="BD9:BD12">
    <cfRule type="expression" dxfId="62" priority="177">
      <formula>BD9=""</formula>
    </cfRule>
  </conditionalFormatting>
  <conditionalFormatting sqref="BD69:BD75">
    <cfRule type="cellIs" dxfId="61" priority="173" operator="equal">
      <formula>"OK"</formula>
    </cfRule>
    <cfRule type="cellIs" dxfId="60" priority="174" operator="equal">
      <formula>"NOK"</formula>
    </cfRule>
  </conditionalFormatting>
  <conditionalFormatting sqref="BF5">
    <cfRule type="expression" dxfId="59" priority="170">
      <formula>$U$5=""</formula>
    </cfRule>
  </conditionalFormatting>
  <conditionalFormatting sqref="BF9:BF12">
    <cfRule type="expression" dxfId="58" priority="172">
      <formula>BF9=""</formula>
    </cfRule>
  </conditionalFormatting>
  <conditionalFormatting sqref="BF69:BF75">
    <cfRule type="cellIs" dxfId="57" priority="168" operator="equal">
      <formula>"OK"</formula>
    </cfRule>
    <cfRule type="cellIs" dxfId="56" priority="169" operator="equal">
      <formula>"NOK"</formula>
    </cfRule>
  </conditionalFormatting>
  <conditionalFormatting sqref="BH5">
    <cfRule type="expression" dxfId="55" priority="165">
      <formula>$U$5=""</formula>
    </cfRule>
  </conditionalFormatting>
  <conditionalFormatting sqref="BH9:BH12">
    <cfRule type="expression" dxfId="54" priority="167">
      <formula>BH9=""</formula>
    </cfRule>
  </conditionalFormatting>
  <conditionalFormatting sqref="BH69:BH75">
    <cfRule type="cellIs" dxfId="53" priority="163" operator="equal">
      <formula>"OK"</formula>
    </cfRule>
    <cfRule type="cellIs" dxfId="52" priority="164" operator="equal">
      <formula>"NOK"</formula>
    </cfRule>
  </conditionalFormatting>
  <conditionalFormatting sqref="BJ5">
    <cfRule type="expression" dxfId="51" priority="160">
      <formula>$U$5=""</formula>
    </cfRule>
  </conditionalFormatting>
  <conditionalFormatting sqref="BJ9:BJ12">
    <cfRule type="expression" dxfId="50" priority="162">
      <formula>BJ9=""</formula>
    </cfRule>
  </conditionalFormatting>
  <conditionalFormatting sqref="BJ69:BJ75">
    <cfRule type="cellIs" dxfId="49" priority="159" operator="equal">
      <formula>"NOK"</formula>
    </cfRule>
    <cfRule type="cellIs" dxfId="48" priority="158" operator="equal">
      <formula>"OK"</formula>
    </cfRule>
  </conditionalFormatting>
  <conditionalFormatting sqref="BL5">
    <cfRule type="expression" dxfId="47" priority="155">
      <formula>$U$5=""</formula>
    </cfRule>
  </conditionalFormatting>
  <conditionalFormatting sqref="BL9:BL12">
    <cfRule type="expression" dxfId="46" priority="157">
      <formula>BL9=""</formula>
    </cfRule>
  </conditionalFormatting>
  <conditionalFormatting sqref="BL69:BL75">
    <cfRule type="cellIs" dxfId="45" priority="153" operator="equal">
      <formula>"OK"</formula>
    </cfRule>
    <cfRule type="cellIs" dxfId="44" priority="154" operator="equal">
      <formula>"NOK"</formula>
    </cfRule>
  </conditionalFormatting>
  <conditionalFormatting sqref="BN5">
    <cfRule type="expression" dxfId="43" priority="150">
      <formula>$U$5=""</formula>
    </cfRule>
  </conditionalFormatting>
  <conditionalFormatting sqref="BN9:BN12">
    <cfRule type="expression" dxfId="42" priority="152">
      <formula>BN9=""</formula>
    </cfRule>
  </conditionalFormatting>
  <conditionalFormatting sqref="BN69:BN75">
    <cfRule type="cellIs" dxfId="41" priority="148" operator="equal">
      <formula>"OK"</formula>
    </cfRule>
    <cfRule type="cellIs" dxfId="40" priority="149" operator="equal">
      <formula>"NOK"</formula>
    </cfRule>
  </conditionalFormatting>
  <conditionalFormatting sqref="BP5">
    <cfRule type="expression" dxfId="39" priority="145">
      <formula>$U$5=""</formula>
    </cfRule>
  </conditionalFormatting>
  <conditionalFormatting sqref="BP9:BP12">
    <cfRule type="expression" dxfId="38" priority="147">
      <formula>BP9=""</formula>
    </cfRule>
  </conditionalFormatting>
  <conditionalFormatting sqref="BP69:BP75">
    <cfRule type="cellIs" dxfId="37" priority="143" operator="equal">
      <formula>"OK"</formula>
    </cfRule>
    <cfRule type="cellIs" dxfId="36" priority="144" operator="equal">
      <formula>"NOK"</formula>
    </cfRule>
  </conditionalFormatting>
  <conditionalFormatting sqref="BR5">
    <cfRule type="expression" dxfId="35" priority="140">
      <formula>$U$5=""</formula>
    </cfRule>
  </conditionalFormatting>
  <conditionalFormatting sqref="BR9:BR12">
    <cfRule type="expression" dxfId="34" priority="142">
      <formula>BR9=""</formula>
    </cfRule>
  </conditionalFormatting>
  <conditionalFormatting sqref="BR69:BR75">
    <cfRule type="cellIs" dxfId="33" priority="139" operator="equal">
      <formula>"NOK"</formula>
    </cfRule>
    <cfRule type="cellIs" dxfId="32" priority="138" operator="equal">
      <formula>"OK"</formula>
    </cfRule>
  </conditionalFormatting>
  <conditionalFormatting sqref="BT5">
    <cfRule type="expression" dxfId="31" priority="135">
      <formula>$U$5=""</formula>
    </cfRule>
  </conditionalFormatting>
  <conditionalFormatting sqref="BT9:BT12">
    <cfRule type="expression" dxfId="30" priority="137">
      <formula>BT9=""</formula>
    </cfRule>
  </conditionalFormatting>
  <conditionalFormatting sqref="BT69:BT75">
    <cfRule type="cellIs" dxfId="29" priority="134" operator="equal">
      <formula>"NOK"</formula>
    </cfRule>
    <cfRule type="cellIs" dxfId="28" priority="133" operator="equal">
      <formula>"OK"</formula>
    </cfRule>
  </conditionalFormatting>
  <conditionalFormatting sqref="BV5">
    <cfRule type="expression" dxfId="27" priority="130">
      <formula>$U$5=""</formula>
    </cfRule>
  </conditionalFormatting>
  <conditionalFormatting sqref="BV9:BV12">
    <cfRule type="expression" dxfId="26" priority="132">
      <formula>BV9=""</formula>
    </cfRule>
  </conditionalFormatting>
  <conditionalFormatting sqref="BV69:BV75">
    <cfRule type="cellIs" dxfId="25" priority="129" operator="equal">
      <formula>"NOK"</formula>
    </cfRule>
    <cfRule type="cellIs" dxfId="24" priority="128" operator="equal">
      <formula>"OK"</formula>
    </cfRule>
  </conditionalFormatting>
  <conditionalFormatting sqref="BX5">
    <cfRule type="expression" dxfId="23" priority="125">
      <formula>$U$5=""</formula>
    </cfRule>
  </conditionalFormatting>
  <conditionalFormatting sqref="BX9:BX12">
    <cfRule type="expression" dxfId="22" priority="127">
      <formula>BX9=""</formula>
    </cfRule>
  </conditionalFormatting>
  <conditionalFormatting sqref="BX69:BX75">
    <cfRule type="cellIs" dxfId="21" priority="123" operator="equal">
      <formula>"OK"</formula>
    </cfRule>
    <cfRule type="cellIs" dxfId="20" priority="124" operator="equal">
      <formula>"NOK"</formula>
    </cfRule>
  </conditionalFormatting>
  <conditionalFormatting sqref="BZ5">
    <cfRule type="expression" dxfId="19" priority="120">
      <formula>$U$5=""</formula>
    </cfRule>
  </conditionalFormatting>
  <conditionalFormatting sqref="BZ9:BZ12">
    <cfRule type="expression" dxfId="18" priority="122">
      <formula>BZ9=""</formula>
    </cfRule>
  </conditionalFormatting>
  <conditionalFormatting sqref="BZ69:BZ75">
    <cfRule type="cellIs" dxfId="17" priority="118" operator="equal">
      <formula>"OK"</formula>
    </cfRule>
    <cfRule type="cellIs" dxfId="16" priority="119" operator="equal">
      <formula>"NOK"</formula>
    </cfRule>
  </conditionalFormatting>
  <conditionalFormatting sqref="CB5">
    <cfRule type="expression" dxfId="15" priority="115">
      <formula>$U$5=""</formula>
    </cfRule>
  </conditionalFormatting>
  <conditionalFormatting sqref="CB9:CB12">
    <cfRule type="expression" dxfId="14" priority="117">
      <formula>CB9=""</formula>
    </cfRule>
  </conditionalFormatting>
  <conditionalFormatting sqref="CB69:CB75">
    <cfRule type="cellIs" dxfId="13" priority="113" operator="equal">
      <formula>"OK"</formula>
    </cfRule>
    <cfRule type="cellIs" dxfId="12" priority="114" operator="equal">
      <formula>"NOK"</formula>
    </cfRule>
  </conditionalFormatting>
  <conditionalFormatting sqref="CD5">
    <cfRule type="expression" dxfId="11" priority="110">
      <formula>$U$5=""</formula>
    </cfRule>
  </conditionalFormatting>
  <conditionalFormatting sqref="CD9:CD12">
    <cfRule type="expression" dxfId="10" priority="112">
      <formula>CD9=""</formula>
    </cfRule>
  </conditionalFormatting>
  <conditionalFormatting sqref="CD69:CD75">
    <cfRule type="cellIs" dxfId="9" priority="109" operator="equal">
      <formula>"NOK"</formula>
    </cfRule>
    <cfRule type="cellIs" dxfId="8" priority="108" operator="equal">
      <formula>"OK"</formula>
    </cfRule>
  </conditionalFormatting>
  <conditionalFormatting sqref="CF5">
    <cfRule type="expression" dxfId="7" priority="78">
      <formula>$U$5=""</formula>
    </cfRule>
  </conditionalFormatting>
  <conditionalFormatting sqref="CF9:CF12">
    <cfRule type="expression" dxfId="6" priority="80">
      <formula>CF9=""</formula>
    </cfRule>
  </conditionalFormatting>
  <conditionalFormatting sqref="CF69:CF75">
    <cfRule type="cellIs" dxfId="5" priority="76" operator="equal">
      <formula>"OK"</formula>
    </cfRule>
    <cfRule type="cellIs" dxfId="4" priority="77" operator="equal">
      <formula>"NOK"</formula>
    </cfRule>
  </conditionalFormatting>
  <conditionalFormatting sqref="CH5">
    <cfRule type="expression" dxfId="3" priority="73">
      <formula>$U$5=""</formula>
    </cfRule>
  </conditionalFormatting>
  <conditionalFormatting sqref="CH9:CH12">
    <cfRule type="expression" dxfId="2" priority="75">
      <formula>CH9=""</formula>
    </cfRule>
  </conditionalFormatting>
  <conditionalFormatting sqref="CH69:CH75">
    <cfRule type="cellIs" dxfId="1" priority="71" operator="equal">
      <formula>"OK"</formula>
    </cfRule>
    <cfRule type="cellIs" dxfId="0" priority="72" operator="equal">
      <formula>"NOK"</formula>
    </cfRule>
  </conditionalFormatting>
  <dataValidations count="1">
    <dataValidation type="list" allowBlank="1" showInputMessage="1" showErrorMessage="1" prompt=" - " sqref="G93 U6" xr:uid="{00000000-0002-0000-0000-000000000000}">
      <formula1>#REF!</formula1>
    </dataValidation>
  </dataValidations>
  <pageMargins left="0.70866141732283472" right="0.70866141732283472" top="0.74803149606299213" bottom="0.74803149606299213" header="0" footer="0"/>
  <pageSetup orientation="landscape"/>
  <headerFooter>
    <oddFooter>&amp;L | Quality | T20A03(EN)5 | e-top&amp;R&amp;P|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209"/>
  <sheetViews>
    <sheetView showGridLines="0" workbookViewId="0">
      <selection activeCell="E11" sqref="E11"/>
    </sheetView>
  </sheetViews>
  <sheetFormatPr defaultColWidth="12.5703125" defaultRowHeight="15" customHeight="1" x14ac:dyDescent="0.2"/>
  <cols>
    <col min="1" max="4" width="11.42578125" customWidth="1"/>
    <col min="5" max="5" width="17.7109375" customWidth="1"/>
    <col min="6" max="6" width="11.42578125" customWidth="1"/>
    <col min="7" max="7" width="13.7109375" customWidth="1"/>
    <col min="8" max="8" width="10.85546875" customWidth="1"/>
    <col min="9" max="9" width="9" customWidth="1"/>
    <col min="10" max="23" width="11.42578125" customWidth="1"/>
    <col min="24" max="24" width="18.42578125" customWidth="1"/>
    <col min="25" max="25" width="14.140625" customWidth="1"/>
    <col min="26" max="26" width="24.5703125" customWidth="1"/>
    <col min="27" max="27" width="16.7109375" customWidth="1"/>
    <col min="28" max="28" width="11.42578125" customWidth="1"/>
    <col min="29" max="29" width="13.140625" customWidth="1"/>
    <col min="30" max="30" width="13" customWidth="1"/>
    <col min="31" max="31" width="12.5703125" customWidth="1"/>
    <col min="32" max="35" width="11.42578125" customWidth="1"/>
    <col min="36" max="36" width="12.42578125" customWidth="1"/>
    <col min="37" max="37" width="11.42578125" customWidth="1"/>
  </cols>
  <sheetData>
    <row r="1" spans="1:37" ht="51" customHeight="1" x14ac:dyDescent="1.1499999999999999">
      <c r="A1" s="134" t="s">
        <v>147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2"/>
      <c r="M1" s="2"/>
      <c r="N1" s="2"/>
      <c r="O1" s="2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spans="1:37" ht="12.7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4"/>
      <c r="Y2" s="4"/>
      <c r="Z2" s="4"/>
      <c r="AA2" s="4"/>
      <c r="AB2" s="4"/>
      <c r="AC2" s="4"/>
      <c r="AD2" s="4"/>
      <c r="AE2" s="4"/>
      <c r="AF2" s="3"/>
      <c r="AG2" s="3"/>
      <c r="AH2" s="3"/>
      <c r="AI2" s="3"/>
      <c r="AJ2" s="3"/>
      <c r="AK2" s="3"/>
    </row>
    <row r="3" spans="1:37" ht="12.75" customHeight="1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4"/>
      <c r="Y3" s="4"/>
      <c r="Z3" s="4"/>
      <c r="AA3" s="4"/>
      <c r="AB3" s="4"/>
      <c r="AC3" s="4"/>
      <c r="AD3" s="4"/>
      <c r="AE3" s="4"/>
      <c r="AF3" s="3"/>
      <c r="AG3" s="3"/>
      <c r="AH3" s="3"/>
      <c r="AI3" s="3"/>
      <c r="AJ3" s="3"/>
      <c r="AK3" s="3"/>
    </row>
    <row r="4" spans="1:37" ht="12.75" customHeight="1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4"/>
      <c r="Y4" s="4"/>
      <c r="Z4" s="4"/>
      <c r="AA4" s="4"/>
      <c r="AB4" s="4"/>
      <c r="AC4" s="4"/>
      <c r="AD4" s="4"/>
      <c r="AE4" s="4"/>
      <c r="AF4" s="3"/>
      <c r="AG4" s="3"/>
      <c r="AH4" s="3"/>
      <c r="AI4" s="3"/>
      <c r="AJ4" s="3"/>
      <c r="AK4" s="3"/>
    </row>
    <row r="5" spans="1:37" ht="16.5" customHeight="1" x14ac:dyDescent="0.25">
      <c r="A5" s="5" t="s">
        <v>131</v>
      </c>
      <c r="B5" s="6" t="str">
        <f>IF(B10="", "", AVERAGE(B10:B1009))</f>
        <v/>
      </c>
      <c r="C5" s="3"/>
      <c r="D5" s="3"/>
      <c r="E5" s="3"/>
      <c r="F5" s="3"/>
      <c r="G5" s="7" t="s">
        <v>148</v>
      </c>
      <c r="H5" s="8" t="e">
        <f>IF(K5="","",K5*(1+0.75/AE6+2.25/POWER(AE6,2)))</f>
        <v>#DIV/0!</v>
      </c>
      <c r="I5" s="3"/>
      <c r="J5" s="7" t="s">
        <v>149</v>
      </c>
      <c r="K5" s="8">
        <v>6.8125093971755382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4"/>
      <c r="Y5" s="4"/>
      <c r="Z5" s="4"/>
      <c r="AA5" s="9"/>
      <c r="AB5" s="4"/>
      <c r="AC5" s="4"/>
      <c r="AD5" s="4"/>
      <c r="AE5" s="4"/>
      <c r="AF5" s="3"/>
      <c r="AG5" s="3"/>
      <c r="AH5" s="3"/>
      <c r="AI5" s="3"/>
      <c r="AJ5" s="3"/>
      <c r="AK5" s="3"/>
    </row>
    <row r="6" spans="1:37" ht="16.5" customHeight="1" x14ac:dyDescent="0.2">
      <c r="A6" s="5" t="s">
        <v>150</v>
      </c>
      <c r="B6" s="6" t="str">
        <f>IF(B10="","",STDEV(B10:B1009))</f>
        <v/>
      </c>
      <c r="C6" s="3"/>
      <c r="D6" s="3"/>
      <c r="E6" s="3"/>
      <c r="F6" s="3"/>
      <c r="G6" s="3"/>
      <c r="H6" s="3"/>
      <c r="I6" s="12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4"/>
      <c r="Y6" s="4"/>
      <c r="Z6" s="4"/>
      <c r="AA6" s="4"/>
      <c r="AB6" s="4"/>
      <c r="AC6" s="4"/>
      <c r="AD6" s="14" t="s">
        <v>151</v>
      </c>
      <c r="AE6" s="4">
        <f>1000-COUNTBLANK(B10:B1009)</f>
        <v>0</v>
      </c>
      <c r="AF6" s="3"/>
      <c r="AG6" s="3"/>
      <c r="AH6" s="3"/>
      <c r="AI6" s="3"/>
      <c r="AJ6" s="3"/>
      <c r="AK6" s="3"/>
    </row>
    <row r="7" spans="1:37" ht="12.75" customHeight="1" x14ac:dyDescent="0.2">
      <c r="A7" s="3"/>
      <c r="B7" s="3"/>
      <c r="C7" s="3"/>
      <c r="D7" s="3"/>
      <c r="E7" s="3"/>
      <c r="F7" s="17" t="s">
        <v>152</v>
      </c>
      <c r="G7" s="19"/>
      <c r="H7" s="136" t="e">
        <f>IF(H5="","",IF(H5&gt;0.752, " There is no normality ", "There is normality"))</f>
        <v>#DIV/0!</v>
      </c>
      <c r="I7" s="127"/>
      <c r="J7" s="127"/>
      <c r="K7" s="128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4"/>
      <c r="Y7" s="4"/>
      <c r="Z7" s="4"/>
      <c r="AA7" s="4"/>
      <c r="AB7" s="4"/>
      <c r="AC7" s="4"/>
      <c r="AD7" s="4"/>
      <c r="AE7" s="4"/>
      <c r="AF7" s="3"/>
      <c r="AG7" s="3"/>
      <c r="AH7" s="3"/>
      <c r="AI7" s="3"/>
      <c r="AJ7" s="3"/>
      <c r="AK7" s="3"/>
    </row>
    <row r="8" spans="1:37" ht="12.75" customHeight="1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4"/>
      <c r="Y8" s="4"/>
      <c r="Z8" s="4"/>
      <c r="AA8" s="4"/>
      <c r="AB8" s="4"/>
      <c r="AC8" s="4"/>
      <c r="AD8" s="4"/>
      <c r="AE8" s="4"/>
      <c r="AF8" s="3"/>
      <c r="AG8" s="3"/>
      <c r="AH8" s="137"/>
      <c r="AI8" s="138"/>
      <c r="AJ8" s="138"/>
      <c r="AK8" s="3"/>
    </row>
    <row r="9" spans="1:37" ht="12.75" customHeight="1" x14ac:dyDescent="0.2">
      <c r="A9" s="14" t="s">
        <v>153</v>
      </c>
      <c r="B9" s="14" t="s">
        <v>154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 t="s">
        <v>155</v>
      </c>
      <c r="AA9" s="14" t="s">
        <v>156</v>
      </c>
      <c r="AB9" s="14" t="s">
        <v>157</v>
      </c>
      <c r="AC9" s="14" t="s">
        <v>158</v>
      </c>
      <c r="AD9" s="14" t="s">
        <v>159</v>
      </c>
      <c r="AE9" s="14" t="s">
        <v>160</v>
      </c>
      <c r="AF9" s="14" t="s">
        <v>161</v>
      </c>
      <c r="AG9" s="14"/>
      <c r="AH9" s="14"/>
      <c r="AI9" s="14"/>
      <c r="AJ9" s="14"/>
      <c r="AK9" s="14"/>
    </row>
    <row r="10" spans="1:37" ht="12.75" customHeight="1" x14ac:dyDescent="0.2">
      <c r="A10" s="14">
        <v>1</v>
      </c>
      <c r="B10" s="4"/>
      <c r="C10" s="3"/>
      <c r="D10" s="19"/>
      <c r="E10" s="3"/>
      <c r="F10" s="12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4"/>
      <c r="Y10" s="23"/>
      <c r="Z10" s="4" t="str">
        <f t="shared" ref="Z10:Z264" si="0">IF(A10&gt;$AE$6,"",(B10-$B$5)/$B$6)</f>
        <v/>
      </c>
      <c r="AA10" s="4" t="str">
        <f t="shared" ref="AA10:AA264" si="1">IF(A10&gt;$AE$6,"",IF(NORMSDIST(Z10)=1,0.999999999,IF(NORMSDIST(Z10)=0,0.0000000000000001,NORMSDIST(Z10))))</f>
        <v/>
      </c>
      <c r="AB10" s="4" t="str">
        <f t="shared" ref="AB10:AB264" si="2">IF(A10&gt;$AE$6, "", LN(AA10))</f>
        <v/>
      </c>
      <c r="AC10" s="4">
        <v>0.99999305914953573</v>
      </c>
      <c r="AD10" s="4">
        <f t="shared" ref="AD10:AD264" si="3">LN(1-AC10)</f>
        <v>-11.878086245670422</v>
      </c>
      <c r="AE10" s="4" t="e">
        <f t="shared" ref="AE10:AE264" si="4">-1*(2*A10-1)*(AB10+AD10)/$AE$6</f>
        <v>#VALUE!</v>
      </c>
      <c r="AF10" s="3" t="e">
        <f>AE10-AE6</f>
        <v>#VALUE!</v>
      </c>
      <c r="AG10" s="3"/>
      <c r="AH10" s="4"/>
      <c r="AI10" s="3"/>
      <c r="AJ10" s="3"/>
      <c r="AK10" s="3"/>
    </row>
    <row r="11" spans="1:37" ht="12.75" customHeight="1" x14ac:dyDescent="0.2">
      <c r="A11" s="14">
        <v>2</v>
      </c>
      <c r="B11" s="4"/>
      <c r="C11" s="3"/>
      <c r="D11" s="25"/>
      <c r="E11" s="3"/>
      <c r="F11" s="12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4"/>
      <c r="Y11" s="23"/>
      <c r="Z11" s="4" t="str">
        <f t="shared" si="0"/>
        <v/>
      </c>
      <c r="AA11" s="4" t="str">
        <f t="shared" si="1"/>
        <v/>
      </c>
      <c r="AB11" s="4" t="str">
        <f t="shared" si="2"/>
        <v/>
      </c>
      <c r="AC11" s="4">
        <v>0.52376884301257554</v>
      </c>
      <c r="AD11" s="4">
        <f t="shared" si="3"/>
        <v>-0.74185191870469269</v>
      </c>
      <c r="AE11" s="4" t="e">
        <f t="shared" si="4"/>
        <v>#VALUE!</v>
      </c>
      <c r="AF11" s="3" t="e">
        <f t="shared" ref="AF11:AF265" si="5">IF(A11="", AF10, AF10+AE11)</f>
        <v>#VALUE!</v>
      </c>
      <c r="AG11" s="3"/>
      <c r="AH11" s="4"/>
      <c r="AI11" s="3"/>
      <c r="AJ11" s="3"/>
      <c r="AK11" s="3"/>
    </row>
    <row r="12" spans="1:37" ht="12.75" customHeight="1" x14ac:dyDescent="0.2">
      <c r="A12" s="14">
        <v>3</v>
      </c>
      <c r="B12" s="4"/>
      <c r="C12" s="3"/>
      <c r="D12" s="26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4"/>
      <c r="Y12" s="23"/>
      <c r="Z12" s="4" t="str">
        <f t="shared" si="0"/>
        <v/>
      </c>
      <c r="AA12" s="4" t="str">
        <f t="shared" si="1"/>
        <v/>
      </c>
      <c r="AB12" s="4" t="str">
        <f t="shared" si="2"/>
        <v/>
      </c>
      <c r="AC12" s="4">
        <v>0.52376884301257554</v>
      </c>
      <c r="AD12" s="4">
        <f t="shared" si="3"/>
        <v>-0.74185191870469269</v>
      </c>
      <c r="AE12" s="4" t="e">
        <f t="shared" si="4"/>
        <v>#VALUE!</v>
      </c>
      <c r="AF12" s="3" t="e">
        <f t="shared" si="5"/>
        <v>#VALUE!</v>
      </c>
      <c r="AG12" s="3"/>
      <c r="AH12" s="4"/>
      <c r="AI12" s="3"/>
      <c r="AJ12" s="3"/>
      <c r="AK12" s="3"/>
    </row>
    <row r="13" spans="1:37" ht="12.75" customHeight="1" x14ac:dyDescent="0.2">
      <c r="A13" s="14">
        <v>4</v>
      </c>
      <c r="B13" s="4"/>
      <c r="C13" s="3"/>
      <c r="D13" s="26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4"/>
      <c r="Y13" s="23"/>
      <c r="Z13" s="4" t="str">
        <f t="shared" si="0"/>
        <v/>
      </c>
      <c r="AA13" s="4" t="str">
        <f t="shared" si="1"/>
        <v/>
      </c>
      <c r="AB13" s="4" t="str">
        <f t="shared" si="2"/>
        <v/>
      </c>
      <c r="AC13" s="4">
        <v>0.40297477355639022</v>
      </c>
      <c r="AD13" s="4">
        <f t="shared" si="3"/>
        <v>-0.51579591113283696</v>
      </c>
      <c r="AE13" s="4" t="e">
        <f t="shared" si="4"/>
        <v>#VALUE!</v>
      </c>
      <c r="AF13" s="3" t="e">
        <f t="shared" si="5"/>
        <v>#VALUE!</v>
      </c>
      <c r="AG13" s="3"/>
      <c r="AH13" s="4"/>
      <c r="AI13" s="3"/>
      <c r="AJ13" s="3"/>
      <c r="AK13" s="3"/>
    </row>
    <row r="14" spans="1:37" ht="12.75" customHeight="1" x14ac:dyDescent="0.2">
      <c r="A14" s="14">
        <v>5</v>
      </c>
      <c r="B14" s="4"/>
      <c r="C14" s="3"/>
      <c r="D14" s="26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4"/>
      <c r="Y14" s="23"/>
      <c r="Z14" s="4" t="str">
        <f t="shared" si="0"/>
        <v/>
      </c>
      <c r="AA14" s="4" t="str">
        <f t="shared" si="1"/>
        <v/>
      </c>
      <c r="AB14" s="4" t="str">
        <f t="shared" si="2"/>
        <v/>
      </c>
      <c r="AC14" s="4">
        <v>0.40297477355639022</v>
      </c>
      <c r="AD14" s="4">
        <f t="shared" si="3"/>
        <v>-0.51579591113283696</v>
      </c>
      <c r="AE14" s="4" t="e">
        <f t="shared" si="4"/>
        <v>#VALUE!</v>
      </c>
      <c r="AF14" s="3" t="e">
        <f t="shared" si="5"/>
        <v>#VALUE!</v>
      </c>
      <c r="AG14" s="3"/>
      <c r="AH14" s="4"/>
      <c r="AI14" s="3"/>
      <c r="AJ14" s="3"/>
      <c r="AK14" s="3"/>
    </row>
    <row r="15" spans="1:37" ht="12.75" customHeight="1" x14ac:dyDescent="0.2">
      <c r="A15" s="14">
        <v>6</v>
      </c>
      <c r="B15" s="4"/>
      <c r="C15" s="3"/>
      <c r="D15" s="26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4"/>
      <c r="Y15" s="23"/>
      <c r="Z15" s="4" t="str">
        <f t="shared" si="0"/>
        <v/>
      </c>
      <c r="AA15" s="4" t="str">
        <f t="shared" si="1"/>
        <v/>
      </c>
      <c r="AB15" s="4" t="str">
        <f t="shared" si="2"/>
        <v/>
      </c>
      <c r="AC15" s="4">
        <v>0.40297477355639022</v>
      </c>
      <c r="AD15" s="4">
        <f t="shared" si="3"/>
        <v>-0.51579591113283696</v>
      </c>
      <c r="AE15" s="4" t="e">
        <f t="shared" si="4"/>
        <v>#VALUE!</v>
      </c>
      <c r="AF15" s="3" t="e">
        <f t="shared" si="5"/>
        <v>#VALUE!</v>
      </c>
      <c r="AG15" s="3"/>
      <c r="AH15" s="4"/>
      <c r="AI15" s="3"/>
      <c r="AJ15" s="3"/>
      <c r="AK15" s="3"/>
    </row>
    <row r="16" spans="1:37" ht="12.75" customHeight="1" x14ac:dyDescent="0.2">
      <c r="A16" s="14">
        <v>7</v>
      </c>
      <c r="B16" s="4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4"/>
      <c r="Y16" s="23"/>
      <c r="Z16" s="4" t="str">
        <f t="shared" si="0"/>
        <v/>
      </c>
      <c r="AA16" s="4" t="str">
        <f t="shared" si="1"/>
        <v/>
      </c>
      <c r="AB16" s="4" t="str">
        <f t="shared" si="2"/>
        <v/>
      </c>
      <c r="AC16" s="4">
        <v>0.40297477355639022</v>
      </c>
      <c r="AD16" s="4">
        <f t="shared" si="3"/>
        <v>-0.51579591113283696</v>
      </c>
      <c r="AE16" s="4" t="e">
        <f t="shared" si="4"/>
        <v>#VALUE!</v>
      </c>
      <c r="AF16" s="3" t="e">
        <f t="shared" si="5"/>
        <v>#VALUE!</v>
      </c>
      <c r="AG16" s="3"/>
      <c r="AH16" s="4"/>
      <c r="AI16" s="3"/>
      <c r="AJ16" s="3"/>
      <c r="AK16" s="3"/>
    </row>
    <row r="17" spans="1:37" ht="12.75" customHeight="1" x14ac:dyDescent="0.2">
      <c r="A17" s="14">
        <v>8</v>
      </c>
      <c r="B17" s="4"/>
      <c r="C17" s="3"/>
      <c r="D17" s="4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4"/>
      <c r="Y17" s="23"/>
      <c r="Z17" s="4" t="str">
        <f t="shared" si="0"/>
        <v/>
      </c>
      <c r="AA17" s="4" t="str">
        <f t="shared" si="1"/>
        <v/>
      </c>
      <c r="AB17" s="4" t="str">
        <f t="shared" si="2"/>
        <v/>
      </c>
      <c r="AC17" s="4">
        <v>0.40178163932729677</v>
      </c>
      <c r="AD17" s="4">
        <f t="shared" si="3"/>
        <v>-0.51379944005654177</v>
      </c>
      <c r="AE17" s="4" t="e">
        <f t="shared" si="4"/>
        <v>#VALUE!</v>
      </c>
      <c r="AF17" s="3" t="e">
        <f t="shared" si="5"/>
        <v>#VALUE!</v>
      </c>
      <c r="AG17" s="3"/>
      <c r="AH17" s="4"/>
      <c r="AI17" s="3"/>
      <c r="AJ17" s="3"/>
      <c r="AK17" s="3"/>
    </row>
    <row r="18" spans="1:37" ht="12.75" customHeight="1" x14ac:dyDescent="0.2">
      <c r="A18" s="14">
        <v>9</v>
      </c>
      <c r="B18" s="4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4"/>
      <c r="Y18" s="23"/>
      <c r="Z18" s="4" t="str">
        <f t="shared" si="0"/>
        <v/>
      </c>
      <c r="AA18" s="4" t="str">
        <f t="shared" si="1"/>
        <v/>
      </c>
      <c r="AB18" s="4" t="str">
        <f t="shared" si="2"/>
        <v/>
      </c>
      <c r="AC18" s="4">
        <v>0.40178163932729677</v>
      </c>
      <c r="AD18" s="4">
        <f t="shared" si="3"/>
        <v>-0.51379944005654177</v>
      </c>
      <c r="AE18" s="4" t="e">
        <f t="shared" si="4"/>
        <v>#VALUE!</v>
      </c>
      <c r="AF18" s="3" t="e">
        <f t="shared" si="5"/>
        <v>#VALUE!</v>
      </c>
      <c r="AG18" s="3"/>
      <c r="AH18" s="4"/>
      <c r="AI18" s="3"/>
      <c r="AJ18" s="3"/>
      <c r="AK18" s="3"/>
    </row>
    <row r="19" spans="1:37" ht="12.75" customHeight="1" x14ac:dyDescent="0.2">
      <c r="A19" s="14">
        <v>10</v>
      </c>
      <c r="B19" s="4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4"/>
      <c r="Y19" s="23"/>
      <c r="Z19" s="4" t="str">
        <f t="shared" si="0"/>
        <v/>
      </c>
      <c r="AA19" s="4" t="str">
        <f t="shared" si="1"/>
        <v/>
      </c>
      <c r="AB19" s="4" t="str">
        <f t="shared" si="2"/>
        <v/>
      </c>
      <c r="AC19" s="4">
        <v>0.40178163932729677</v>
      </c>
      <c r="AD19" s="4">
        <f t="shared" si="3"/>
        <v>-0.51379944005654177</v>
      </c>
      <c r="AE19" s="4" t="e">
        <f t="shared" si="4"/>
        <v>#VALUE!</v>
      </c>
      <c r="AF19" s="3" t="e">
        <f t="shared" si="5"/>
        <v>#VALUE!</v>
      </c>
      <c r="AG19" s="3"/>
      <c r="AH19" s="4"/>
      <c r="AI19" s="3"/>
      <c r="AJ19" s="3"/>
      <c r="AK19" s="3"/>
    </row>
    <row r="20" spans="1:37" ht="12.75" customHeight="1" x14ac:dyDescent="0.2">
      <c r="A20" s="14">
        <v>11</v>
      </c>
      <c r="B20" s="4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4"/>
      <c r="Y20" s="23"/>
      <c r="Z20" s="4" t="str">
        <f t="shared" si="0"/>
        <v/>
      </c>
      <c r="AA20" s="4" t="str">
        <f t="shared" si="1"/>
        <v/>
      </c>
      <c r="AB20" s="4" t="str">
        <f t="shared" si="2"/>
        <v/>
      </c>
      <c r="AC20" s="4">
        <v>0.40178163932729677</v>
      </c>
      <c r="AD20" s="4">
        <f t="shared" si="3"/>
        <v>-0.51379944005654177</v>
      </c>
      <c r="AE20" s="4" t="e">
        <f t="shared" si="4"/>
        <v>#VALUE!</v>
      </c>
      <c r="AF20" s="3" t="e">
        <f t="shared" si="5"/>
        <v>#VALUE!</v>
      </c>
      <c r="AG20" s="3"/>
      <c r="AH20" s="4"/>
      <c r="AI20" s="3"/>
      <c r="AJ20" s="3"/>
      <c r="AK20" s="3"/>
    </row>
    <row r="21" spans="1:37" ht="12.75" customHeight="1" x14ac:dyDescent="0.2">
      <c r="A21" s="14">
        <v>12</v>
      </c>
      <c r="B21" s="4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4"/>
      <c r="Y21" s="23"/>
      <c r="Z21" s="4" t="str">
        <f t="shared" si="0"/>
        <v/>
      </c>
      <c r="AA21" s="4" t="str">
        <f t="shared" si="1"/>
        <v/>
      </c>
      <c r="AB21" s="4" t="str">
        <f t="shared" si="2"/>
        <v/>
      </c>
      <c r="AC21" s="4">
        <v>0.40178163932729677</v>
      </c>
      <c r="AD21" s="4">
        <f t="shared" si="3"/>
        <v>-0.51379944005654177</v>
      </c>
      <c r="AE21" s="4" t="e">
        <f t="shared" si="4"/>
        <v>#VALUE!</v>
      </c>
      <c r="AF21" s="3" t="e">
        <f t="shared" si="5"/>
        <v>#VALUE!</v>
      </c>
      <c r="AG21" s="3"/>
      <c r="AH21" s="4"/>
      <c r="AI21" s="3"/>
      <c r="AJ21" s="3"/>
      <c r="AK21" s="3"/>
    </row>
    <row r="22" spans="1:37" ht="12.75" customHeight="1" x14ac:dyDescent="0.2">
      <c r="A22" s="14">
        <v>13</v>
      </c>
      <c r="B22" s="4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4"/>
      <c r="Y22" s="23"/>
      <c r="Z22" s="4" t="str">
        <f t="shared" si="0"/>
        <v/>
      </c>
      <c r="AA22" s="4" t="str">
        <f t="shared" si="1"/>
        <v/>
      </c>
      <c r="AB22" s="4" t="str">
        <f t="shared" si="2"/>
        <v/>
      </c>
      <c r="AC22" s="4">
        <v>0.40178163932729677</v>
      </c>
      <c r="AD22" s="4">
        <f t="shared" si="3"/>
        <v>-0.51379944005654177</v>
      </c>
      <c r="AE22" s="4" t="e">
        <f t="shared" si="4"/>
        <v>#VALUE!</v>
      </c>
      <c r="AF22" s="3" t="e">
        <f t="shared" si="5"/>
        <v>#VALUE!</v>
      </c>
      <c r="AG22" s="3"/>
      <c r="AH22" s="4"/>
      <c r="AI22" s="3"/>
      <c r="AJ22" s="3"/>
      <c r="AK22" s="3"/>
    </row>
    <row r="23" spans="1:37" ht="12.75" customHeight="1" x14ac:dyDescent="0.2">
      <c r="A23" s="14">
        <v>14</v>
      </c>
      <c r="B23" s="4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4"/>
      <c r="Y23" s="23"/>
      <c r="Z23" s="4" t="str">
        <f t="shared" si="0"/>
        <v/>
      </c>
      <c r="AA23" s="4" t="str">
        <f t="shared" si="1"/>
        <v/>
      </c>
      <c r="AB23" s="4" t="str">
        <f t="shared" si="2"/>
        <v/>
      </c>
      <c r="AC23" s="4">
        <v>0.40178163932729677</v>
      </c>
      <c r="AD23" s="4">
        <f t="shared" si="3"/>
        <v>-0.51379944005654177</v>
      </c>
      <c r="AE23" s="4" t="e">
        <f t="shared" si="4"/>
        <v>#VALUE!</v>
      </c>
      <c r="AF23" s="3" t="e">
        <f t="shared" si="5"/>
        <v>#VALUE!</v>
      </c>
      <c r="AG23" s="3"/>
      <c r="AH23" s="4"/>
      <c r="AI23" s="3"/>
      <c r="AJ23" s="3"/>
      <c r="AK23" s="3"/>
    </row>
    <row r="24" spans="1:37" ht="12.75" customHeight="1" x14ac:dyDescent="0.2">
      <c r="A24" s="14">
        <v>15</v>
      </c>
      <c r="B24" s="4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4"/>
      <c r="Y24" s="23"/>
      <c r="Z24" s="4" t="str">
        <f t="shared" si="0"/>
        <v/>
      </c>
      <c r="AA24" s="4" t="str">
        <f t="shared" si="1"/>
        <v/>
      </c>
      <c r="AB24" s="4" t="str">
        <f t="shared" si="2"/>
        <v/>
      </c>
      <c r="AC24" s="4">
        <v>0.40178163932729677</v>
      </c>
      <c r="AD24" s="4">
        <f t="shared" si="3"/>
        <v>-0.51379944005654177</v>
      </c>
      <c r="AE24" s="4" t="e">
        <f t="shared" si="4"/>
        <v>#VALUE!</v>
      </c>
      <c r="AF24" s="3" t="e">
        <f t="shared" si="5"/>
        <v>#VALUE!</v>
      </c>
      <c r="AG24" s="3"/>
      <c r="AH24" s="4"/>
      <c r="AI24" s="3"/>
      <c r="AJ24" s="3"/>
      <c r="AK24" s="3"/>
    </row>
    <row r="25" spans="1:37" ht="12.75" customHeight="1" x14ac:dyDescent="0.2">
      <c r="A25" s="14">
        <v>16</v>
      </c>
      <c r="B25" s="4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4"/>
      <c r="Y25" s="23"/>
      <c r="Z25" s="4" t="str">
        <f t="shared" si="0"/>
        <v/>
      </c>
      <c r="AA25" s="4" t="str">
        <f t="shared" si="1"/>
        <v/>
      </c>
      <c r="AB25" s="4" t="str">
        <f t="shared" si="2"/>
        <v/>
      </c>
      <c r="AC25" s="4">
        <v>0.40178163932729677</v>
      </c>
      <c r="AD25" s="4">
        <f t="shared" si="3"/>
        <v>-0.51379944005654177</v>
      </c>
      <c r="AE25" s="4" t="e">
        <f t="shared" si="4"/>
        <v>#VALUE!</v>
      </c>
      <c r="AF25" s="3" t="e">
        <f t="shared" si="5"/>
        <v>#VALUE!</v>
      </c>
      <c r="AG25" s="3"/>
      <c r="AH25" s="4"/>
      <c r="AI25" s="3"/>
      <c r="AJ25" s="3"/>
      <c r="AK25" s="3"/>
    </row>
    <row r="26" spans="1:37" ht="12.75" customHeight="1" x14ac:dyDescent="0.2">
      <c r="A26" s="14">
        <v>17</v>
      </c>
      <c r="B26" s="4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4"/>
      <c r="Y26" s="23"/>
      <c r="Z26" s="4" t="str">
        <f t="shared" si="0"/>
        <v/>
      </c>
      <c r="AA26" s="4" t="str">
        <f t="shared" si="1"/>
        <v/>
      </c>
      <c r="AB26" s="4" t="str">
        <f t="shared" si="2"/>
        <v/>
      </c>
      <c r="AC26" s="4">
        <v>0.40178163932729677</v>
      </c>
      <c r="AD26" s="4">
        <f t="shared" si="3"/>
        <v>-0.51379944005654177</v>
      </c>
      <c r="AE26" s="4" t="e">
        <f t="shared" si="4"/>
        <v>#VALUE!</v>
      </c>
      <c r="AF26" s="3" t="e">
        <f t="shared" si="5"/>
        <v>#VALUE!</v>
      </c>
      <c r="AG26" s="3"/>
      <c r="AH26" s="4"/>
      <c r="AI26" s="3"/>
      <c r="AJ26" s="3"/>
      <c r="AK26" s="3"/>
    </row>
    <row r="27" spans="1:37" ht="12.75" customHeight="1" x14ac:dyDescent="0.2">
      <c r="A27" s="14">
        <v>18</v>
      </c>
      <c r="B27" s="4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4"/>
      <c r="Y27" s="23"/>
      <c r="Z27" s="4" t="str">
        <f t="shared" si="0"/>
        <v/>
      </c>
      <c r="AA27" s="4" t="str">
        <f t="shared" si="1"/>
        <v/>
      </c>
      <c r="AB27" s="4" t="str">
        <f t="shared" si="2"/>
        <v/>
      </c>
      <c r="AC27" s="4">
        <v>0.40178163932729677</v>
      </c>
      <c r="AD27" s="4">
        <f t="shared" si="3"/>
        <v>-0.51379944005654177</v>
      </c>
      <c r="AE27" s="4" t="e">
        <f t="shared" si="4"/>
        <v>#VALUE!</v>
      </c>
      <c r="AF27" s="3" t="e">
        <f t="shared" si="5"/>
        <v>#VALUE!</v>
      </c>
      <c r="AG27" s="3"/>
      <c r="AH27" s="4"/>
      <c r="AI27" s="3"/>
      <c r="AJ27" s="3"/>
      <c r="AK27" s="3"/>
    </row>
    <row r="28" spans="1:37" ht="12.75" customHeight="1" x14ac:dyDescent="0.2">
      <c r="A28" s="14">
        <v>19</v>
      </c>
      <c r="B28" s="4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4"/>
      <c r="Y28" s="23"/>
      <c r="Z28" s="4" t="str">
        <f t="shared" si="0"/>
        <v/>
      </c>
      <c r="AA28" s="4" t="str">
        <f t="shared" si="1"/>
        <v/>
      </c>
      <c r="AB28" s="4" t="str">
        <f t="shared" si="2"/>
        <v/>
      </c>
      <c r="AC28" s="4">
        <v>0.40178163932729677</v>
      </c>
      <c r="AD28" s="4">
        <f t="shared" si="3"/>
        <v>-0.51379944005654177</v>
      </c>
      <c r="AE28" s="4" t="e">
        <f t="shared" si="4"/>
        <v>#VALUE!</v>
      </c>
      <c r="AF28" s="3" t="e">
        <f t="shared" si="5"/>
        <v>#VALUE!</v>
      </c>
      <c r="AG28" s="3"/>
      <c r="AH28" s="4"/>
      <c r="AI28" s="3"/>
      <c r="AJ28" s="3"/>
      <c r="AK28" s="3"/>
    </row>
    <row r="29" spans="1:37" ht="12.75" customHeight="1" x14ac:dyDescent="0.2">
      <c r="A29" s="14">
        <v>20</v>
      </c>
      <c r="B29" s="4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4"/>
      <c r="Y29" s="23"/>
      <c r="Z29" s="4" t="str">
        <f t="shared" si="0"/>
        <v/>
      </c>
      <c r="AA29" s="4" t="str">
        <f t="shared" si="1"/>
        <v/>
      </c>
      <c r="AB29" s="4" t="str">
        <f t="shared" si="2"/>
        <v/>
      </c>
      <c r="AC29" s="4">
        <v>0.40178163932729677</v>
      </c>
      <c r="AD29" s="4">
        <f t="shared" si="3"/>
        <v>-0.51379944005654177</v>
      </c>
      <c r="AE29" s="4" t="e">
        <f t="shared" si="4"/>
        <v>#VALUE!</v>
      </c>
      <c r="AF29" s="3" t="e">
        <f t="shared" si="5"/>
        <v>#VALUE!</v>
      </c>
      <c r="AG29" s="3"/>
      <c r="AH29" s="4"/>
      <c r="AI29" s="3"/>
      <c r="AJ29" s="3"/>
      <c r="AK29" s="3"/>
    </row>
    <row r="30" spans="1:37" ht="12.75" customHeight="1" x14ac:dyDescent="0.2">
      <c r="A30" s="14">
        <v>21</v>
      </c>
      <c r="B30" s="4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4"/>
      <c r="Y30" s="23"/>
      <c r="Z30" s="4" t="str">
        <f t="shared" si="0"/>
        <v/>
      </c>
      <c r="AA30" s="4" t="str">
        <f t="shared" si="1"/>
        <v/>
      </c>
      <c r="AB30" s="4" t="str">
        <f t="shared" si="2"/>
        <v/>
      </c>
      <c r="AC30" s="4">
        <v>0.40178163932729677</v>
      </c>
      <c r="AD30" s="4">
        <f t="shared" si="3"/>
        <v>-0.51379944005654177</v>
      </c>
      <c r="AE30" s="4" t="e">
        <f t="shared" si="4"/>
        <v>#VALUE!</v>
      </c>
      <c r="AF30" s="3" t="e">
        <f t="shared" si="5"/>
        <v>#VALUE!</v>
      </c>
      <c r="AG30" s="3"/>
      <c r="AH30" s="4"/>
      <c r="AI30" s="3"/>
      <c r="AJ30" s="3"/>
      <c r="AK30" s="3"/>
    </row>
    <row r="31" spans="1:37" ht="12.75" customHeight="1" x14ac:dyDescent="0.2">
      <c r="A31" s="14">
        <v>22</v>
      </c>
      <c r="B31" s="27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4"/>
      <c r="Y31" s="23"/>
      <c r="Z31" s="4" t="str">
        <f t="shared" si="0"/>
        <v/>
      </c>
      <c r="AA31" s="4" t="str">
        <f t="shared" si="1"/>
        <v/>
      </c>
      <c r="AB31" s="4" t="str">
        <f t="shared" si="2"/>
        <v/>
      </c>
      <c r="AC31" s="4">
        <v>0.55595695845702642</v>
      </c>
      <c r="AD31" s="4">
        <f t="shared" si="3"/>
        <v>-0.8118337808362277</v>
      </c>
      <c r="AE31" s="4" t="e">
        <f t="shared" si="4"/>
        <v>#VALUE!</v>
      </c>
      <c r="AF31" s="3" t="e">
        <f t="shared" si="5"/>
        <v>#VALUE!</v>
      </c>
      <c r="AG31" s="3"/>
      <c r="AH31" s="4"/>
      <c r="AI31" s="3"/>
      <c r="AJ31" s="3"/>
      <c r="AK31" s="3"/>
    </row>
    <row r="32" spans="1:37" ht="12.75" customHeight="1" x14ac:dyDescent="0.2">
      <c r="A32" s="14">
        <v>23</v>
      </c>
      <c r="B32" s="27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4"/>
      <c r="Y32" s="23"/>
      <c r="Z32" s="4" t="str">
        <f t="shared" si="0"/>
        <v/>
      </c>
      <c r="AA32" s="4" t="str">
        <f t="shared" si="1"/>
        <v/>
      </c>
      <c r="AB32" s="4" t="str">
        <f t="shared" si="2"/>
        <v/>
      </c>
      <c r="AC32" s="4">
        <v>0.55595695845702642</v>
      </c>
      <c r="AD32" s="4">
        <f t="shared" si="3"/>
        <v>-0.8118337808362277</v>
      </c>
      <c r="AE32" s="4" t="e">
        <f t="shared" si="4"/>
        <v>#VALUE!</v>
      </c>
      <c r="AF32" s="3" t="e">
        <f t="shared" si="5"/>
        <v>#VALUE!</v>
      </c>
      <c r="AG32" s="3"/>
      <c r="AH32" s="4"/>
      <c r="AI32" s="3"/>
      <c r="AJ32" s="3"/>
      <c r="AK32" s="3"/>
    </row>
    <row r="33" spans="1:37" ht="12.75" customHeight="1" x14ac:dyDescent="0.2">
      <c r="A33" s="14">
        <v>24</v>
      </c>
      <c r="B33" s="27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4"/>
      <c r="Y33" s="23"/>
      <c r="Z33" s="4" t="str">
        <f t="shared" si="0"/>
        <v/>
      </c>
      <c r="AA33" s="4" t="str">
        <f t="shared" si="1"/>
        <v/>
      </c>
      <c r="AB33" s="4" t="str">
        <f t="shared" si="2"/>
        <v/>
      </c>
      <c r="AC33" s="4">
        <v>0.55595695845702642</v>
      </c>
      <c r="AD33" s="4">
        <f t="shared" si="3"/>
        <v>-0.8118337808362277</v>
      </c>
      <c r="AE33" s="4" t="e">
        <f t="shared" si="4"/>
        <v>#VALUE!</v>
      </c>
      <c r="AF33" s="3" t="e">
        <f t="shared" si="5"/>
        <v>#VALUE!</v>
      </c>
      <c r="AG33" s="3"/>
      <c r="AH33" s="4"/>
      <c r="AI33" s="3"/>
      <c r="AJ33" s="3"/>
      <c r="AK33" s="3"/>
    </row>
    <row r="34" spans="1:37" ht="12.75" customHeight="1" x14ac:dyDescent="0.2">
      <c r="A34" s="14">
        <v>25</v>
      </c>
      <c r="B34" s="27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4"/>
      <c r="Y34" s="23"/>
      <c r="Z34" s="4" t="str">
        <f t="shared" si="0"/>
        <v/>
      </c>
      <c r="AA34" s="4" t="str">
        <f t="shared" si="1"/>
        <v/>
      </c>
      <c r="AB34" s="4" t="str">
        <f t="shared" si="2"/>
        <v/>
      </c>
      <c r="AC34" s="4">
        <v>0.55595695845702642</v>
      </c>
      <c r="AD34" s="4">
        <f t="shared" si="3"/>
        <v>-0.8118337808362277</v>
      </c>
      <c r="AE34" s="4" t="e">
        <f t="shared" si="4"/>
        <v>#VALUE!</v>
      </c>
      <c r="AF34" s="3" t="e">
        <f t="shared" si="5"/>
        <v>#VALUE!</v>
      </c>
      <c r="AG34" s="3"/>
      <c r="AH34" s="4"/>
      <c r="AI34" s="3"/>
      <c r="AJ34" s="3"/>
      <c r="AK34" s="3"/>
    </row>
    <row r="35" spans="1:37" ht="12.75" customHeight="1" x14ac:dyDescent="0.2">
      <c r="A35" s="14">
        <v>26</v>
      </c>
      <c r="B35" s="27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4"/>
      <c r="Y35" s="23"/>
      <c r="Z35" s="4" t="str">
        <f t="shared" si="0"/>
        <v/>
      </c>
      <c r="AA35" s="4" t="str">
        <f t="shared" si="1"/>
        <v/>
      </c>
      <c r="AB35" s="4" t="str">
        <f t="shared" si="2"/>
        <v/>
      </c>
      <c r="AC35" s="4">
        <v>0.55595695845702642</v>
      </c>
      <c r="AD35" s="4">
        <f t="shared" si="3"/>
        <v>-0.8118337808362277</v>
      </c>
      <c r="AE35" s="4" t="e">
        <f t="shared" si="4"/>
        <v>#VALUE!</v>
      </c>
      <c r="AF35" s="3" t="e">
        <f t="shared" si="5"/>
        <v>#VALUE!</v>
      </c>
      <c r="AG35" s="3"/>
      <c r="AH35" s="4"/>
      <c r="AI35" s="3"/>
      <c r="AJ35" s="3"/>
      <c r="AK35" s="3"/>
    </row>
    <row r="36" spans="1:37" ht="12.75" customHeight="1" x14ac:dyDescent="0.2">
      <c r="A36" s="14">
        <v>27</v>
      </c>
      <c r="B36" s="27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4"/>
      <c r="Y36" s="23"/>
      <c r="Z36" s="4" t="str">
        <f t="shared" si="0"/>
        <v/>
      </c>
      <c r="AA36" s="4" t="str">
        <f t="shared" si="1"/>
        <v/>
      </c>
      <c r="AB36" s="4" t="str">
        <f t="shared" si="2"/>
        <v/>
      </c>
      <c r="AC36" s="4">
        <v>0.55595695845702642</v>
      </c>
      <c r="AD36" s="4">
        <f t="shared" si="3"/>
        <v>-0.8118337808362277</v>
      </c>
      <c r="AE36" s="4" t="e">
        <f t="shared" si="4"/>
        <v>#VALUE!</v>
      </c>
      <c r="AF36" s="3" t="e">
        <f t="shared" si="5"/>
        <v>#VALUE!</v>
      </c>
      <c r="AG36" s="3"/>
      <c r="AH36" s="4"/>
      <c r="AI36" s="3"/>
      <c r="AJ36" s="3"/>
      <c r="AK36" s="3"/>
    </row>
    <row r="37" spans="1:37" ht="12.75" customHeight="1" x14ac:dyDescent="0.2">
      <c r="A37" s="14">
        <v>28</v>
      </c>
      <c r="B37" s="27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4"/>
      <c r="Y37" s="23"/>
      <c r="Z37" s="4" t="str">
        <f t="shared" si="0"/>
        <v/>
      </c>
      <c r="AA37" s="4" t="str">
        <f t="shared" si="1"/>
        <v/>
      </c>
      <c r="AB37" s="4" t="str">
        <f t="shared" si="2"/>
        <v/>
      </c>
      <c r="AC37" s="4">
        <v>0.55595695845702642</v>
      </c>
      <c r="AD37" s="4">
        <f t="shared" si="3"/>
        <v>-0.8118337808362277</v>
      </c>
      <c r="AE37" s="4" t="e">
        <f t="shared" si="4"/>
        <v>#VALUE!</v>
      </c>
      <c r="AF37" s="3" t="e">
        <f t="shared" si="5"/>
        <v>#VALUE!</v>
      </c>
      <c r="AG37" s="3"/>
      <c r="AH37" s="4"/>
      <c r="AI37" s="3"/>
      <c r="AJ37" s="3"/>
      <c r="AK37" s="3"/>
    </row>
    <row r="38" spans="1:37" ht="12.75" customHeight="1" x14ac:dyDescent="0.2">
      <c r="A38" s="14">
        <v>29</v>
      </c>
      <c r="B38" s="27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4"/>
      <c r="Y38" s="23"/>
      <c r="Z38" s="4" t="str">
        <f t="shared" si="0"/>
        <v/>
      </c>
      <c r="AA38" s="4" t="str">
        <f t="shared" si="1"/>
        <v/>
      </c>
      <c r="AB38" s="4" t="str">
        <f t="shared" si="2"/>
        <v/>
      </c>
      <c r="AC38" s="4">
        <v>0.55595695845702642</v>
      </c>
      <c r="AD38" s="4">
        <f t="shared" si="3"/>
        <v>-0.8118337808362277</v>
      </c>
      <c r="AE38" s="4" t="e">
        <f t="shared" si="4"/>
        <v>#VALUE!</v>
      </c>
      <c r="AF38" s="3" t="e">
        <f t="shared" si="5"/>
        <v>#VALUE!</v>
      </c>
      <c r="AG38" s="3"/>
      <c r="AH38" s="4"/>
      <c r="AI38" s="3"/>
      <c r="AJ38" s="3"/>
      <c r="AK38" s="3"/>
    </row>
    <row r="39" spans="1:37" ht="12.75" customHeight="1" x14ac:dyDescent="0.2">
      <c r="A39" s="14">
        <v>30</v>
      </c>
      <c r="B39" s="27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4"/>
      <c r="Y39" s="23"/>
      <c r="Z39" s="4" t="str">
        <f t="shared" si="0"/>
        <v/>
      </c>
      <c r="AA39" s="4" t="str">
        <f t="shared" si="1"/>
        <v/>
      </c>
      <c r="AB39" s="4" t="str">
        <f t="shared" si="2"/>
        <v/>
      </c>
      <c r="AC39" s="4">
        <v>0.55595695845702642</v>
      </c>
      <c r="AD39" s="4">
        <f t="shared" si="3"/>
        <v>-0.8118337808362277</v>
      </c>
      <c r="AE39" s="4" t="e">
        <f t="shared" si="4"/>
        <v>#VALUE!</v>
      </c>
      <c r="AF39" s="3" t="e">
        <f t="shared" si="5"/>
        <v>#VALUE!</v>
      </c>
      <c r="AG39" s="3"/>
      <c r="AH39" s="4"/>
      <c r="AI39" s="3"/>
      <c r="AJ39" s="3"/>
      <c r="AK39" s="3"/>
    </row>
    <row r="40" spans="1:37" ht="12.75" customHeight="1" x14ac:dyDescent="0.2">
      <c r="A40" s="14">
        <v>31</v>
      </c>
      <c r="B40" s="27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4"/>
      <c r="Y40" s="23"/>
      <c r="Z40" s="4" t="str">
        <f t="shared" si="0"/>
        <v/>
      </c>
      <c r="AA40" s="4" t="str">
        <f t="shared" si="1"/>
        <v/>
      </c>
      <c r="AB40" s="4" t="str">
        <f t="shared" si="2"/>
        <v/>
      </c>
      <c r="AC40" s="4">
        <v>0.55595695845702642</v>
      </c>
      <c r="AD40" s="4">
        <f t="shared" si="3"/>
        <v>-0.8118337808362277</v>
      </c>
      <c r="AE40" s="4" t="e">
        <f t="shared" si="4"/>
        <v>#VALUE!</v>
      </c>
      <c r="AF40" s="3" t="e">
        <f t="shared" si="5"/>
        <v>#VALUE!</v>
      </c>
      <c r="AG40" s="3"/>
      <c r="AH40" s="4"/>
      <c r="AI40" s="3"/>
      <c r="AJ40" s="3"/>
      <c r="AK40" s="3"/>
    </row>
    <row r="41" spans="1:37" ht="12.75" customHeight="1" x14ac:dyDescent="0.2">
      <c r="A41" s="14">
        <v>32</v>
      </c>
      <c r="B41" s="27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4"/>
      <c r="Y41" s="23"/>
      <c r="Z41" s="4" t="str">
        <f t="shared" si="0"/>
        <v/>
      </c>
      <c r="AA41" s="4" t="str">
        <f t="shared" si="1"/>
        <v/>
      </c>
      <c r="AB41" s="4" t="str">
        <f t="shared" si="2"/>
        <v/>
      </c>
      <c r="AC41" s="4">
        <v>0.55595695845702642</v>
      </c>
      <c r="AD41" s="4">
        <f t="shared" si="3"/>
        <v>-0.8118337808362277</v>
      </c>
      <c r="AE41" s="4" t="e">
        <f t="shared" si="4"/>
        <v>#VALUE!</v>
      </c>
      <c r="AF41" s="3" t="e">
        <f t="shared" si="5"/>
        <v>#VALUE!</v>
      </c>
      <c r="AG41" s="3"/>
      <c r="AH41" s="4"/>
      <c r="AI41" s="3"/>
      <c r="AJ41" s="3"/>
      <c r="AK41" s="3"/>
    </row>
    <row r="42" spans="1:37" ht="12.75" customHeight="1" x14ac:dyDescent="0.2">
      <c r="A42" s="14">
        <v>33</v>
      </c>
      <c r="B42" s="27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4"/>
      <c r="Y42" s="23"/>
      <c r="Z42" s="4" t="str">
        <f t="shared" si="0"/>
        <v/>
      </c>
      <c r="AA42" s="4" t="str">
        <f t="shared" si="1"/>
        <v/>
      </c>
      <c r="AB42" s="4" t="str">
        <f t="shared" si="2"/>
        <v/>
      </c>
      <c r="AC42" s="4">
        <v>0.55595695845702642</v>
      </c>
      <c r="AD42" s="4">
        <f t="shared" si="3"/>
        <v>-0.8118337808362277</v>
      </c>
      <c r="AE42" s="4" t="e">
        <f t="shared" si="4"/>
        <v>#VALUE!</v>
      </c>
      <c r="AF42" s="3" t="e">
        <f t="shared" si="5"/>
        <v>#VALUE!</v>
      </c>
      <c r="AG42" s="3"/>
      <c r="AH42" s="4"/>
      <c r="AI42" s="3"/>
      <c r="AJ42" s="3"/>
      <c r="AK42" s="3"/>
    </row>
    <row r="43" spans="1:37" ht="12.75" customHeight="1" x14ac:dyDescent="0.2">
      <c r="A43" s="14">
        <v>34</v>
      </c>
      <c r="B43" s="27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4"/>
      <c r="Y43" s="23"/>
      <c r="Z43" s="4" t="str">
        <f t="shared" si="0"/>
        <v/>
      </c>
      <c r="AA43" s="4" t="str">
        <f t="shared" si="1"/>
        <v/>
      </c>
      <c r="AB43" s="4" t="str">
        <f t="shared" si="2"/>
        <v/>
      </c>
      <c r="AC43" s="4">
        <v>0.55595695845702642</v>
      </c>
      <c r="AD43" s="4">
        <f t="shared" si="3"/>
        <v>-0.8118337808362277</v>
      </c>
      <c r="AE43" s="4" t="e">
        <f t="shared" si="4"/>
        <v>#VALUE!</v>
      </c>
      <c r="AF43" s="3" t="e">
        <f t="shared" si="5"/>
        <v>#VALUE!</v>
      </c>
      <c r="AG43" s="3"/>
      <c r="AH43" s="4"/>
      <c r="AI43" s="3"/>
      <c r="AJ43" s="3"/>
      <c r="AK43" s="3"/>
    </row>
    <row r="44" spans="1:37" ht="12.75" customHeight="1" x14ac:dyDescent="0.2">
      <c r="A44" s="14">
        <v>35</v>
      </c>
      <c r="B44" s="27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4"/>
      <c r="Y44" s="23"/>
      <c r="Z44" s="4" t="str">
        <f t="shared" si="0"/>
        <v/>
      </c>
      <c r="AA44" s="4" t="str">
        <f t="shared" si="1"/>
        <v/>
      </c>
      <c r="AB44" s="4" t="str">
        <f t="shared" si="2"/>
        <v/>
      </c>
      <c r="AC44" s="4">
        <v>0.55595695845702642</v>
      </c>
      <c r="AD44" s="4">
        <f t="shared" si="3"/>
        <v>-0.8118337808362277</v>
      </c>
      <c r="AE44" s="4" t="e">
        <f t="shared" si="4"/>
        <v>#VALUE!</v>
      </c>
      <c r="AF44" s="3" t="e">
        <f t="shared" si="5"/>
        <v>#VALUE!</v>
      </c>
      <c r="AG44" s="3"/>
      <c r="AH44" s="4"/>
      <c r="AI44" s="3"/>
      <c r="AJ44" s="3"/>
      <c r="AK44" s="3"/>
    </row>
    <row r="45" spans="1:37" ht="12.75" customHeight="1" x14ac:dyDescent="0.2">
      <c r="A45" s="14">
        <v>36</v>
      </c>
      <c r="B45" s="27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4"/>
      <c r="Y45" s="23"/>
      <c r="Z45" s="4" t="str">
        <f t="shared" si="0"/>
        <v/>
      </c>
      <c r="AA45" s="4" t="str">
        <f t="shared" si="1"/>
        <v/>
      </c>
      <c r="AB45" s="4" t="str">
        <f t="shared" si="2"/>
        <v/>
      </c>
      <c r="AC45" s="4">
        <v>0.55595695845702642</v>
      </c>
      <c r="AD45" s="4">
        <f t="shared" si="3"/>
        <v>-0.8118337808362277</v>
      </c>
      <c r="AE45" s="4" t="e">
        <f t="shared" si="4"/>
        <v>#VALUE!</v>
      </c>
      <c r="AF45" s="3" t="e">
        <f t="shared" si="5"/>
        <v>#VALUE!</v>
      </c>
      <c r="AG45" s="3"/>
      <c r="AH45" s="4"/>
      <c r="AI45" s="3"/>
      <c r="AJ45" s="3"/>
      <c r="AK45" s="3"/>
    </row>
    <row r="46" spans="1:37" ht="12.75" customHeight="1" x14ac:dyDescent="0.2">
      <c r="A46" s="14">
        <v>37</v>
      </c>
      <c r="B46" s="27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4"/>
      <c r="Y46" s="23"/>
      <c r="Z46" s="4" t="str">
        <f t="shared" si="0"/>
        <v/>
      </c>
      <c r="AA46" s="4" t="str">
        <f t="shared" si="1"/>
        <v/>
      </c>
      <c r="AB46" s="4" t="str">
        <f t="shared" si="2"/>
        <v/>
      </c>
      <c r="AC46" s="4">
        <v>0.55595695845702642</v>
      </c>
      <c r="AD46" s="4">
        <f t="shared" si="3"/>
        <v>-0.8118337808362277</v>
      </c>
      <c r="AE46" s="4" t="e">
        <f t="shared" si="4"/>
        <v>#VALUE!</v>
      </c>
      <c r="AF46" s="3" t="e">
        <f t="shared" si="5"/>
        <v>#VALUE!</v>
      </c>
      <c r="AG46" s="3"/>
      <c r="AH46" s="4"/>
      <c r="AI46" s="3"/>
      <c r="AJ46" s="3"/>
      <c r="AK46" s="3"/>
    </row>
    <row r="47" spans="1:37" ht="12.75" customHeight="1" x14ac:dyDescent="0.2">
      <c r="A47" s="14">
        <v>38</v>
      </c>
      <c r="B47" s="27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4"/>
      <c r="Y47" s="23"/>
      <c r="Z47" s="4" t="str">
        <f t="shared" si="0"/>
        <v/>
      </c>
      <c r="AA47" s="4" t="str">
        <f t="shared" si="1"/>
        <v/>
      </c>
      <c r="AB47" s="4" t="str">
        <f t="shared" si="2"/>
        <v/>
      </c>
      <c r="AC47" s="4">
        <v>0.55595695845702642</v>
      </c>
      <c r="AD47" s="4">
        <f t="shared" si="3"/>
        <v>-0.8118337808362277</v>
      </c>
      <c r="AE47" s="4" t="e">
        <f t="shared" si="4"/>
        <v>#VALUE!</v>
      </c>
      <c r="AF47" s="3" t="e">
        <f t="shared" si="5"/>
        <v>#VALUE!</v>
      </c>
      <c r="AG47" s="3"/>
      <c r="AH47" s="4"/>
      <c r="AI47" s="3"/>
      <c r="AJ47" s="3"/>
      <c r="AK47" s="3"/>
    </row>
    <row r="48" spans="1:37" ht="12.75" customHeight="1" x14ac:dyDescent="0.2">
      <c r="A48" s="14">
        <v>39</v>
      </c>
      <c r="B48" s="27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4"/>
      <c r="Y48" s="23"/>
      <c r="Z48" s="4" t="str">
        <f t="shared" si="0"/>
        <v/>
      </c>
      <c r="AA48" s="4" t="str">
        <f t="shared" si="1"/>
        <v/>
      </c>
      <c r="AB48" s="4" t="str">
        <f t="shared" si="2"/>
        <v/>
      </c>
      <c r="AC48" s="4">
        <v>0.55595695845702642</v>
      </c>
      <c r="AD48" s="4">
        <f t="shared" si="3"/>
        <v>-0.8118337808362277</v>
      </c>
      <c r="AE48" s="4" t="e">
        <f t="shared" si="4"/>
        <v>#VALUE!</v>
      </c>
      <c r="AF48" s="3" t="e">
        <f t="shared" si="5"/>
        <v>#VALUE!</v>
      </c>
      <c r="AG48" s="3"/>
      <c r="AH48" s="4"/>
      <c r="AI48" s="3"/>
      <c r="AJ48" s="3"/>
      <c r="AK48" s="3"/>
    </row>
    <row r="49" spans="1:37" ht="12.75" customHeight="1" x14ac:dyDescent="0.2">
      <c r="A49" s="14">
        <v>40</v>
      </c>
      <c r="B49" s="27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4"/>
      <c r="Y49" s="23"/>
      <c r="Z49" s="4" t="str">
        <f t="shared" si="0"/>
        <v/>
      </c>
      <c r="AA49" s="4" t="str">
        <f t="shared" si="1"/>
        <v/>
      </c>
      <c r="AB49" s="4" t="str">
        <f t="shared" si="2"/>
        <v/>
      </c>
      <c r="AC49" s="4">
        <v>0.55595695845702642</v>
      </c>
      <c r="AD49" s="4">
        <f t="shared" si="3"/>
        <v>-0.8118337808362277</v>
      </c>
      <c r="AE49" s="4" t="e">
        <f t="shared" si="4"/>
        <v>#VALUE!</v>
      </c>
      <c r="AF49" s="3" t="e">
        <f t="shared" si="5"/>
        <v>#VALUE!</v>
      </c>
      <c r="AG49" s="3"/>
      <c r="AH49" s="4"/>
      <c r="AI49" s="3"/>
      <c r="AJ49" s="3"/>
      <c r="AK49" s="3"/>
    </row>
    <row r="50" spans="1:37" ht="12.75" customHeight="1" x14ac:dyDescent="0.2">
      <c r="A50" s="14">
        <v>41</v>
      </c>
      <c r="B50" s="27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4"/>
      <c r="Y50" s="23"/>
      <c r="Z50" s="4" t="str">
        <f t="shared" si="0"/>
        <v/>
      </c>
      <c r="AA50" s="4" t="str">
        <f t="shared" si="1"/>
        <v/>
      </c>
      <c r="AB50" s="4" t="str">
        <f t="shared" si="2"/>
        <v/>
      </c>
      <c r="AC50" s="4">
        <v>0.55595695845702642</v>
      </c>
      <c r="AD50" s="4">
        <f t="shared" si="3"/>
        <v>-0.8118337808362277</v>
      </c>
      <c r="AE50" s="4" t="e">
        <f t="shared" si="4"/>
        <v>#VALUE!</v>
      </c>
      <c r="AF50" s="3" t="e">
        <f t="shared" si="5"/>
        <v>#VALUE!</v>
      </c>
      <c r="AG50" s="3"/>
      <c r="AH50" s="4"/>
      <c r="AI50" s="3"/>
      <c r="AJ50" s="3"/>
      <c r="AK50" s="3"/>
    </row>
    <row r="51" spans="1:37" ht="12.75" customHeight="1" x14ac:dyDescent="0.2">
      <c r="A51" s="14">
        <v>42</v>
      </c>
      <c r="B51" s="27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4"/>
      <c r="Y51" s="23"/>
      <c r="Z51" s="4" t="str">
        <f t="shared" si="0"/>
        <v/>
      </c>
      <c r="AA51" s="4" t="str">
        <f t="shared" si="1"/>
        <v/>
      </c>
      <c r="AB51" s="4" t="str">
        <f t="shared" si="2"/>
        <v/>
      </c>
      <c r="AC51" s="4">
        <v>0.55595695845702642</v>
      </c>
      <c r="AD51" s="4">
        <f t="shared" si="3"/>
        <v>-0.8118337808362277</v>
      </c>
      <c r="AE51" s="4" t="e">
        <f t="shared" si="4"/>
        <v>#VALUE!</v>
      </c>
      <c r="AF51" s="3" t="e">
        <f t="shared" si="5"/>
        <v>#VALUE!</v>
      </c>
      <c r="AG51" s="3"/>
      <c r="AH51" s="4"/>
      <c r="AI51" s="3"/>
      <c r="AJ51" s="3"/>
      <c r="AK51" s="3"/>
    </row>
    <row r="52" spans="1:37" ht="12.75" customHeight="1" x14ac:dyDescent="0.2">
      <c r="A52" s="14">
        <v>43</v>
      </c>
      <c r="B52" s="27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4"/>
      <c r="Y52" s="23"/>
      <c r="Z52" s="4" t="str">
        <f t="shared" si="0"/>
        <v/>
      </c>
      <c r="AA52" s="4" t="str">
        <f t="shared" si="1"/>
        <v/>
      </c>
      <c r="AB52" s="4" t="str">
        <f t="shared" si="2"/>
        <v/>
      </c>
      <c r="AC52" s="4">
        <v>0.55595695845702642</v>
      </c>
      <c r="AD52" s="4">
        <f t="shared" si="3"/>
        <v>-0.8118337808362277</v>
      </c>
      <c r="AE52" s="4" t="e">
        <f t="shared" si="4"/>
        <v>#VALUE!</v>
      </c>
      <c r="AF52" s="3" t="e">
        <f t="shared" si="5"/>
        <v>#VALUE!</v>
      </c>
      <c r="AG52" s="3"/>
      <c r="AH52" s="4"/>
      <c r="AI52" s="3"/>
      <c r="AJ52" s="3"/>
      <c r="AK52" s="3"/>
    </row>
    <row r="53" spans="1:37" ht="12.75" customHeight="1" x14ac:dyDescent="0.2">
      <c r="A53" s="14">
        <v>44</v>
      </c>
      <c r="B53" s="27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4"/>
      <c r="Y53" s="23"/>
      <c r="Z53" s="4" t="str">
        <f t="shared" si="0"/>
        <v/>
      </c>
      <c r="AA53" s="4" t="str">
        <f t="shared" si="1"/>
        <v/>
      </c>
      <c r="AB53" s="4" t="str">
        <f t="shared" si="2"/>
        <v/>
      </c>
      <c r="AC53" s="4">
        <v>0.55595695845702642</v>
      </c>
      <c r="AD53" s="4">
        <f t="shared" si="3"/>
        <v>-0.8118337808362277</v>
      </c>
      <c r="AE53" s="4" t="e">
        <f t="shared" si="4"/>
        <v>#VALUE!</v>
      </c>
      <c r="AF53" s="3" t="e">
        <f t="shared" si="5"/>
        <v>#VALUE!</v>
      </c>
      <c r="AG53" s="3"/>
      <c r="AH53" s="4"/>
      <c r="AI53" s="3"/>
      <c r="AJ53" s="3"/>
      <c r="AK53" s="3"/>
    </row>
    <row r="54" spans="1:37" ht="12.75" customHeight="1" x14ac:dyDescent="0.2">
      <c r="A54" s="14">
        <v>45</v>
      </c>
      <c r="B54" s="27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4"/>
      <c r="Y54" s="23"/>
      <c r="Z54" s="4" t="str">
        <f t="shared" si="0"/>
        <v/>
      </c>
      <c r="AA54" s="4" t="str">
        <f t="shared" si="1"/>
        <v/>
      </c>
      <c r="AB54" s="4" t="str">
        <f t="shared" si="2"/>
        <v/>
      </c>
      <c r="AC54" s="4">
        <v>0.55595695845702642</v>
      </c>
      <c r="AD54" s="4">
        <f t="shared" si="3"/>
        <v>-0.8118337808362277</v>
      </c>
      <c r="AE54" s="4" t="e">
        <f t="shared" si="4"/>
        <v>#VALUE!</v>
      </c>
      <c r="AF54" s="3" t="e">
        <f t="shared" si="5"/>
        <v>#VALUE!</v>
      </c>
      <c r="AG54" s="3"/>
      <c r="AH54" s="4"/>
      <c r="AI54" s="3"/>
      <c r="AJ54" s="3"/>
      <c r="AK54" s="3"/>
    </row>
    <row r="55" spans="1:37" ht="12.75" customHeight="1" x14ac:dyDescent="0.2">
      <c r="A55" s="14">
        <v>46</v>
      </c>
      <c r="B55" s="27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4"/>
      <c r="Y55" s="23"/>
      <c r="Z55" s="4" t="str">
        <f t="shared" si="0"/>
        <v/>
      </c>
      <c r="AA55" s="4" t="str">
        <f t="shared" si="1"/>
        <v/>
      </c>
      <c r="AB55" s="4" t="str">
        <f t="shared" si="2"/>
        <v/>
      </c>
      <c r="AC55" s="4">
        <v>0.55595695845702642</v>
      </c>
      <c r="AD55" s="4">
        <f t="shared" si="3"/>
        <v>-0.8118337808362277</v>
      </c>
      <c r="AE55" s="4" t="e">
        <f t="shared" si="4"/>
        <v>#VALUE!</v>
      </c>
      <c r="AF55" s="3" t="e">
        <f t="shared" si="5"/>
        <v>#VALUE!</v>
      </c>
      <c r="AG55" s="3"/>
      <c r="AH55" s="4"/>
      <c r="AI55" s="3"/>
      <c r="AJ55" s="3"/>
      <c r="AK55" s="3"/>
    </row>
    <row r="56" spans="1:37" ht="12.75" customHeight="1" x14ac:dyDescent="0.2">
      <c r="A56" s="14">
        <v>47</v>
      </c>
      <c r="B56" s="27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4"/>
      <c r="Y56" s="23"/>
      <c r="Z56" s="4" t="str">
        <f t="shared" si="0"/>
        <v/>
      </c>
      <c r="AA56" s="4" t="str">
        <f t="shared" si="1"/>
        <v/>
      </c>
      <c r="AB56" s="4" t="str">
        <f t="shared" si="2"/>
        <v/>
      </c>
      <c r="AC56" s="4">
        <v>0.55595695845702642</v>
      </c>
      <c r="AD56" s="4">
        <f t="shared" si="3"/>
        <v>-0.8118337808362277</v>
      </c>
      <c r="AE56" s="4" t="e">
        <f t="shared" si="4"/>
        <v>#VALUE!</v>
      </c>
      <c r="AF56" s="3" t="e">
        <f t="shared" si="5"/>
        <v>#VALUE!</v>
      </c>
      <c r="AG56" s="3"/>
      <c r="AH56" s="4"/>
      <c r="AI56" s="3"/>
      <c r="AJ56" s="3"/>
      <c r="AK56" s="3"/>
    </row>
    <row r="57" spans="1:37" ht="12.75" customHeight="1" x14ac:dyDescent="0.2">
      <c r="A57" s="14">
        <v>48</v>
      </c>
      <c r="B57" s="27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4"/>
      <c r="Y57" s="23"/>
      <c r="Z57" s="4" t="str">
        <f t="shared" si="0"/>
        <v/>
      </c>
      <c r="AA57" s="4" t="str">
        <f t="shared" si="1"/>
        <v/>
      </c>
      <c r="AB57" s="4" t="str">
        <f t="shared" si="2"/>
        <v/>
      </c>
      <c r="AC57" s="4">
        <v>0.55595695845702642</v>
      </c>
      <c r="AD57" s="4">
        <f t="shared" si="3"/>
        <v>-0.8118337808362277</v>
      </c>
      <c r="AE57" s="4" t="e">
        <f t="shared" si="4"/>
        <v>#VALUE!</v>
      </c>
      <c r="AF57" s="3" t="e">
        <f t="shared" si="5"/>
        <v>#VALUE!</v>
      </c>
      <c r="AG57" s="3"/>
      <c r="AH57" s="4"/>
      <c r="AI57" s="3"/>
      <c r="AJ57" s="3"/>
      <c r="AK57" s="3"/>
    </row>
    <row r="58" spans="1:37" ht="12.75" customHeight="1" x14ac:dyDescent="0.2">
      <c r="A58" s="14">
        <v>49</v>
      </c>
      <c r="B58" s="27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4"/>
      <c r="Y58" s="23"/>
      <c r="Z58" s="4" t="str">
        <f t="shared" si="0"/>
        <v/>
      </c>
      <c r="AA58" s="4" t="str">
        <f t="shared" si="1"/>
        <v/>
      </c>
      <c r="AB58" s="4" t="str">
        <f t="shared" si="2"/>
        <v/>
      </c>
      <c r="AC58" s="4">
        <v>0.55595695845702642</v>
      </c>
      <c r="AD58" s="4">
        <f t="shared" si="3"/>
        <v>-0.8118337808362277</v>
      </c>
      <c r="AE58" s="4" t="e">
        <f t="shared" si="4"/>
        <v>#VALUE!</v>
      </c>
      <c r="AF58" s="3" t="e">
        <f t="shared" si="5"/>
        <v>#VALUE!</v>
      </c>
      <c r="AG58" s="3"/>
      <c r="AH58" s="4"/>
      <c r="AI58" s="3"/>
      <c r="AJ58" s="3"/>
      <c r="AK58" s="3"/>
    </row>
    <row r="59" spans="1:37" ht="12.75" customHeight="1" x14ac:dyDescent="0.2">
      <c r="A59" s="14">
        <v>50</v>
      </c>
      <c r="B59" s="27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4"/>
      <c r="Y59" s="23"/>
      <c r="Z59" s="4" t="str">
        <f t="shared" si="0"/>
        <v/>
      </c>
      <c r="AA59" s="4" t="str">
        <f t="shared" si="1"/>
        <v/>
      </c>
      <c r="AB59" s="4" t="str">
        <f t="shared" si="2"/>
        <v/>
      </c>
      <c r="AC59" s="4">
        <v>0.55595695845702642</v>
      </c>
      <c r="AD59" s="4">
        <f t="shared" si="3"/>
        <v>-0.8118337808362277</v>
      </c>
      <c r="AE59" s="4" t="e">
        <f t="shared" si="4"/>
        <v>#VALUE!</v>
      </c>
      <c r="AF59" s="3" t="e">
        <f t="shared" si="5"/>
        <v>#VALUE!</v>
      </c>
      <c r="AG59" s="3"/>
      <c r="AH59" s="4"/>
      <c r="AI59" s="3"/>
      <c r="AJ59" s="3"/>
      <c r="AK59" s="3"/>
    </row>
    <row r="60" spans="1:37" ht="12.75" customHeight="1" x14ac:dyDescent="0.2">
      <c r="A60" s="14">
        <v>51</v>
      </c>
      <c r="B60" s="27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4"/>
      <c r="Y60" s="23"/>
      <c r="Z60" s="4" t="str">
        <f t="shared" si="0"/>
        <v/>
      </c>
      <c r="AA60" s="4" t="str">
        <f t="shared" si="1"/>
        <v/>
      </c>
      <c r="AB60" s="4" t="str">
        <f t="shared" si="2"/>
        <v/>
      </c>
      <c r="AC60" s="4">
        <v>0.55595695845702642</v>
      </c>
      <c r="AD60" s="4">
        <f t="shared" si="3"/>
        <v>-0.8118337808362277</v>
      </c>
      <c r="AE60" s="4" t="e">
        <f t="shared" si="4"/>
        <v>#VALUE!</v>
      </c>
      <c r="AF60" s="3" t="e">
        <f t="shared" si="5"/>
        <v>#VALUE!</v>
      </c>
      <c r="AG60" s="3"/>
      <c r="AH60" s="4"/>
      <c r="AI60" s="3"/>
      <c r="AJ60" s="3"/>
      <c r="AK60" s="3"/>
    </row>
    <row r="61" spans="1:37" ht="12.75" customHeight="1" x14ac:dyDescent="0.2">
      <c r="A61" s="14">
        <v>52</v>
      </c>
      <c r="B61" s="27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4"/>
      <c r="Y61" s="23"/>
      <c r="Z61" s="4" t="str">
        <f t="shared" si="0"/>
        <v/>
      </c>
      <c r="AA61" s="4" t="str">
        <f t="shared" si="1"/>
        <v/>
      </c>
      <c r="AB61" s="4" t="str">
        <f t="shared" si="2"/>
        <v/>
      </c>
      <c r="AC61" s="4">
        <v>0.55595695845702642</v>
      </c>
      <c r="AD61" s="4">
        <f t="shared" si="3"/>
        <v>-0.8118337808362277</v>
      </c>
      <c r="AE61" s="4" t="e">
        <f t="shared" si="4"/>
        <v>#VALUE!</v>
      </c>
      <c r="AF61" s="3" t="e">
        <f t="shared" si="5"/>
        <v>#VALUE!</v>
      </c>
      <c r="AG61" s="3"/>
      <c r="AH61" s="4"/>
      <c r="AI61" s="3"/>
      <c r="AJ61" s="3"/>
      <c r="AK61" s="3"/>
    </row>
    <row r="62" spans="1:37" ht="12.75" customHeight="1" x14ac:dyDescent="0.2">
      <c r="A62" s="14">
        <v>53</v>
      </c>
      <c r="B62" s="27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4"/>
      <c r="Y62" s="23"/>
      <c r="Z62" s="4" t="str">
        <f t="shared" si="0"/>
        <v/>
      </c>
      <c r="AA62" s="4" t="str">
        <f t="shared" si="1"/>
        <v/>
      </c>
      <c r="AB62" s="4" t="str">
        <f t="shared" si="2"/>
        <v/>
      </c>
      <c r="AC62" s="4">
        <v>0.55595695845702642</v>
      </c>
      <c r="AD62" s="4">
        <f t="shared" si="3"/>
        <v>-0.8118337808362277</v>
      </c>
      <c r="AE62" s="4" t="e">
        <f t="shared" si="4"/>
        <v>#VALUE!</v>
      </c>
      <c r="AF62" s="3" t="e">
        <f t="shared" si="5"/>
        <v>#VALUE!</v>
      </c>
      <c r="AG62" s="3"/>
      <c r="AH62" s="4"/>
      <c r="AI62" s="3"/>
      <c r="AJ62" s="3"/>
      <c r="AK62" s="3"/>
    </row>
    <row r="63" spans="1:37" ht="12.75" customHeight="1" x14ac:dyDescent="0.2">
      <c r="A63" s="14">
        <v>54</v>
      </c>
      <c r="B63" s="27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4"/>
      <c r="Y63" s="23"/>
      <c r="Z63" s="4" t="str">
        <f t="shared" si="0"/>
        <v/>
      </c>
      <c r="AA63" s="4" t="str">
        <f t="shared" si="1"/>
        <v/>
      </c>
      <c r="AB63" s="4" t="str">
        <f t="shared" si="2"/>
        <v/>
      </c>
      <c r="AC63" s="4">
        <v>0.55595695845702642</v>
      </c>
      <c r="AD63" s="4">
        <f t="shared" si="3"/>
        <v>-0.8118337808362277</v>
      </c>
      <c r="AE63" s="4" t="e">
        <f t="shared" si="4"/>
        <v>#VALUE!</v>
      </c>
      <c r="AF63" s="3" t="e">
        <f t="shared" si="5"/>
        <v>#VALUE!</v>
      </c>
      <c r="AG63" s="3"/>
      <c r="AH63" s="4"/>
      <c r="AI63" s="3"/>
      <c r="AJ63" s="3"/>
      <c r="AK63" s="3"/>
    </row>
    <row r="64" spans="1:37" ht="12.75" customHeight="1" x14ac:dyDescent="0.2">
      <c r="A64" s="14">
        <v>55</v>
      </c>
      <c r="B64" s="27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4"/>
      <c r="Y64" s="23"/>
      <c r="Z64" s="4" t="str">
        <f t="shared" si="0"/>
        <v/>
      </c>
      <c r="AA64" s="4" t="str">
        <f t="shared" si="1"/>
        <v/>
      </c>
      <c r="AB64" s="4" t="str">
        <f t="shared" si="2"/>
        <v/>
      </c>
      <c r="AC64" s="4">
        <v>0.55595695845702642</v>
      </c>
      <c r="AD64" s="4">
        <f t="shared" si="3"/>
        <v>-0.8118337808362277</v>
      </c>
      <c r="AE64" s="4" t="e">
        <f t="shared" si="4"/>
        <v>#VALUE!</v>
      </c>
      <c r="AF64" s="3" t="e">
        <f t="shared" si="5"/>
        <v>#VALUE!</v>
      </c>
      <c r="AG64" s="3"/>
      <c r="AH64" s="4"/>
      <c r="AI64" s="3"/>
      <c r="AJ64" s="3"/>
      <c r="AK64" s="3"/>
    </row>
    <row r="65" spans="1:37" ht="12.75" customHeight="1" x14ac:dyDescent="0.2">
      <c r="A65" s="14">
        <v>56</v>
      </c>
      <c r="B65" s="27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4"/>
      <c r="Y65" s="23"/>
      <c r="Z65" s="4" t="str">
        <f t="shared" si="0"/>
        <v/>
      </c>
      <c r="AA65" s="4" t="str">
        <f t="shared" si="1"/>
        <v/>
      </c>
      <c r="AB65" s="4" t="str">
        <f t="shared" si="2"/>
        <v/>
      </c>
      <c r="AC65" s="4">
        <v>0.55595695845702642</v>
      </c>
      <c r="AD65" s="4">
        <f t="shared" si="3"/>
        <v>-0.8118337808362277</v>
      </c>
      <c r="AE65" s="4" t="e">
        <f t="shared" si="4"/>
        <v>#VALUE!</v>
      </c>
      <c r="AF65" s="3" t="e">
        <f t="shared" si="5"/>
        <v>#VALUE!</v>
      </c>
      <c r="AG65" s="3"/>
      <c r="AH65" s="4"/>
      <c r="AI65" s="3"/>
      <c r="AJ65" s="3"/>
      <c r="AK65" s="3"/>
    </row>
    <row r="66" spans="1:37" ht="12.75" customHeight="1" x14ac:dyDescent="0.2">
      <c r="A66" s="14">
        <v>57</v>
      </c>
      <c r="B66" s="27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4"/>
      <c r="Y66" s="23"/>
      <c r="Z66" s="4" t="str">
        <f t="shared" si="0"/>
        <v/>
      </c>
      <c r="AA66" s="4" t="str">
        <f t="shared" si="1"/>
        <v/>
      </c>
      <c r="AB66" s="4" t="str">
        <f t="shared" si="2"/>
        <v/>
      </c>
      <c r="AC66" s="4">
        <v>0.55595695845702642</v>
      </c>
      <c r="AD66" s="4">
        <f t="shared" si="3"/>
        <v>-0.8118337808362277</v>
      </c>
      <c r="AE66" s="4" t="e">
        <f t="shared" si="4"/>
        <v>#VALUE!</v>
      </c>
      <c r="AF66" s="3" t="e">
        <f t="shared" si="5"/>
        <v>#VALUE!</v>
      </c>
      <c r="AG66" s="3"/>
      <c r="AH66" s="4"/>
      <c r="AI66" s="3"/>
      <c r="AJ66" s="3"/>
      <c r="AK66" s="3"/>
    </row>
    <row r="67" spans="1:37" ht="12.75" customHeight="1" x14ac:dyDescent="0.2">
      <c r="A67" s="14">
        <v>58</v>
      </c>
      <c r="B67" s="27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4"/>
      <c r="Y67" s="23"/>
      <c r="Z67" s="4" t="str">
        <f t="shared" si="0"/>
        <v/>
      </c>
      <c r="AA67" s="4" t="str">
        <f t="shared" si="1"/>
        <v/>
      </c>
      <c r="AB67" s="4" t="str">
        <f t="shared" si="2"/>
        <v/>
      </c>
      <c r="AC67" s="4">
        <v>0.55595695845702642</v>
      </c>
      <c r="AD67" s="4">
        <f t="shared" si="3"/>
        <v>-0.8118337808362277</v>
      </c>
      <c r="AE67" s="4" t="e">
        <f t="shared" si="4"/>
        <v>#VALUE!</v>
      </c>
      <c r="AF67" s="3" t="e">
        <f t="shared" si="5"/>
        <v>#VALUE!</v>
      </c>
      <c r="AG67" s="3"/>
      <c r="AH67" s="4"/>
      <c r="AI67" s="3"/>
      <c r="AJ67" s="3"/>
      <c r="AK67" s="3"/>
    </row>
    <row r="68" spans="1:37" ht="12.75" customHeight="1" x14ac:dyDescent="0.2">
      <c r="A68" s="14">
        <v>59</v>
      </c>
      <c r="B68" s="27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4"/>
      <c r="Y68" s="23"/>
      <c r="Z68" s="4" t="str">
        <f t="shared" si="0"/>
        <v/>
      </c>
      <c r="AA68" s="4" t="str">
        <f t="shared" si="1"/>
        <v/>
      </c>
      <c r="AB68" s="4" t="str">
        <f t="shared" si="2"/>
        <v/>
      </c>
      <c r="AC68" s="4">
        <v>0.55595695845702642</v>
      </c>
      <c r="AD68" s="4">
        <f t="shared" si="3"/>
        <v>-0.8118337808362277</v>
      </c>
      <c r="AE68" s="4" t="e">
        <f t="shared" si="4"/>
        <v>#VALUE!</v>
      </c>
      <c r="AF68" s="3" t="e">
        <f t="shared" si="5"/>
        <v>#VALUE!</v>
      </c>
      <c r="AG68" s="3"/>
      <c r="AH68" s="4"/>
      <c r="AI68" s="3"/>
      <c r="AJ68" s="3"/>
      <c r="AK68" s="3"/>
    </row>
    <row r="69" spans="1:37" ht="12.75" customHeight="1" x14ac:dyDescent="0.2">
      <c r="A69" s="14">
        <v>60</v>
      </c>
      <c r="B69" s="27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4"/>
      <c r="Y69" s="23"/>
      <c r="Z69" s="4" t="str">
        <f t="shared" si="0"/>
        <v/>
      </c>
      <c r="AA69" s="4" t="str">
        <f t="shared" si="1"/>
        <v/>
      </c>
      <c r="AB69" s="4" t="str">
        <f t="shared" si="2"/>
        <v/>
      </c>
      <c r="AC69" s="4">
        <v>0.55595695845702642</v>
      </c>
      <c r="AD69" s="4">
        <f t="shared" si="3"/>
        <v>-0.8118337808362277</v>
      </c>
      <c r="AE69" s="4" t="e">
        <f t="shared" si="4"/>
        <v>#VALUE!</v>
      </c>
      <c r="AF69" s="3" t="e">
        <f t="shared" si="5"/>
        <v>#VALUE!</v>
      </c>
      <c r="AG69" s="3"/>
      <c r="AH69" s="4"/>
      <c r="AI69" s="3"/>
      <c r="AJ69" s="3"/>
      <c r="AK69" s="3"/>
    </row>
    <row r="70" spans="1:37" ht="12.75" customHeight="1" x14ac:dyDescent="0.2">
      <c r="A70" s="14">
        <v>61</v>
      </c>
      <c r="B70" s="27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4"/>
      <c r="Y70" s="23"/>
      <c r="Z70" s="4" t="str">
        <f t="shared" si="0"/>
        <v/>
      </c>
      <c r="AA70" s="4" t="str">
        <f t="shared" si="1"/>
        <v/>
      </c>
      <c r="AB70" s="4" t="str">
        <f t="shared" si="2"/>
        <v/>
      </c>
      <c r="AC70" s="4">
        <v>0.55595695845702642</v>
      </c>
      <c r="AD70" s="4">
        <f t="shared" si="3"/>
        <v>-0.8118337808362277</v>
      </c>
      <c r="AE70" s="4" t="e">
        <f t="shared" si="4"/>
        <v>#VALUE!</v>
      </c>
      <c r="AF70" s="3" t="e">
        <f t="shared" si="5"/>
        <v>#VALUE!</v>
      </c>
      <c r="AG70" s="3"/>
      <c r="AH70" s="4"/>
      <c r="AI70" s="3"/>
      <c r="AJ70" s="3"/>
      <c r="AK70" s="3"/>
    </row>
    <row r="71" spans="1:37" ht="12.75" customHeight="1" x14ac:dyDescent="0.2">
      <c r="A71" s="14">
        <v>62</v>
      </c>
      <c r="B71" s="27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4"/>
      <c r="Y71" s="23"/>
      <c r="Z71" s="4" t="str">
        <f t="shared" si="0"/>
        <v/>
      </c>
      <c r="AA71" s="4" t="str">
        <f t="shared" si="1"/>
        <v/>
      </c>
      <c r="AB71" s="4" t="str">
        <f t="shared" si="2"/>
        <v/>
      </c>
      <c r="AC71" s="4">
        <v>0.55595695845702642</v>
      </c>
      <c r="AD71" s="4">
        <f t="shared" si="3"/>
        <v>-0.8118337808362277</v>
      </c>
      <c r="AE71" s="4" t="e">
        <f t="shared" si="4"/>
        <v>#VALUE!</v>
      </c>
      <c r="AF71" s="3" t="e">
        <f t="shared" si="5"/>
        <v>#VALUE!</v>
      </c>
      <c r="AG71" s="3"/>
      <c r="AH71" s="4"/>
      <c r="AI71" s="3"/>
      <c r="AJ71" s="3"/>
      <c r="AK71" s="3"/>
    </row>
    <row r="72" spans="1:37" ht="12.75" customHeight="1" x14ac:dyDescent="0.2">
      <c r="A72" s="14">
        <v>63</v>
      </c>
      <c r="B72" s="27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4"/>
      <c r="Y72" s="23"/>
      <c r="Z72" s="4" t="str">
        <f t="shared" si="0"/>
        <v/>
      </c>
      <c r="AA72" s="4" t="str">
        <f t="shared" si="1"/>
        <v/>
      </c>
      <c r="AB72" s="4" t="str">
        <f t="shared" si="2"/>
        <v/>
      </c>
      <c r="AC72" s="4">
        <v>0.55595695845702642</v>
      </c>
      <c r="AD72" s="4">
        <f t="shared" si="3"/>
        <v>-0.8118337808362277</v>
      </c>
      <c r="AE72" s="4" t="e">
        <f t="shared" si="4"/>
        <v>#VALUE!</v>
      </c>
      <c r="AF72" s="3" t="e">
        <f t="shared" si="5"/>
        <v>#VALUE!</v>
      </c>
      <c r="AG72" s="3"/>
      <c r="AH72" s="4"/>
      <c r="AI72" s="3"/>
      <c r="AJ72" s="3"/>
      <c r="AK72" s="3"/>
    </row>
    <row r="73" spans="1:37" ht="12.75" customHeight="1" x14ac:dyDescent="0.2">
      <c r="A73" s="14">
        <v>64</v>
      </c>
      <c r="B73" s="27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4"/>
      <c r="Y73" s="23"/>
      <c r="Z73" s="4" t="str">
        <f t="shared" si="0"/>
        <v/>
      </c>
      <c r="AA73" s="4" t="str">
        <f t="shared" si="1"/>
        <v/>
      </c>
      <c r="AB73" s="4" t="str">
        <f t="shared" si="2"/>
        <v/>
      </c>
      <c r="AC73" s="4">
        <v>0.55595695845702642</v>
      </c>
      <c r="AD73" s="4">
        <f t="shared" si="3"/>
        <v>-0.8118337808362277</v>
      </c>
      <c r="AE73" s="4" t="e">
        <f t="shared" si="4"/>
        <v>#VALUE!</v>
      </c>
      <c r="AF73" s="3" t="e">
        <f t="shared" si="5"/>
        <v>#VALUE!</v>
      </c>
      <c r="AG73" s="3"/>
      <c r="AH73" s="4"/>
      <c r="AI73" s="3"/>
      <c r="AJ73" s="3"/>
      <c r="AK73" s="3"/>
    </row>
    <row r="74" spans="1:37" ht="12.75" customHeight="1" x14ac:dyDescent="0.2">
      <c r="A74" s="14">
        <v>65</v>
      </c>
      <c r="B74" s="27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4"/>
      <c r="Y74" s="23"/>
      <c r="Z74" s="4" t="str">
        <f t="shared" si="0"/>
        <v/>
      </c>
      <c r="AA74" s="4" t="str">
        <f t="shared" si="1"/>
        <v/>
      </c>
      <c r="AB74" s="4" t="str">
        <f t="shared" si="2"/>
        <v/>
      </c>
      <c r="AC74" s="4">
        <v>0.55595695845702642</v>
      </c>
      <c r="AD74" s="4">
        <f t="shared" si="3"/>
        <v>-0.8118337808362277</v>
      </c>
      <c r="AE74" s="4" t="e">
        <f t="shared" si="4"/>
        <v>#VALUE!</v>
      </c>
      <c r="AF74" s="3" t="e">
        <f t="shared" si="5"/>
        <v>#VALUE!</v>
      </c>
      <c r="AG74" s="3"/>
      <c r="AH74" s="4"/>
      <c r="AI74" s="3"/>
      <c r="AJ74" s="3"/>
      <c r="AK74" s="3"/>
    </row>
    <row r="75" spans="1:37" ht="12.75" customHeight="1" x14ac:dyDescent="0.2">
      <c r="A75" s="14">
        <v>66</v>
      </c>
      <c r="B75" s="27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4"/>
      <c r="Y75" s="23"/>
      <c r="Z75" s="4" t="str">
        <f t="shared" si="0"/>
        <v/>
      </c>
      <c r="AA75" s="4" t="str">
        <f t="shared" si="1"/>
        <v/>
      </c>
      <c r="AB75" s="4" t="str">
        <f t="shared" si="2"/>
        <v/>
      </c>
      <c r="AC75" s="4">
        <v>0.55595695845702642</v>
      </c>
      <c r="AD75" s="4">
        <f t="shared" si="3"/>
        <v>-0.8118337808362277</v>
      </c>
      <c r="AE75" s="4" t="e">
        <f t="shared" si="4"/>
        <v>#VALUE!</v>
      </c>
      <c r="AF75" s="3" t="e">
        <f t="shared" si="5"/>
        <v>#VALUE!</v>
      </c>
      <c r="AG75" s="3"/>
      <c r="AH75" s="4"/>
      <c r="AI75" s="3"/>
      <c r="AJ75" s="3"/>
      <c r="AK75" s="3"/>
    </row>
    <row r="76" spans="1:37" ht="12.75" customHeight="1" x14ac:dyDescent="0.2">
      <c r="A76" s="14">
        <v>67</v>
      </c>
      <c r="B76" s="27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4"/>
      <c r="Y76" s="23"/>
      <c r="Z76" s="4" t="str">
        <f t="shared" si="0"/>
        <v/>
      </c>
      <c r="AA76" s="4" t="str">
        <f t="shared" si="1"/>
        <v/>
      </c>
      <c r="AB76" s="4" t="str">
        <f t="shared" si="2"/>
        <v/>
      </c>
      <c r="AC76" s="4">
        <v>0.55595695845702642</v>
      </c>
      <c r="AD76" s="4">
        <f t="shared" si="3"/>
        <v>-0.8118337808362277</v>
      </c>
      <c r="AE76" s="4" t="e">
        <f t="shared" si="4"/>
        <v>#VALUE!</v>
      </c>
      <c r="AF76" s="3" t="e">
        <f t="shared" si="5"/>
        <v>#VALUE!</v>
      </c>
      <c r="AG76" s="3"/>
      <c r="AH76" s="4"/>
      <c r="AI76" s="3"/>
      <c r="AJ76" s="3"/>
      <c r="AK76" s="3"/>
    </row>
    <row r="77" spans="1:37" ht="12.75" customHeight="1" x14ac:dyDescent="0.2">
      <c r="A77" s="14">
        <v>68</v>
      </c>
      <c r="B77" s="27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4"/>
      <c r="Y77" s="23"/>
      <c r="Z77" s="4" t="str">
        <f t="shared" si="0"/>
        <v/>
      </c>
      <c r="AA77" s="4" t="str">
        <f t="shared" si="1"/>
        <v/>
      </c>
      <c r="AB77" s="4" t="str">
        <f t="shared" si="2"/>
        <v/>
      </c>
      <c r="AC77" s="4">
        <v>0.55595695845702642</v>
      </c>
      <c r="AD77" s="4">
        <f t="shared" si="3"/>
        <v>-0.8118337808362277</v>
      </c>
      <c r="AE77" s="4" t="e">
        <f t="shared" si="4"/>
        <v>#VALUE!</v>
      </c>
      <c r="AF77" s="3" t="e">
        <f t="shared" si="5"/>
        <v>#VALUE!</v>
      </c>
      <c r="AG77" s="3"/>
      <c r="AH77" s="4"/>
      <c r="AI77" s="3"/>
      <c r="AJ77" s="3"/>
      <c r="AK77" s="3"/>
    </row>
    <row r="78" spans="1:37" ht="12.75" customHeight="1" x14ac:dyDescent="0.2">
      <c r="A78" s="14">
        <v>69</v>
      </c>
      <c r="B78" s="27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4"/>
      <c r="Y78" s="23"/>
      <c r="Z78" s="4" t="str">
        <f t="shared" si="0"/>
        <v/>
      </c>
      <c r="AA78" s="4" t="str">
        <f t="shared" si="1"/>
        <v/>
      </c>
      <c r="AB78" s="4" t="str">
        <f t="shared" si="2"/>
        <v/>
      </c>
      <c r="AC78" s="4">
        <v>0.55595695845702642</v>
      </c>
      <c r="AD78" s="4">
        <f t="shared" si="3"/>
        <v>-0.8118337808362277</v>
      </c>
      <c r="AE78" s="4" t="e">
        <f t="shared" si="4"/>
        <v>#VALUE!</v>
      </c>
      <c r="AF78" s="3" t="e">
        <f t="shared" si="5"/>
        <v>#VALUE!</v>
      </c>
      <c r="AG78" s="3"/>
      <c r="AH78" s="4"/>
      <c r="AI78" s="3"/>
      <c r="AJ78" s="3"/>
      <c r="AK78" s="3"/>
    </row>
    <row r="79" spans="1:37" ht="12.75" customHeight="1" x14ac:dyDescent="0.2">
      <c r="A79" s="14">
        <v>70</v>
      </c>
      <c r="B79" s="27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4"/>
      <c r="Y79" s="23"/>
      <c r="Z79" s="4" t="str">
        <f t="shared" si="0"/>
        <v/>
      </c>
      <c r="AA79" s="4" t="str">
        <f t="shared" si="1"/>
        <v/>
      </c>
      <c r="AB79" s="4" t="str">
        <f t="shared" si="2"/>
        <v/>
      </c>
      <c r="AC79" s="4">
        <v>0.55595695845702642</v>
      </c>
      <c r="AD79" s="4">
        <f t="shared" si="3"/>
        <v>-0.8118337808362277</v>
      </c>
      <c r="AE79" s="4" t="e">
        <f t="shared" si="4"/>
        <v>#VALUE!</v>
      </c>
      <c r="AF79" s="3" t="e">
        <f t="shared" si="5"/>
        <v>#VALUE!</v>
      </c>
      <c r="AG79" s="3"/>
      <c r="AH79" s="4"/>
      <c r="AI79" s="3"/>
      <c r="AJ79" s="3"/>
      <c r="AK79" s="3"/>
    </row>
    <row r="80" spans="1:37" ht="12.75" customHeight="1" x14ac:dyDescent="0.2">
      <c r="A80" s="14">
        <v>71</v>
      </c>
      <c r="B80" s="27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4"/>
      <c r="Y80" s="23"/>
      <c r="Z80" s="4" t="str">
        <f t="shared" si="0"/>
        <v/>
      </c>
      <c r="AA80" s="4" t="str">
        <f t="shared" si="1"/>
        <v/>
      </c>
      <c r="AB80" s="4" t="str">
        <f t="shared" si="2"/>
        <v/>
      </c>
      <c r="AC80" s="4">
        <v>0.55595695845702642</v>
      </c>
      <c r="AD80" s="4">
        <f t="shared" si="3"/>
        <v>-0.8118337808362277</v>
      </c>
      <c r="AE80" s="4" t="e">
        <f t="shared" si="4"/>
        <v>#VALUE!</v>
      </c>
      <c r="AF80" s="3" t="e">
        <f t="shared" si="5"/>
        <v>#VALUE!</v>
      </c>
      <c r="AG80" s="3"/>
      <c r="AH80" s="4"/>
      <c r="AI80" s="3"/>
      <c r="AJ80" s="3"/>
      <c r="AK80" s="3"/>
    </row>
    <row r="81" spans="1:37" ht="12.75" customHeight="1" x14ac:dyDescent="0.2">
      <c r="A81" s="14">
        <v>72</v>
      </c>
      <c r="B81" s="27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4"/>
      <c r="Y81" s="23"/>
      <c r="Z81" s="4" t="str">
        <f t="shared" si="0"/>
        <v/>
      </c>
      <c r="AA81" s="4" t="str">
        <f t="shared" si="1"/>
        <v/>
      </c>
      <c r="AB81" s="4" t="str">
        <f t="shared" si="2"/>
        <v/>
      </c>
      <c r="AC81" s="4">
        <v>0.55595695845702642</v>
      </c>
      <c r="AD81" s="4">
        <f t="shared" si="3"/>
        <v>-0.8118337808362277</v>
      </c>
      <c r="AE81" s="4" t="e">
        <f t="shared" si="4"/>
        <v>#VALUE!</v>
      </c>
      <c r="AF81" s="3" t="e">
        <f t="shared" si="5"/>
        <v>#VALUE!</v>
      </c>
      <c r="AG81" s="3"/>
      <c r="AH81" s="4"/>
      <c r="AI81" s="3"/>
      <c r="AJ81" s="3"/>
      <c r="AK81" s="3"/>
    </row>
    <row r="82" spans="1:37" ht="12.75" customHeight="1" x14ac:dyDescent="0.2">
      <c r="A82" s="14">
        <v>73</v>
      </c>
      <c r="B82" s="27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4"/>
      <c r="Y82" s="23"/>
      <c r="Z82" s="4" t="str">
        <f t="shared" si="0"/>
        <v/>
      </c>
      <c r="AA82" s="4" t="str">
        <f t="shared" si="1"/>
        <v/>
      </c>
      <c r="AB82" s="4" t="str">
        <f t="shared" si="2"/>
        <v/>
      </c>
      <c r="AC82" s="4">
        <v>9.7714813304124626E-2</v>
      </c>
      <c r="AD82" s="4">
        <f t="shared" si="3"/>
        <v>-0.10282463738800247</v>
      </c>
      <c r="AE82" s="4" t="e">
        <f t="shared" si="4"/>
        <v>#VALUE!</v>
      </c>
      <c r="AF82" s="3" t="e">
        <f t="shared" si="5"/>
        <v>#VALUE!</v>
      </c>
      <c r="AG82" s="3"/>
      <c r="AH82" s="4"/>
      <c r="AI82" s="3"/>
      <c r="AJ82" s="3"/>
      <c r="AK82" s="3"/>
    </row>
    <row r="83" spans="1:37" ht="12.75" customHeight="1" x14ac:dyDescent="0.2">
      <c r="A83" s="14">
        <v>74</v>
      </c>
      <c r="B83" s="27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4"/>
      <c r="Y83" s="23"/>
      <c r="Z83" s="4" t="str">
        <f t="shared" si="0"/>
        <v/>
      </c>
      <c r="AA83" s="4" t="str">
        <f t="shared" si="1"/>
        <v/>
      </c>
      <c r="AB83" s="4" t="str">
        <f t="shared" si="2"/>
        <v/>
      </c>
      <c r="AC83" s="4">
        <v>9.7714813304124626E-2</v>
      </c>
      <c r="AD83" s="4">
        <f t="shared" si="3"/>
        <v>-0.10282463738800247</v>
      </c>
      <c r="AE83" s="4" t="e">
        <f t="shared" si="4"/>
        <v>#VALUE!</v>
      </c>
      <c r="AF83" s="3" t="e">
        <f t="shared" si="5"/>
        <v>#VALUE!</v>
      </c>
      <c r="AG83" s="3"/>
      <c r="AH83" s="4"/>
      <c r="AI83" s="3"/>
      <c r="AJ83" s="3"/>
      <c r="AK83" s="3"/>
    </row>
    <row r="84" spans="1:37" ht="12.75" customHeight="1" x14ac:dyDescent="0.2">
      <c r="A84" s="14">
        <v>75</v>
      </c>
      <c r="B84" s="27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4"/>
      <c r="Y84" s="23"/>
      <c r="Z84" s="4" t="str">
        <f t="shared" si="0"/>
        <v/>
      </c>
      <c r="AA84" s="4" t="str">
        <f t="shared" si="1"/>
        <v/>
      </c>
      <c r="AB84" s="4" t="str">
        <f t="shared" si="2"/>
        <v/>
      </c>
      <c r="AC84" s="4">
        <v>9.7714813304124626E-2</v>
      </c>
      <c r="AD84" s="4">
        <f t="shared" si="3"/>
        <v>-0.10282463738800247</v>
      </c>
      <c r="AE84" s="4" t="e">
        <f t="shared" si="4"/>
        <v>#VALUE!</v>
      </c>
      <c r="AF84" s="3" t="e">
        <f t="shared" si="5"/>
        <v>#VALUE!</v>
      </c>
      <c r="AG84" s="3"/>
      <c r="AH84" s="4"/>
      <c r="AI84" s="3"/>
      <c r="AJ84" s="3"/>
      <c r="AK84" s="3"/>
    </row>
    <row r="85" spans="1:37" ht="12.75" customHeight="1" x14ac:dyDescent="0.2">
      <c r="A85" s="14">
        <v>76</v>
      </c>
      <c r="B85" s="27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4"/>
      <c r="Y85" s="23"/>
      <c r="Z85" s="4" t="str">
        <f t="shared" si="0"/>
        <v/>
      </c>
      <c r="AA85" s="4" t="str">
        <f t="shared" si="1"/>
        <v/>
      </c>
      <c r="AB85" s="4" t="str">
        <f t="shared" si="2"/>
        <v/>
      </c>
      <c r="AC85" s="4">
        <v>9.7714813304124626E-2</v>
      </c>
      <c r="AD85" s="4">
        <f t="shared" si="3"/>
        <v>-0.10282463738800247</v>
      </c>
      <c r="AE85" s="4" t="e">
        <f t="shared" si="4"/>
        <v>#VALUE!</v>
      </c>
      <c r="AF85" s="3" t="e">
        <f t="shared" si="5"/>
        <v>#VALUE!</v>
      </c>
      <c r="AG85" s="3"/>
      <c r="AH85" s="4"/>
      <c r="AI85" s="3"/>
      <c r="AJ85" s="3"/>
      <c r="AK85" s="3"/>
    </row>
    <row r="86" spans="1:37" ht="12.75" customHeight="1" x14ac:dyDescent="0.2">
      <c r="A86" s="14">
        <v>77</v>
      </c>
      <c r="B86" s="27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4"/>
      <c r="Y86" s="23"/>
      <c r="Z86" s="4" t="str">
        <f t="shared" si="0"/>
        <v/>
      </c>
      <c r="AA86" s="4" t="str">
        <f t="shared" si="1"/>
        <v/>
      </c>
      <c r="AB86" s="4" t="str">
        <f t="shared" si="2"/>
        <v/>
      </c>
      <c r="AC86" s="4">
        <v>9.7714813304124626E-2</v>
      </c>
      <c r="AD86" s="4">
        <f t="shared" si="3"/>
        <v>-0.10282463738800247</v>
      </c>
      <c r="AE86" s="4" t="e">
        <f t="shared" si="4"/>
        <v>#VALUE!</v>
      </c>
      <c r="AF86" s="3" t="e">
        <f t="shared" si="5"/>
        <v>#VALUE!</v>
      </c>
      <c r="AG86" s="3"/>
      <c r="AH86" s="4"/>
      <c r="AI86" s="3"/>
      <c r="AJ86" s="3"/>
      <c r="AK86" s="3"/>
    </row>
    <row r="87" spans="1:37" ht="12.75" customHeight="1" x14ac:dyDescent="0.2">
      <c r="A87" s="14">
        <v>78</v>
      </c>
      <c r="B87" s="27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4"/>
      <c r="Y87" s="23"/>
      <c r="Z87" s="4" t="str">
        <f t="shared" si="0"/>
        <v/>
      </c>
      <c r="AA87" s="4" t="str">
        <f t="shared" si="1"/>
        <v/>
      </c>
      <c r="AB87" s="4" t="str">
        <f t="shared" si="2"/>
        <v/>
      </c>
      <c r="AC87" s="4">
        <v>9.7714813304124626E-2</v>
      </c>
      <c r="AD87" s="4">
        <f t="shared" si="3"/>
        <v>-0.10282463738800247</v>
      </c>
      <c r="AE87" s="4" t="e">
        <f t="shared" si="4"/>
        <v>#VALUE!</v>
      </c>
      <c r="AF87" s="3" t="e">
        <f t="shared" si="5"/>
        <v>#VALUE!</v>
      </c>
      <c r="AG87" s="3"/>
      <c r="AH87" s="4"/>
      <c r="AI87" s="3"/>
      <c r="AJ87" s="3"/>
      <c r="AK87" s="3"/>
    </row>
    <row r="88" spans="1:37" ht="12.75" customHeight="1" x14ac:dyDescent="0.2">
      <c r="A88" s="14">
        <v>79</v>
      </c>
      <c r="B88" s="27"/>
      <c r="C88" s="3"/>
      <c r="D88" s="3"/>
      <c r="E88" s="30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4"/>
      <c r="Y88" s="23"/>
      <c r="Z88" s="4" t="str">
        <f t="shared" si="0"/>
        <v/>
      </c>
      <c r="AA88" s="4" t="str">
        <f t="shared" si="1"/>
        <v/>
      </c>
      <c r="AB88" s="4" t="str">
        <f t="shared" si="2"/>
        <v/>
      </c>
      <c r="AC88" s="4">
        <v>9.7714813304124626E-2</v>
      </c>
      <c r="AD88" s="4">
        <f t="shared" si="3"/>
        <v>-0.10282463738800247</v>
      </c>
      <c r="AE88" s="4" t="e">
        <f t="shared" si="4"/>
        <v>#VALUE!</v>
      </c>
      <c r="AF88" s="3" t="e">
        <f t="shared" si="5"/>
        <v>#VALUE!</v>
      </c>
      <c r="AG88" s="3"/>
      <c r="AH88" s="4"/>
      <c r="AI88" s="3"/>
      <c r="AJ88" s="3"/>
      <c r="AK88" s="3"/>
    </row>
    <row r="89" spans="1:37" ht="12.75" customHeight="1" x14ac:dyDescent="0.2">
      <c r="A89" s="14">
        <v>80</v>
      </c>
      <c r="B89" s="27"/>
      <c r="C89" s="3"/>
      <c r="D89" s="3"/>
      <c r="E89" s="30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4"/>
      <c r="Y89" s="23"/>
      <c r="Z89" s="4" t="str">
        <f t="shared" si="0"/>
        <v/>
      </c>
      <c r="AA89" s="4" t="str">
        <f t="shared" si="1"/>
        <v/>
      </c>
      <c r="AB89" s="4" t="str">
        <f t="shared" si="2"/>
        <v/>
      </c>
      <c r="AC89" s="4">
        <v>9.7714813304124626E-2</v>
      </c>
      <c r="AD89" s="4">
        <f t="shared" si="3"/>
        <v>-0.10282463738800247</v>
      </c>
      <c r="AE89" s="4" t="e">
        <f t="shared" si="4"/>
        <v>#VALUE!</v>
      </c>
      <c r="AF89" s="3" t="e">
        <f t="shared" si="5"/>
        <v>#VALUE!</v>
      </c>
      <c r="AG89" s="3"/>
      <c r="AH89" s="4"/>
      <c r="AI89" s="3"/>
      <c r="AJ89" s="3"/>
      <c r="AK89" s="3"/>
    </row>
    <row r="90" spans="1:37" ht="12.75" customHeight="1" x14ac:dyDescent="0.2">
      <c r="A90" s="14">
        <v>81</v>
      </c>
      <c r="B90" s="27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4"/>
      <c r="Y90" s="23"/>
      <c r="Z90" s="4" t="str">
        <f t="shared" si="0"/>
        <v/>
      </c>
      <c r="AA90" s="4" t="str">
        <f t="shared" si="1"/>
        <v/>
      </c>
      <c r="AB90" s="4" t="str">
        <f t="shared" si="2"/>
        <v/>
      </c>
      <c r="AC90" s="4">
        <v>9.7714813304124626E-2</v>
      </c>
      <c r="AD90" s="4">
        <f t="shared" si="3"/>
        <v>-0.10282463738800247</v>
      </c>
      <c r="AE90" s="4" t="e">
        <f t="shared" si="4"/>
        <v>#VALUE!</v>
      </c>
      <c r="AF90" s="3" t="e">
        <f t="shared" si="5"/>
        <v>#VALUE!</v>
      </c>
      <c r="AG90" s="3"/>
      <c r="AH90" s="4"/>
      <c r="AI90" s="3"/>
      <c r="AJ90" s="3"/>
      <c r="AK90" s="3"/>
    </row>
    <row r="91" spans="1:37" ht="12.75" customHeight="1" x14ac:dyDescent="0.2">
      <c r="A91" s="14">
        <v>82</v>
      </c>
      <c r="B91" s="27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4"/>
      <c r="Y91" s="23"/>
      <c r="Z91" s="4" t="str">
        <f t="shared" si="0"/>
        <v/>
      </c>
      <c r="AA91" s="4" t="str">
        <f t="shared" si="1"/>
        <v/>
      </c>
      <c r="AB91" s="4" t="str">
        <f t="shared" si="2"/>
        <v/>
      </c>
      <c r="AC91" s="4">
        <v>9.7714813304124626E-2</v>
      </c>
      <c r="AD91" s="4">
        <f t="shared" si="3"/>
        <v>-0.10282463738800247</v>
      </c>
      <c r="AE91" s="4" t="e">
        <f t="shared" si="4"/>
        <v>#VALUE!</v>
      </c>
      <c r="AF91" s="3" t="e">
        <f t="shared" si="5"/>
        <v>#VALUE!</v>
      </c>
      <c r="AG91" s="3"/>
      <c r="AH91" s="4"/>
      <c r="AI91" s="3"/>
      <c r="AJ91" s="3"/>
      <c r="AK91" s="3"/>
    </row>
    <row r="92" spans="1:37" ht="12.75" customHeight="1" x14ac:dyDescent="0.2">
      <c r="A92" s="14">
        <v>83</v>
      </c>
      <c r="B92" s="27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4"/>
      <c r="Y92" s="23"/>
      <c r="Z92" s="4" t="str">
        <f t="shared" si="0"/>
        <v/>
      </c>
      <c r="AA92" s="4" t="str">
        <f t="shared" si="1"/>
        <v/>
      </c>
      <c r="AB92" s="4" t="str">
        <f t="shared" si="2"/>
        <v/>
      </c>
      <c r="AC92" s="4">
        <v>9.7714813304124626E-2</v>
      </c>
      <c r="AD92" s="4">
        <f t="shared" si="3"/>
        <v>-0.10282463738800247</v>
      </c>
      <c r="AE92" s="4" t="e">
        <f t="shared" si="4"/>
        <v>#VALUE!</v>
      </c>
      <c r="AF92" s="3" t="e">
        <f t="shared" si="5"/>
        <v>#VALUE!</v>
      </c>
      <c r="AG92" s="3"/>
      <c r="AH92" s="4"/>
      <c r="AI92" s="3"/>
      <c r="AJ92" s="3"/>
      <c r="AK92" s="3"/>
    </row>
    <row r="93" spans="1:37" ht="12.75" customHeight="1" x14ac:dyDescent="0.2">
      <c r="A93" s="14">
        <v>84</v>
      </c>
      <c r="B93" s="27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4"/>
      <c r="Y93" s="23"/>
      <c r="Z93" s="4" t="str">
        <f t="shared" si="0"/>
        <v/>
      </c>
      <c r="AA93" s="4" t="str">
        <f t="shared" si="1"/>
        <v/>
      </c>
      <c r="AB93" s="4" t="str">
        <f t="shared" si="2"/>
        <v/>
      </c>
      <c r="AC93" s="4">
        <v>9.7714813304124626E-2</v>
      </c>
      <c r="AD93" s="4">
        <f t="shared" si="3"/>
        <v>-0.10282463738800247</v>
      </c>
      <c r="AE93" s="4" t="e">
        <f t="shared" si="4"/>
        <v>#VALUE!</v>
      </c>
      <c r="AF93" s="3" t="e">
        <f t="shared" si="5"/>
        <v>#VALUE!</v>
      </c>
      <c r="AG93" s="3"/>
      <c r="AH93" s="4"/>
      <c r="AI93" s="3"/>
      <c r="AJ93" s="3"/>
      <c r="AK93" s="3"/>
    </row>
    <row r="94" spans="1:37" ht="12.75" customHeight="1" x14ac:dyDescent="0.2">
      <c r="A94" s="14">
        <v>85</v>
      </c>
      <c r="B94" s="27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4"/>
      <c r="Y94" s="23"/>
      <c r="Z94" s="4" t="str">
        <f t="shared" si="0"/>
        <v/>
      </c>
      <c r="AA94" s="4" t="str">
        <f t="shared" si="1"/>
        <v/>
      </c>
      <c r="AB94" s="4" t="str">
        <f t="shared" si="2"/>
        <v/>
      </c>
      <c r="AC94" s="4">
        <v>9.7714813304124626E-2</v>
      </c>
      <c r="AD94" s="4">
        <f t="shared" si="3"/>
        <v>-0.10282463738800247</v>
      </c>
      <c r="AE94" s="4" t="e">
        <f t="shared" si="4"/>
        <v>#VALUE!</v>
      </c>
      <c r="AF94" s="3" t="e">
        <f t="shared" si="5"/>
        <v>#VALUE!</v>
      </c>
      <c r="AG94" s="3"/>
      <c r="AH94" s="4"/>
      <c r="AI94" s="3"/>
      <c r="AJ94" s="3"/>
      <c r="AK94" s="3"/>
    </row>
    <row r="95" spans="1:37" ht="12.75" customHeight="1" x14ac:dyDescent="0.2">
      <c r="A95" s="14">
        <v>86</v>
      </c>
      <c r="B95" s="27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4"/>
      <c r="Y95" s="23"/>
      <c r="Z95" s="4" t="str">
        <f t="shared" si="0"/>
        <v/>
      </c>
      <c r="AA95" s="4" t="str">
        <f t="shared" si="1"/>
        <v/>
      </c>
      <c r="AB95" s="4" t="str">
        <f t="shared" si="2"/>
        <v/>
      </c>
      <c r="AC95" s="4">
        <v>9.7714813304124626E-2</v>
      </c>
      <c r="AD95" s="4">
        <f t="shared" si="3"/>
        <v>-0.10282463738800247</v>
      </c>
      <c r="AE95" s="4" t="e">
        <f t="shared" si="4"/>
        <v>#VALUE!</v>
      </c>
      <c r="AF95" s="3" t="e">
        <f t="shared" si="5"/>
        <v>#VALUE!</v>
      </c>
      <c r="AG95" s="3"/>
      <c r="AH95" s="4"/>
      <c r="AI95" s="3"/>
      <c r="AJ95" s="3"/>
      <c r="AK95" s="3"/>
    </row>
    <row r="96" spans="1:37" ht="12.75" customHeight="1" x14ac:dyDescent="0.2">
      <c r="A96" s="14">
        <v>87</v>
      </c>
      <c r="B96" s="27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4"/>
      <c r="Y96" s="23"/>
      <c r="Z96" s="4" t="str">
        <f t="shared" si="0"/>
        <v/>
      </c>
      <c r="AA96" s="4" t="str">
        <f t="shared" si="1"/>
        <v/>
      </c>
      <c r="AB96" s="4" t="str">
        <f t="shared" si="2"/>
        <v/>
      </c>
      <c r="AC96" s="4">
        <v>9.7714813304124626E-2</v>
      </c>
      <c r="AD96" s="4">
        <f t="shared" si="3"/>
        <v>-0.10282463738800247</v>
      </c>
      <c r="AE96" s="4" t="e">
        <f t="shared" si="4"/>
        <v>#VALUE!</v>
      </c>
      <c r="AF96" s="3" t="e">
        <f t="shared" si="5"/>
        <v>#VALUE!</v>
      </c>
      <c r="AG96" s="3"/>
      <c r="AH96" s="4"/>
      <c r="AI96" s="3"/>
      <c r="AJ96" s="3"/>
      <c r="AK96" s="3"/>
    </row>
    <row r="97" spans="1:37" ht="12.75" customHeight="1" x14ac:dyDescent="0.2">
      <c r="A97" s="14">
        <v>88</v>
      </c>
      <c r="B97" s="27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4"/>
      <c r="Y97" s="23"/>
      <c r="Z97" s="4" t="str">
        <f t="shared" si="0"/>
        <v/>
      </c>
      <c r="AA97" s="4" t="str">
        <f t="shared" si="1"/>
        <v/>
      </c>
      <c r="AB97" s="4" t="str">
        <f t="shared" si="2"/>
        <v/>
      </c>
      <c r="AC97" s="4">
        <v>9.7714813304124626E-2</v>
      </c>
      <c r="AD97" s="4">
        <f t="shared" si="3"/>
        <v>-0.10282463738800247</v>
      </c>
      <c r="AE97" s="4" t="e">
        <f t="shared" si="4"/>
        <v>#VALUE!</v>
      </c>
      <c r="AF97" s="3" t="e">
        <f t="shared" si="5"/>
        <v>#VALUE!</v>
      </c>
      <c r="AG97" s="3"/>
      <c r="AH97" s="4"/>
      <c r="AI97" s="3"/>
      <c r="AJ97" s="3"/>
      <c r="AK97" s="3"/>
    </row>
    <row r="98" spans="1:37" ht="12.75" customHeight="1" x14ac:dyDescent="0.2">
      <c r="A98" s="14">
        <v>89</v>
      </c>
      <c r="B98" s="27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4"/>
      <c r="Y98" s="23"/>
      <c r="Z98" s="4" t="str">
        <f t="shared" si="0"/>
        <v/>
      </c>
      <c r="AA98" s="4" t="str">
        <f t="shared" si="1"/>
        <v/>
      </c>
      <c r="AB98" s="4" t="str">
        <f t="shared" si="2"/>
        <v/>
      </c>
      <c r="AC98" s="4">
        <v>9.7714813304124626E-2</v>
      </c>
      <c r="AD98" s="4">
        <f t="shared" si="3"/>
        <v>-0.10282463738800247</v>
      </c>
      <c r="AE98" s="4" t="e">
        <f t="shared" si="4"/>
        <v>#VALUE!</v>
      </c>
      <c r="AF98" s="3" t="e">
        <f t="shared" si="5"/>
        <v>#VALUE!</v>
      </c>
      <c r="AG98" s="3"/>
      <c r="AH98" s="4"/>
      <c r="AI98" s="3"/>
      <c r="AJ98" s="3"/>
      <c r="AK98" s="3"/>
    </row>
    <row r="99" spans="1:37" ht="12.75" customHeight="1" x14ac:dyDescent="0.2">
      <c r="A99" s="14">
        <v>90</v>
      </c>
      <c r="B99" s="27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4"/>
      <c r="Y99" s="23"/>
      <c r="Z99" s="4" t="str">
        <f t="shared" si="0"/>
        <v/>
      </c>
      <c r="AA99" s="4" t="str">
        <f t="shared" si="1"/>
        <v/>
      </c>
      <c r="AB99" s="4" t="str">
        <f t="shared" si="2"/>
        <v/>
      </c>
      <c r="AC99" s="4">
        <v>9.7714813304124626E-2</v>
      </c>
      <c r="AD99" s="4">
        <f t="shared" si="3"/>
        <v>-0.10282463738800247</v>
      </c>
      <c r="AE99" s="4" t="e">
        <f t="shared" si="4"/>
        <v>#VALUE!</v>
      </c>
      <c r="AF99" s="3" t="e">
        <f t="shared" si="5"/>
        <v>#VALUE!</v>
      </c>
      <c r="AG99" s="3"/>
      <c r="AH99" s="4"/>
      <c r="AI99" s="3"/>
      <c r="AJ99" s="3"/>
      <c r="AK99" s="3"/>
    </row>
    <row r="100" spans="1:37" ht="12.75" customHeight="1" x14ac:dyDescent="0.2">
      <c r="A100" s="14">
        <v>91</v>
      </c>
      <c r="B100" s="27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4"/>
      <c r="Y100" s="23"/>
      <c r="Z100" s="4" t="str">
        <f t="shared" si="0"/>
        <v/>
      </c>
      <c r="AA100" s="4" t="str">
        <f t="shared" si="1"/>
        <v/>
      </c>
      <c r="AB100" s="4" t="str">
        <f t="shared" si="2"/>
        <v/>
      </c>
      <c r="AC100" s="4">
        <v>9.7714813304124626E-2</v>
      </c>
      <c r="AD100" s="4">
        <f t="shared" si="3"/>
        <v>-0.10282463738800247</v>
      </c>
      <c r="AE100" s="4" t="e">
        <f t="shared" si="4"/>
        <v>#VALUE!</v>
      </c>
      <c r="AF100" s="3" t="e">
        <f t="shared" si="5"/>
        <v>#VALUE!</v>
      </c>
      <c r="AG100" s="3"/>
      <c r="AH100" s="4"/>
      <c r="AI100" s="3"/>
      <c r="AJ100" s="3"/>
      <c r="AK100" s="3"/>
    </row>
    <row r="101" spans="1:37" ht="12.75" customHeight="1" x14ac:dyDescent="0.2">
      <c r="A101" s="14">
        <v>92</v>
      </c>
      <c r="B101" s="27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4"/>
      <c r="Y101" s="23"/>
      <c r="Z101" s="4" t="str">
        <f t="shared" si="0"/>
        <v/>
      </c>
      <c r="AA101" s="4" t="str">
        <f t="shared" si="1"/>
        <v/>
      </c>
      <c r="AB101" s="4" t="str">
        <f t="shared" si="2"/>
        <v/>
      </c>
      <c r="AC101" s="4">
        <v>9.7714813304124626E-2</v>
      </c>
      <c r="AD101" s="4">
        <f t="shared" si="3"/>
        <v>-0.10282463738800247</v>
      </c>
      <c r="AE101" s="4" t="e">
        <f t="shared" si="4"/>
        <v>#VALUE!</v>
      </c>
      <c r="AF101" s="3" t="e">
        <f t="shared" si="5"/>
        <v>#VALUE!</v>
      </c>
      <c r="AG101" s="3"/>
      <c r="AH101" s="4"/>
      <c r="AI101" s="3"/>
      <c r="AJ101" s="3"/>
      <c r="AK101" s="3"/>
    </row>
    <row r="102" spans="1:37" ht="12.75" customHeight="1" x14ac:dyDescent="0.2">
      <c r="A102" s="14">
        <v>93</v>
      </c>
      <c r="B102" s="27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4"/>
      <c r="Y102" s="23"/>
      <c r="Z102" s="4" t="str">
        <f t="shared" si="0"/>
        <v/>
      </c>
      <c r="AA102" s="4" t="str">
        <f t="shared" si="1"/>
        <v/>
      </c>
      <c r="AB102" s="4" t="str">
        <f t="shared" si="2"/>
        <v/>
      </c>
      <c r="AC102" s="4">
        <v>9.7714813304124626E-2</v>
      </c>
      <c r="AD102" s="4">
        <f t="shared" si="3"/>
        <v>-0.10282463738800247</v>
      </c>
      <c r="AE102" s="4" t="e">
        <f t="shared" si="4"/>
        <v>#VALUE!</v>
      </c>
      <c r="AF102" s="3" t="e">
        <f t="shared" si="5"/>
        <v>#VALUE!</v>
      </c>
      <c r="AG102" s="3"/>
      <c r="AH102" s="4"/>
      <c r="AI102" s="3"/>
      <c r="AJ102" s="3"/>
      <c r="AK102" s="3"/>
    </row>
    <row r="103" spans="1:37" ht="12.75" customHeight="1" x14ac:dyDescent="0.2">
      <c r="A103" s="14">
        <v>94</v>
      </c>
      <c r="B103" s="27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4"/>
      <c r="Y103" s="23"/>
      <c r="Z103" s="4" t="str">
        <f t="shared" si="0"/>
        <v/>
      </c>
      <c r="AA103" s="4" t="str">
        <f t="shared" si="1"/>
        <v/>
      </c>
      <c r="AB103" s="4" t="str">
        <f t="shared" si="2"/>
        <v/>
      </c>
      <c r="AC103" s="4">
        <v>9.7714813304124626E-2</v>
      </c>
      <c r="AD103" s="4">
        <f t="shared" si="3"/>
        <v>-0.10282463738800247</v>
      </c>
      <c r="AE103" s="4" t="e">
        <f t="shared" si="4"/>
        <v>#VALUE!</v>
      </c>
      <c r="AF103" s="3" t="e">
        <f t="shared" si="5"/>
        <v>#VALUE!</v>
      </c>
      <c r="AG103" s="3"/>
      <c r="AH103" s="4"/>
      <c r="AI103" s="3"/>
      <c r="AJ103" s="3"/>
      <c r="AK103" s="3"/>
    </row>
    <row r="104" spans="1:37" ht="12.75" customHeight="1" x14ac:dyDescent="0.2">
      <c r="A104" s="14">
        <v>95</v>
      </c>
      <c r="B104" s="27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4"/>
      <c r="Y104" s="23"/>
      <c r="Z104" s="4" t="str">
        <f t="shared" si="0"/>
        <v/>
      </c>
      <c r="AA104" s="4" t="str">
        <f t="shared" si="1"/>
        <v/>
      </c>
      <c r="AB104" s="4" t="str">
        <f t="shared" si="2"/>
        <v/>
      </c>
      <c r="AC104" s="4">
        <v>9.7714813304124626E-2</v>
      </c>
      <c r="AD104" s="4">
        <f t="shared" si="3"/>
        <v>-0.10282463738800247</v>
      </c>
      <c r="AE104" s="4" t="e">
        <f t="shared" si="4"/>
        <v>#VALUE!</v>
      </c>
      <c r="AF104" s="3" t="e">
        <f t="shared" si="5"/>
        <v>#VALUE!</v>
      </c>
      <c r="AG104" s="3"/>
      <c r="AH104" s="4"/>
      <c r="AI104" s="3"/>
      <c r="AJ104" s="3"/>
      <c r="AK104" s="3"/>
    </row>
    <row r="105" spans="1:37" ht="12.75" customHeight="1" x14ac:dyDescent="0.2">
      <c r="A105" s="14">
        <v>96</v>
      </c>
      <c r="B105" s="27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4"/>
      <c r="Y105" s="23"/>
      <c r="Z105" s="4" t="str">
        <f t="shared" si="0"/>
        <v/>
      </c>
      <c r="AA105" s="4" t="str">
        <f t="shared" si="1"/>
        <v/>
      </c>
      <c r="AB105" s="4" t="str">
        <f t="shared" si="2"/>
        <v/>
      </c>
      <c r="AC105" s="4">
        <v>9.7714813304124626E-2</v>
      </c>
      <c r="AD105" s="4">
        <f t="shared" si="3"/>
        <v>-0.10282463738800247</v>
      </c>
      <c r="AE105" s="4" t="e">
        <f t="shared" si="4"/>
        <v>#VALUE!</v>
      </c>
      <c r="AF105" s="3" t="e">
        <f t="shared" si="5"/>
        <v>#VALUE!</v>
      </c>
      <c r="AG105" s="3"/>
      <c r="AH105" s="4"/>
      <c r="AI105" s="3"/>
      <c r="AJ105" s="3"/>
      <c r="AK105" s="3"/>
    </row>
    <row r="106" spans="1:37" ht="12.75" customHeight="1" x14ac:dyDescent="0.2">
      <c r="A106" s="14">
        <v>97</v>
      </c>
      <c r="B106" s="27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4"/>
      <c r="Y106" s="23"/>
      <c r="Z106" s="4" t="str">
        <f t="shared" si="0"/>
        <v/>
      </c>
      <c r="AA106" s="4" t="str">
        <f t="shared" si="1"/>
        <v/>
      </c>
      <c r="AB106" s="4" t="str">
        <f t="shared" si="2"/>
        <v/>
      </c>
      <c r="AC106" s="4">
        <v>9.7714813304124626E-2</v>
      </c>
      <c r="AD106" s="4">
        <f t="shared" si="3"/>
        <v>-0.10282463738800247</v>
      </c>
      <c r="AE106" s="4" t="e">
        <f t="shared" si="4"/>
        <v>#VALUE!</v>
      </c>
      <c r="AF106" s="3" t="e">
        <f t="shared" si="5"/>
        <v>#VALUE!</v>
      </c>
      <c r="AG106" s="3"/>
      <c r="AH106" s="4"/>
      <c r="AI106" s="3"/>
      <c r="AJ106" s="3"/>
      <c r="AK106" s="3"/>
    </row>
    <row r="107" spans="1:37" ht="12.75" customHeight="1" x14ac:dyDescent="0.2">
      <c r="A107" s="14">
        <v>98</v>
      </c>
      <c r="B107" s="27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4"/>
      <c r="Y107" s="23"/>
      <c r="Z107" s="4" t="str">
        <f t="shared" si="0"/>
        <v/>
      </c>
      <c r="AA107" s="4" t="str">
        <f t="shared" si="1"/>
        <v/>
      </c>
      <c r="AB107" s="4" t="str">
        <f t="shared" si="2"/>
        <v/>
      </c>
      <c r="AC107" s="4">
        <v>9.7714813304124626E-2</v>
      </c>
      <c r="AD107" s="4">
        <f t="shared" si="3"/>
        <v>-0.10282463738800247</v>
      </c>
      <c r="AE107" s="4" t="e">
        <f t="shared" si="4"/>
        <v>#VALUE!</v>
      </c>
      <c r="AF107" s="3" t="e">
        <f t="shared" si="5"/>
        <v>#VALUE!</v>
      </c>
      <c r="AG107" s="3"/>
      <c r="AH107" s="4"/>
      <c r="AI107" s="3"/>
      <c r="AJ107" s="3"/>
      <c r="AK107" s="3"/>
    </row>
    <row r="108" spans="1:37" ht="12.75" customHeight="1" x14ac:dyDescent="0.2">
      <c r="A108" s="14">
        <v>99</v>
      </c>
      <c r="B108" s="27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4"/>
      <c r="Y108" s="23"/>
      <c r="Z108" s="4" t="str">
        <f t="shared" si="0"/>
        <v/>
      </c>
      <c r="AA108" s="4" t="str">
        <f t="shared" si="1"/>
        <v/>
      </c>
      <c r="AB108" s="4" t="str">
        <f t="shared" si="2"/>
        <v/>
      </c>
      <c r="AC108" s="4">
        <v>9.7714813304124626E-2</v>
      </c>
      <c r="AD108" s="4">
        <f t="shared" si="3"/>
        <v>-0.10282463738800247</v>
      </c>
      <c r="AE108" s="4" t="e">
        <f t="shared" si="4"/>
        <v>#VALUE!</v>
      </c>
      <c r="AF108" s="3" t="e">
        <f t="shared" si="5"/>
        <v>#VALUE!</v>
      </c>
      <c r="AG108" s="3"/>
      <c r="AH108" s="4"/>
      <c r="AI108" s="3"/>
      <c r="AJ108" s="3"/>
      <c r="AK108" s="3"/>
    </row>
    <row r="109" spans="1:37" ht="12.75" customHeight="1" x14ac:dyDescent="0.2">
      <c r="A109" s="14">
        <v>100</v>
      </c>
      <c r="B109" s="27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4"/>
      <c r="Y109" s="23"/>
      <c r="Z109" s="4" t="str">
        <f t="shared" si="0"/>
        <v/>
      </c>
      <c r="AA109" s="4" t="str">
        <f t="shared" si="1"/>
        <v/>
      </c>
      <c r="AB109" s="4" t="str">
        <f t="shared" si="2"/>
        <v/>
      </c>
      <c r="AC109" s="4">
        <v>9.7714813304124626E-2</v>
      </c>
      <c r="AD109" s="4">
        <f t="shared" si="3"/>
        <v>-0.10282463738800247</v>
      </c>
      <c r="AE109" s="4" t="e">
        <f t="shared" si="4"/>
        <v>#VALUE!</v>
      </c>
      <c r="AF109" s="3" t="e">
        <f t="shared" si="5"/>
        <v>#VALUE!</v>
      </c>
      <c r="AG109" s="3"/>
      <c r="AH109" s="4"/>
      <c r="AI109" s="3"/>
      <c r="AJ109" s="3"/>
      <c r="AK109" s="3"/>
    </row>
    <row r="110" spans="1:37" ht="12.75" customHeight="1" x14ac:dyDescent="0.2">
      <c r="A110" s="14">
        <v>101</v>
      </c>
      <c r="B110" s="27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4"/>
      <c r="Y110" s="23"/>
      <c r="Z110" s="4" t="str">
        <f t="shared" si="0"/>
        <v/>
      </c>
      <c r="AA110" s="4" t="str">
        <f t="shared" si="1"/>
        <v/>
      </c>
      <c r="AB110" s="4" t="str">
        <f t="shared" si="2"/>
        <v/>
      </c>
      <c r="AC110" s="4">
        <v>9.7714813304124626E-2</v>
      </c>
      <c r="AD110" s="4">
        <f t="shared" si="3"/>
        <v>-0.10282463738800247</v>
      </c>
      <c r="AE110" s="4" t="e">
        <f t="shared" si="4"/>
        <v>#VALUE!</v>
      </c>
      <c r="AF110" s="3" t="e">
        <f t="shared" si="5"/>
        <v>#VALUE!</v>
      </c>
      <c r="AG110" s="3"/>
      <c r="AH110" s="4"/>
      <c r="AI110" s="3"/>
      <c r="AJ110" s="3"/>
      <c r="AK110" s="3"/>
    </row>
    <row r="111" spans="1:37" ht="12.75" customHeight="1" x14ac:dyDescent="0.2">
      <c r="A111" s="14">
        <v>102</v>
      </c>
      <c r="B111" s="27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4"/>
      <c r="Y111" s="23"/>
      <c r="Z111" s="4" t="str">
        <f t="shared" si="0"/>
        <v/>
      </c>
      <c r="AA111" s="4" t="str">
        <f t="shared" si="1"/>
        <v/>
      </c>
      <c r="AB111" s="4" t="str">
        <f t="shared" si="2"/>
        <v/>
      </c>
      <c r="AC111" s="4">
        <v>9.7714813304124626E-2</v>
      </c>
      <c r="AD111" s="4">
        <f t="shared" si="3"/>
        <v>-0.10282463738800247</v>
      </c>
      <c r="AE111" s="4" t="e">
        <f t="shared" si="4"/>
        <v>#VALUE!</v>
      </c>
      <c r="AF111" s="3" t="e">
        <f t="shared" si="5"/>
        <v>#VALUE!</v>
      </c>
      <c r="AG111" s="3"/>
      <c r="AH111" s="4"/>
      <c r="AI111" s="3"/>
      <c r="AJ111" s="3"/>
      <c r="AK111" s="3"/>
    </row>
    <row r="112" spans="1:37" ht="12.75" customHeight="1" x14ac:dyDescent="0.2">
      <c r="A112" s="14">
        <v>103</v>
      </c>
      <c r="B112" s="4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4"/>
      <c r="Y112" s="23"/>
      <c r="Z112" s="4" t="str">
        <f t="shared" si="0"/>
        <v/>
      </c>
      <c r="AA112" s="4" t="str">
        <f t="shared" si="1"/>
        <v/>
      </c>
      <c r="AB112" s="4" t="str">
        <f t="shared" si="2"/>
        <v/>
      </c>
      <c r="AC112" s="4">
        <v>0.71116421365638249</v>
      </c>
      <c r="AD112" s="4">
        <f t="shared" si="3"/>
        <v>-1.2418969657079695</v>
      </c>
      <c r="AE112" s="4" t="e">
        <f t="shared" si="4"/>
        <v>#VALUE!</v>
      </c>
      <c r="AF112" s="3" t="e">
        <f t="shared" si="5"/>
        <v>#VALUE!</v>
      </c>
      <c r="AG112" s="3"/>
      <c r="AH112" s="4"/>
      <c r="AI112" s="3"/>
      <c r="AJ112" s="3"/>
      <c r="AK112" s="3"/>
    </row>
    <row r="113" spans="1:37" ht="12.75" customHeight="1" x14ac:dyDescent="0.2">
      <c r="A113" s="14">
        <v>104</v>
      </c>
      <c r="B113" s="4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4"/>
      <c r="Y113" s="23"/>
      <c r="Z113" s="4" t="str">
        <f t="shared" si="0"/>
        <v/>
      </c>
      <c r="AA113" s="4" t="str">
        <f t="shared" si="1"/>
        <v/>
      </c>
      <c r="AB113" s="4" t="str">
        <f t="shared" si="2"/>
        <v/>
      </c>
      <c r="AC113" s="4">
        <v>0.71116421365638249</v>
      </c>
      <c r="AD113" s="4">
        <f t="shared" si="3"/>
        <v>-1.2418969657079695</v>
      </c>
      <c r="AE113" s="4" t="e">
        <f t="shared" si="4"/>
        <v>#VALUE!</v>
      </c>
      <c r="AF113" s="3" t="e">
        <f t="shared" si="5"/>
        <v>#VALUE!</v>
      </c>
      <c r="AG113" s="3"/>
      <c r="AH113" s="4"/>
      <c r="AI113" s="3"/>
      <c r="AJ113" s="3"/>
      <c r="AK113" s="3"/>
    </row>
    <row r="114" spans="1:37" ht="12.75" customHeight="1" x14ac:dyDescent="0.2">
      <c r="A114" s="14">
        <v>105</v>
      </c>
      <c r="B114" s="4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4"/>
      <c r="Y114" s="23"/>
      <c r="Z114" s="4" t="str">
        <f t="shared" si="0"/>
        <v/>
      </c>
      <c r="AA114" s="4" t="str">
        <f t="shared" si="1"/>
        <v/>
      </c>
      <c r="AB114" s="4" t="str">
        <f t="shared" si="2"/>
        <v/>
      </c>
      <c r="AC114" s="4">
        <v>0.71116421365638249</v>
      </c>
      <c r="AD114" s="4">
        <f t="shared" si="3"/>
        <v>-1.2418969657079695</v>
      </c>
      <c r="AE114" s="4" t="e">
        <f t="shared" si="4"/>
        <v>#VALUE!</v>
      </c>
      <c r="AF114" s="3" t="e">
        <f t="shared" si="5"/>
        <v>#VALUE!</v>
      </c>
      <c r="AG114" s="3"/>
      <c r="AH114" s="4"/>
      <c r="AI114" s="3"/>
      <c r="AJ114" s="3"/>
      <c r="AK114" s="3"/>
    </row>
    <row r="115" spans="1:37" ht="12.75" customHeight="1" x14ac:dyDescent="0.2">
      <c r="A115" s="14">
        <v>106</v>
      </c>
      <c r="B115" s="4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4"/>
      <c r="Y115" s="23"/>
      <c r="Z115" s="4" t="str">
        <f t="shared" si="0"/>
        <v/>
      </c>
      <c r="AA115" s="4" t="str">
        <f t="shared" si="1"/>
        <v/>
      </c>
      <c r="AB115" s="4" t="str">
        <f t="shared" si="2"/>
        <v/>
      </c>
      <c r="AC115" s="4">
        <v>0.71116421365638249</v>
      </c>
      <c r="AD115" s="4">
        <f t="shared" si="3"/>
        <v>-1.2418969657079695</v>
      </c>
      <c r="AE115" s="4" t="e">
        <f t="shared" si="4"/>
        <v>#VALUE!</v>
      </c>
      <c r="AF115" s="3" t="e">
        <f t="shared" si="5"/>
        <v>#VALUE!</v>
      </c>
      <c r="AG115" s="3"/>
      <c r="AH115" s="4"/>
      <c r="AI115" s="3"/>
      <c r="AJ115" s="3"/>
      <c r="AK115" s="3"/>
    </row>
    <row r="116" spans="1:37" ht="12.75" customHeight="1" x14ac:dyDescent="0.2">
      <c r="A116" s="14">
        <v>107</v>
      </c>
      <c r="B116" s="4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4"/>
      <c r="Y116" s="23"/>
      <c r="Z116" s="4" t="str">
        <f t="shared" si="0"/>
        <v/>
      </c>
      <c r="AA116" s="4" t="str">
        <f t="shared" si="1"/>
        <v/>
      </c>
      <c r="AB116" s="4" t="str">
        <f t="shared" si="2"/>
        <v/>
      </c>
      <c r="AC116" s="4">
        <v>0.71116421365638249</v>
      </c>
      <c r="AD116" s="4">
        <f t="shared" si="3"/>
        <v>-1.2418969657079695</v>
      </c>
      <c r="AE116" s="4" t="e">
        <f t="shared" si="4"/>
        <v>#VALUE!</v>
      </c>
      <c r="AF116" s="3" t="e">
        <f t="shared" si="5"/>
        <v>#VALUE!</v>
      </c>
      <c r="AG116" s="3"/>
      <c r="AH116" s="4"/>
      <c r="AI116" s="3"/>
      <c r="AJ116" s="3"/>
      <c r="AK116" s="3"/>
    </row>
    <row r="117" spans="1:37" ht="12.75" customHeight="1" x14ac:dyDescent="0.2">
      <c r="A117" s="14">
        <v>108</v>
      </c>
      <c r="B117" s="4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4"/>
      <c r="Y117" s="23"/>
      <c r="Z117" s="4" t="str">
        <f t="shared" si="0"/>
        <v/>
      </c>
      <c r="AA117" s="4" t="str">
        <f t="shared" si="1"/>
        <v/>
      </c>
      <c r="AB117" s="4" t="str">
        <f t="shared" si="2"/>
        <v/>
      </c>
      <c r="AC117" s="4">
        <v>0.71116421365638249</v>
      </c>
      <c r="AD117" s="4">
        <f t="shared" si="3"/>
        <v>-1.2418969657079695</v>
      </c>
      <c r="AE117" s="4" t="e">
        <f t="shared" si="4"/>
        <v>#VALUE!</v>
      </c>
      <c r="AF117" s="3" t="e">
        <f t="shared" si="5"/>
        <v>#VALUE!</v>
      </c>
      <c r="AG117" s="3"/>
      <c r="AH117" s="4"/>
      <c r="AI117" s="3"/>
      <c r="AJ117" s="3"/>
      <c r="AK117" s="3"/>
    </row>
    <row r="118" spans="1:37" ht="12.75" customHeight="1" x14ac:dyDescent="0.2">
      <c r="A118" s="14">
        <v>109</v>
      </c>
      <c r="B118" s="4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4"/>
      <c r="Y118" s="23"/>
      <c r="Z118" s="4" t="str">
        <f t="shared" si="0"/>
        <v/>
      </c>
      <c r="AA118" s="4" t="str">
        <f t="shared" si="1"/>
        <v/>
      </c>
      <c r="AB118" s="4" t="str">
        <f t="shared" si="2"/>
        <v/>
      </c>
      <c r="AC118" s="4">
        <v>0.71116421365638249</v>
      </c>
      <c r="AD118" s="4">
        <f t="shared" si="3"/>
        <v>-1.2418969657079695</v>
      </c>
      <c r="AE118" s="4" t="e">
        <f t="shared" si="4"/>
        <v>#VALUE!</v>
      </c>
      <c r="AF118" s="3" t="e">
        <f t="shared" si="5"/>
        <v>#VALUE!</v>
      </c>
      <c r="AG118" s="3"/>
      <c r="AH118" s="4"/>
      <c r="AI118" s="3"/>
      <c r="AJ118" s="3"/>
      <c r="AK118" s="3"/>
    </row>
    <row r="119" spans="1:37" ht="12.75" customHeight="1" x14ac:dyDescent="0.2">
      <c r="A119" s="14">
        <v>110</v>
      </c>
      <c r="B119" s="4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4"/>
      <c r="Y119" s="23"/>
      <c r="Z119" s="4" t="str">
        <f t="shared" si="0"/>
        <v/>
      </c>
      <c r="AA119" s="4" t="str">
        <f t="shared" si="1"/>
        <v/>
      </c>
      <c r="AB119" s="4" t="str">
        <f t="shared" si="2"/>
        <v/>
      </c>
      <c r="AC119" s="4">
        <v>0.71116421365638249</v>
      </c>
      <c r="AD119" s="4">
        <f t="shared" si="3"/>
        <v>-1.2418969657079695</v>
      </c>
      <c r="AE119" s="4" t="e">
        <f t="shared" si="4"/>
        <v>#VALUE!</v>
      </c>
      <c r="AF119" s="3" t="e">
        <f t="shared" si="5"/>
        <v>#VALUE!</v>
      </c>
      <c r="AG119" s="3"/>
      <c r="AH119" s="4"/>
      <c r="AI119" s="3"/>
      <c r="AJ119" s="3"/>
      <c r="AK119" s="3"/>
    </row>
    <row r="120" spans="1:37" ht="12.75" customHeight="1" x14ac:dyDescent="0.2">
      <c r="A120" s="14">
        <v>111</v>
      </c>
      <c r="B120" s="4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4"/>
      <c r="Y120" s="23"/>
      <c r="Z120" s="4" t="str">
        <f t="shared" si="0"/>
        <v/>
      </c>
      <c r="AA120" s="4" t="str">
        <f t="shared" si="1"/>
        <v/>
      </c>
      <c r="AB120" s="4" t="str">
        <f t="shared" si="2"/>
        <v/>
      </c>
      <c r="AC120" s="4">
        <v>0.70295069816700217</v>
      </c>
      <c r="AD120" s="4">
        <f t="shared" si="3"/>
        <v>-1.2138571545181165</v>
      </c>
      <c r="AE120" s="4" t="e">
        <f t="shared" si="4"/>
        <v>#VALUE!</v>
      </c>
      <c r="AF120" s="3" t="e">
        <f t="shared" si="5"/>
        <v>#VALUE!</v>
      </c>
      <c r="AG120" s="3"/>
      <c r="AH120" s="4"/>
      <c r="AI120" s="3"/>
      <c r="AJ120" s="3"/>
      <c r="AK120" s="3"/>
    </row>
    <row r="121" spans="1:37" ht="12.75" customHeight="1" x14ac:dyDescent="0.2">
      <c r="A121" s="14">
        <v>112</v>
      </c>
      <c r="B121" s="4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4"/>
      <c r="Y121" s="23"/>
      <c r="Z121" s="4" t="str">
        <f t="shared" si="0"/>
        <v/>
      </c>
      <c r="AA121" s="4" t="str">
        <f t="shared" si="1"/>
        <v/>
      </c>
      <c r="AB121" s="4" t="str">
        <f t="shared" si="2"/>
        <v/>
      </c>
      <c r="AC121" s="4">
        <v>0.70295069816700217</v>
      </c>
      <c r="AD121" s="4">
        <f t="shared" si="3"/>
        <v>-1.2138571545181165</v>
      </c>
      <c r="AE121" s="4" t="e">
        <f t="shared" si="4"/>
        <v>#VALUE!</v>
      </c>
      <c r="AF121" s="3" t="e">
        <f t="shared" si="5"/>
        <v>#VALUE!</v>
      </c>
      <c r="AG121" s="3"/>
      <c r="AH121" s="4"/>
      <c r="AI121" s="3"/>
      <c r="AJ121" s="3"/>
      <c r="AK121" s="3"/>
    </row>
    <row r="122" spans="1:37" ht="12.75" customHeight="1" x14ac:dyDescent="0.2">
      <c r="A122" s="14">
        <v>113</v>
      </c>
      <c r="B122" s="4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4"/>
      <c r="Y122" s="23"/>
      <c r="Z122" s="4" t="str">
        <f t="shared" si="0"/>
        <v/>
      </c>
      <c r="AA122" s="4" t="str">
        <f t="shared" si="1"/>
        <v/>
      </c>
      <c r="AB122" s="4" t="str">
        <f t="shared" si="2"/>
        <v/>
      </c>
      <c r="AC122" s="4">
        <v>0.70295069816700217</v>
      </c>
      <c r="AD122" s="4">
        <f t="shared" si="3"/>
        <v>-1.2138571545181165</v>
      </c>
      <c r="AE122" s="4" t="e">
        <f t="shared" si="4"/>
        <v>#VALUE!</v>
      </c>
      <c r="AF122" s="3" t="e">
        <f t="shared" si="5"/>
        <v>#VALUE!</v>
      </c>
      <c r="AG122" s="3"/>
      <c r="AH122" s="4"/>
      <c r="AI122" s="3"/>
      <c r="AJ122" s="3"/>
      <c r="AK122" s="3"/>
    </row>
    <row r="123" spans="1:37" ht="12.75" customHeight="1" x14ac:dyDescent="0.2">
      <c r="A123" s="14">
        <v>114</v>
      </c>
      <c r="B123" s="4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4"/>
      <c r="Y123" s="23"/>
      <c r="Z123" s="4" t="str">
        <f t="shared" si="0"/>
        <v/>
      </c>
      <c r="AA123" s="4" t="str">
        <f t="shared" si="1"/>
        <v/>
      </c>
      <c r="AB123" s="4" t="str">
        <f t="shared" si="2"/>
        <v/>
      </c>
      <c r="AC123" s="4">
        <v>0.70295069816700217</v>
      </c>
      <c r="AD123" s="4">
        <f t="shared" si="3"/>
        <v>-1.2138571545181165</v>
      </c>
      <c r="AE123" s="4" t="e">
        <f t="shared" si="4"/>
        <v>#VALUE!</v>
      </c>
      <c r="AF123" s="3" t="e">
        <f t="shared" si="5"/>
        <v>#VALUE!</v>
      </c>
      <c r="AG123" s="3"/>
      <c r="AH123" s="4"/>
      <c r="AI123" s="3"/>
      <c r="AJ123" s="3"/>
      <c r="AK123" s="3"/>
    </row>
    <row r="124" spans="1:37" ht="12.75" customHeight="1" x14ac:dyDescent="0.2">
      <c r="A124" s="14">
        <v>115</v>
      </c>
      <c r="B124" s="4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4"/>
      <c r="Y124" s="23"/>
      <c r="Z124" s="4" t="str">
        <f t="shared" si="0"/>
        <v/>
      </c>
      <c r="AA124" s="4" t="str">
        <f t="shared" si="1"/>
        <v/>
      </c>
      <c r="AB124" s="4" t="str">
        <f t="shared" si="2"/>
        <v/>
      </c>
      <c r="AC124" s="4">
        <v>0.70295069816700217</v>
      </c>
      <c r="AD124" s="4">
        <f t="shared" si="3"/>
        <v>-1.2138571545181165</v>
      </c>
      <c r="AE124" s="4" t="e">
        <f t="shared" si="4"/>
        <v>#VALUE!</v>
      </c>
      <c r="AF124" s="3" t="e">
        <f t="shared" si="5"/>
        <v>#VALUE!</v>
      </c>
      <c r="AG124" s="3"/>
      <c r="AH124" s="4"/>
      <c r="AI124" s="3"/>
      <c r="AJ124" s="3"/>
      <c r="AK124" s="3"/>
    </row>
    <row r="125" spans="1:37" ht="12.75" customHeight="1" x14ac:dyDescent="0.2">
      <c r="A125" s="14">
        <v>116</v>
      </c>
      <c r="B125" s="4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4"/>
      <c r="Y125" s="23"/>
      <c r="Z125" s="4" t="str">
        <f t="shared" si="0"/>
        <v/>
      </c>
      <c r="AA125" s="4" t="str">
        <f t="shared" si="1"/>
        <v/>
      </c>
      <c r="AB125" s="4" t="str">
        <f t="shared" si="2"/>
        <v/>
      </c>
      <c r="AC125" s="4">
        <v>0.70295069816700217</v>
      </c>
      <c r="AD125" s="4">
        <f t="shared" si="3"/>
        <v>-1.2138571545181165</v>
      </c>
      <c r="AE125" s="4" t="e">
        <f t="shared" si="4"/>
        <v>#VALUE!</v>
      </c>
      <c r="AF125" s="3" t="e">
        <f t="shared" si="5"/>
        <v>#VALUE!</v>
      </c>
      <c r="AG125" s="3"/>
      <c r="AH125" s="4"/>
      <c r="AI125" s="3"/>
      <c r="AJ125" s="3"/>
      <c r="AK125" s="3"/>
    </row>
    <row r="126" spans="1:37" ht="12.75" customHeight="1" x14ac:dyDescent="0.2">
      <c r="A126" s="14">
        <v>117</v>
      </c>
      <c r="B126" s="4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4"/>
      <c r="Y126" s="23"/>
      <c r="Z126" s="4" t="str">
        <f t="shared" si="0"/>
        <v/>
      </c>
      <c r="AA126" s="4" t="str">
        <f t="shared" si="1"/>
        <v/>
      </c>
      <c r="AB126" s="4" t="str">
        <f t="shared" si="2"/>
        <v/>
      </c>
      <c r="AC126" s="4">
        <v>0.69463198257527847</v>
      </c>
      <c r="AD126" s="4">
        <f t="shared" si="3"/>
        <v>-1.1862376152416783</v>
      </c>
      <c r="AE126" s="4" t="e">
        <f t="shared" si="4"/>
        <v>#VALUE!</v>
      </c>
      <c r="AF126" s="3" t="e">
        <f t="shared" si="5"/>
        <v>#VALUE!</v>
      </c>
      <c r="AG126" s="3"/>
      <c r="AH126" s="4"/>
      <c r="AI126" s="3"/>
      <c r="AJ126" s="3"/>
      <c r="AK126" s="3"/>
    </row>
    <row r="127" spans="1:37" ht="12.75" customHeight="1" x14ac:dyDescent="0.2">
      <c r="A127" s="14">
        <v>118</v>
      </c>
      <c r="B127" s="4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4"/>
      <c r="Y127" s="23"/>
      <c r="Z127" s="4" t="str">
        <f t="shared" si="0"/>
        <v/>
      </c>
      <c r="AA127" s="4" t="str">
        <f t="shared" si="1"/>
        <v/>
      </c>
      <c r="AB127" s="4" t="str">
        <f t="shared" si="2"/>
        <v/>
      </c>
      <c r="AC127" s="4">
        <v>0.69463198257527847</v>
      </c>
      <c r="AD127" s="4">
        <f t="shared" si="3"/>
        <v>-1.1862376152416783</v>
      </c>
      <c r="AE127" s="4" t="e">
        <f t="shared" si="4"/>
        <v>#VALUE!</v>
      </c>
      <c r="AF127" s="3" t="e">
        <f t="shared" si="5"/>
        <v>#VALUE!</v>
      </c>
      <c r="AG127" s="3"/>
      <c r="AH127" s="4"/>
      <c r="AI127" s="3"/>
      <c r="AJ127" s="3"/>
      <c r="AK127" s="3"/>
    </row>
    <row r="128" spans="1:37" ht="12.75" customHeight="1" x14ac:dyDescent="0.2">
      <c r="A128" s="14">
        <v>119</v>
      </c>
      <c r="B128" s="4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4"/>
      <c r="Y128" s="23"/>
      <c r="Z128" s="4" t="str">
        <f t="shared" si="0"/>
        <v/>
      </c>
      <c r="AA128" s="4" t="str">
        <f t="shared" si="1"/>
        <v/>
      </c>
      <c r="AB128" s="4" t="str">
        <f t="shared" si="2"/>
        <v/>
      </c>
      <c r="AC128" s="4">
        <v>0.69463198257527847</v>
      </c>
      <c r="AD128" s="4">
        <f t="shared" si="3"/>
        <v>-1.1862376152416783</v>
      </c>
      <c r="AE128" s="4" t="e">
        <f t="shared" si="4"/>
        <v>#VALUE!</v>
      </c>
      <c r="AF128" s="3" t="e">
        <f t="shared" si="5"/>
        <v>#VALUE!</v>
      </c>
      <c r="AG128" s="3"/>
      <c r="AH128" s="4"/>
      <c r="AI128" s="3"/>
      <c r="AJ128" s="3"/>
      <c r="AK128" s="3"/>
    </row>
    <row r="129" spans="1:37" ht="12.75" customHeight="1" x14ac:dyDescent="0.2">
      <c r="A129" s="14">
        <v>120</v>
      </c>
      <c r="B129" s="4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4"/>
      <c r="Y129" s="23"/>
      <c r="Z129" s="4" t="str">
        <f t="shared" si="0"/>
        <v/>
      </c>
      <c r="AA129" s="4" t="str">
        <f t="shared" si="1"/>
        <v/>
      </c>
      <c r="AB129" s="4" t="str">
        <f t="shared" si="2"/>
        <v/>
      </c>
      <c r="AC129" s="4">
        <v>0.69463198257527847</v>
      </c>
      <c r="AD129" s="4">
        <f t="shared" si="3"/>
        <v>-1.1862376152416783</v>
      </c>
      <c r="AE129" s="4" t="e">
        <f t="shared" si="4"/>
        <v>#VALUE!</v>
      </c>
      <c r="AF129" s="3" t="e">
        <f t="shared" si="5"/>
        <v>#VALUE!</v>
      </c>
      <c r="AG129" s="3"/>
      <c r="AH129" s="4"/>
      <c r="AI129" s="3"/>
      <c r="AJ129" s="3"/>
      <c r="AK129" s="3"/>
    </row>
    <row r="130" spans="1:37" ht="12.75" customHeight="1" x14ac:dyDescent="0.2">
      <c r="A130" s="14">
        <v>121</v>
      </c>
      <c r="B130" s="4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4"/>
      <c r="Y130" s="23"/>
      <c r="Z130" s="4" t="str">
        <f t="shared" si="0"/>
        <v/>
      </c>
      <c r="AA130" s="4" t="str">
        <f t="shared" si="1"/>
        <v/>
      </c>
      <c r="AB130" s="4" t="str">
        <f t="shared" si="2"/>
        <v/>
      </c>
      <c r="AC130" s="4">
        <v>0.69463198257527847</v>
      </c>
      <c r="AD130" s="4">
        <f t="shared" si="3"/>
        <v>-1.1862376152416783</v>
      </c>
      <c r="AE130" s="4" t="e">
        <f t="shared" si="4"/>
        <v>#VALUE!</v>
      </c>
      <c r="AF130" s="3" t="e">
        <f t="shared" si="5"/>
        <v>#VALUE!</v>
      </c>
      <c r="AG130" s="3"/>
      <c r="AH130" s="4"/>
      <c r="AI130" s="3"/>
      <c r="AJ130" s="3"/>
      <c r="AK130" s="3"/>
    </row>
    <row r="131" spans="1:37" ht="12.75" customHeight="1" x14ac:dyDescent="0.2">
      <c r="A131" s="14">
        <v>122</v>
      </c>
      <c r="B131" s="4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4"/>
      <c r="Y131" s="23"/>
      <c r="Z131" s="4" t="str">
        <f t="shared" si="0"/>
        <v/>
      </c>
      <c r="AA131" s="4" t="str">
        <f t="shared" si="1"/>
        <v/>
      </c>
      <c r="AB131" s="4" t="str">
        <f t="shared" si="2"/>
        <v/>
      </c>
      <c r="AC131" s="4">
        <v>0.69463198257527847</v>
      </c>
      <c r="AD131" s="4">
        <f t="shared" si="3"/>
        <v>-1.1862376152416783</v>
      </c>
      <c r="AE131" s="4" t="e">
        <f t="shared" si="4"/>
        <v>#VALUE!</v>
      </c>
      <c r="AF131" s="3" t="e">
        <f t="shared" si="5"/>
        <v>#VALUE!</v>
      </c>
      <c r="AG131" s="3"/>
      <c r="AH131" s="4"/>
      <c r="AI131" s="3"/>
      <c r="AJ131" s="3"/>
      <c r="AK131" s="3"/>
    </row>
    <row r="132" spans="1:37" ht="12.75" customHeight="1" x14ac:dyDescent="0.2">
      <c r="A132" s="14">
        <v>123</v>
      </c>
      <c r="B132" s="4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4"/>
      <c r="Y132" s="23"/>
      <c r="Z132" s="4" t="str">
        <f t="shared" si="0"/>
        <v/>
      </c>
      <c r="AA132" s="4" t="str">
        <f t="shared" si="1"/>
        <v/>
      </c>
      <c r="AB132" s="4" t="str">
        <f t="shared" si="2"/>
        <v/>
      </c>
      <c r="AC132" s="4">
        <v>0.69463198257527847</v>
      </c>
      <c r="AD132" s="4">
        <f t="shared" si="3"/>
        <v>-1.1862376152416783</v>
      </c>
      <c r="AE132" s="4" t="e">
        <f t="shared" si="4"/>
        <v>#VALUE!</v>
      </c>
      <c r="AF132" s="3" t="e">
        <f t="shared" si="5"/>
        <v>#VALUE!</v>
      </c>
      <c r="AG132" s="3"/>
      <c r="AH132" s="4"/>
      <c r="AI132" s="3"/>
      <c r="AJ132" s="3"/>
      <c r="AK132" s="3"/>
    </row>
    <row r="133" spans="1:37" ht="12.75" customHeight="1" x14ac:dyDescent="0.2">
      <c r="A133" s="14">
        <v>124</v>
      </c>
      <c r="B133" s="4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4"/>
      <c r="Y133" s="23"/>
      <c r="Z133" s="4" t="str">
        <f t="shared" si="0"/>
        <v/>
      </c>
      <c r="AA133" s="4" t="str">
        <f t="shared" si="1"/>
        <v/>
      </c>
      <c r="AB133" s="4" t="str">
        <f t="shared" si="2"/>
        <v/>
      </c>
      <c r="AC133" s="4">
        <v>0.6862115239667308</v>
      </c>
      <c r="AD133" s="4">
        <f t="shared" si="3"/>
        <v>-1.1590361632795676</v>
      </c>
      <c r="AE133" s="4" t="e">
        <f t="shared" si="4"/>
        <v>#VALUE!</v>
      </c>
      <c r="AF133" s="3" t="e">
        <f t="shared" si="5"/>
        <v>#VALUE!</v>
      </c>
      <c r="AG133" s="3"/>
      <c r="AH133" s="4"/>
      <c r="AI133" s="3"/>
      <c r="AJ133" s="3"/>
      <c r="AK133" s="3"/>
    </row>
    <row r="134" spans="1:37" ht="12.75" customHeight="1" x14ac:dyDescent="0.2">
      <c r="A134" s="14">
        <v>125</v>
      </c>
      <c r="B134" s="4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4"/>
      <c r="Y134" s="23"/>
      <c r="Z134" s="4" t="str">
        <f t="shared" si="0"/>
        <v/>
      </c>
      <c r="AA134" s="4" t="str">
        <f t="shared" si="1"/>
        <v/>
      </c>
      <c r="AB134" s="4" t="str">
        <f t="shared" si="2"/>
        <v/>
      </c>
      <c r="AC134" s="4">
        <v>0.6862115239667308</v>
      </c>
      <c r="AD134" s="4">
        <f t="shared" si="3"/>
        <v>-1.1590361632795676</v>
      </c>
      <c r="AE134" s="4" t="e">
        <f t="shared" si="4"/>
        <v>#VALUE!</v>
      </c>
      <c r="AF134" s="3" t="e">
        <f t="shared" si="5"/>
        <v>#VALUE!</v>
      </c>
      <c r="AG134" s="3"/>
      <c r="AH134" s="4"/>
      <c r="AI134" s="3"/>
      <c r="AJ134" s="3"/>
      <c r="AK134" s="3"/>
    </row>
    <row r="135" spans="1:37" ht="12.75" customHeight="1" x14ac:dyDescent="0.2">
      <c r="A135" s="14">
        <v>126</v>
      </c>
      <c r="B135" s="4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4"/>
      <c r="Y135" s="23"/>
      <c r="Z135" s="4" t="str">
        <f t="shared" si="0"/>
        <v/>
      </c>
      <c r="AA135" s="4" t="str">
        <f t="shared" si="1"/>
        <v/>
      </c>
      <c r="AB135" s="4" t="str">
        <f t="shared" si="2"/>
        <v/>
      </c>
      <c r="AC135" s="4">
        <v>0.6862115239667308</v>
      </c>
      <c r="AD135" s="4">
        <f t="shared" si="3"/>
        <v>-1.1590361632795676</v>
      </c>
      <c r="AE135" s="4" t="e">
        <f t="shared" si="4"/>
        <v>#VALUE!</v>
      </c>
      <c r="AF135" s="3" t="e">
        <f t="shared" si="5"/>
        <v>#VALUE!</v>
      </c>
      <c r="AG135" s="3"/>
      <c r="AH135" s="4"/>
      <c r="AI135" s="3"/>
      <c r="AJ135" s="3"/>
      <c r="AK135" s="3"/>
    </row>
    <row r="136" spans="1:37" ht="12.75" customHeight="1" x14ac:dyDescent="0.2">
      <c r="A136" s="14">
        <v>127</v>
      </c>
      <c r="B136" s="4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4"/>
      <c r="Y136" s="23"/>
      <c r="Z136" s="4" t="str">
        <f t="shared" si="0"/>
        <v/>
      </c>
      <c r="AA136" s="4" t="str">
        <f t="shared" si="1"/>
        <v/>
      </c>
      <c r="AB136" s="4" t="str">
        <f t="shared" si="2"/>
        <v/>
      </c>
      <c r="AC136" s="4">
        <v>0.67769293849935264</v>
      </c>
      <c r="AD136" s="4">
        <f t="shared" si="3"/>
        <v>-1.1322505806873016</v>
      </c>
      <c r="AE136" s="4" t="e">
        <f t="shared" si="4"/>
        <v>#VALUE!</v>
      </c>
      <c r="AF136" s="3" t="e">
        <f t="shared" si="5"/>
        <v>#VALUE!</v>
      </c>
      <c r="AG136" s="3"/>
      <c r="AH136" s="4"/>
      <c r="AI136" s="3"/>
      <c r="AJ136" s="3"/>
      <c r="AK136" s="3"/>
    </row>
    <row r="137" spans="1:37" ht="12.75" customHeight="1" x14ac:dyDescent="0.2">
      <c r="A137" s="14">
        <v>128</v>
      </c>
      <c r="B137" s="4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4"/>
      <c r="Y137" s="23"/>
      <c r="Z137" s="4" t="str">
        <f t="shared" si="0"/>
        <v/>
      </c>
      <c r="AA137" s="4" t="str">
        <f t="shared" si="1"/>
        <v/>
      </c>
      <c r="AB137" s="4" t="str">
        <f t="shared" si="2"/>
        <v/>
      </c>
      <c r="AC137" s="4">
        <v>0.67769293849935264</v>
      </c>
      <c r="AD137" s="4">
        <f t="shared" si="3"/>
        <v>-1.1322505806873016</v>
      </c>
      <c r="AE137" s="4" t="e">
        <f t="shared" si="4"/>
        <v>#VALUE!</v>
      </c>
      <c r="AF137" s="3" t="e">
        <f t="shared" si="5"/>
        <v>#VALUE!</v>
      </c>
      <c r="AG137" s="3"/>
      <c r="AH137" s="4"/>
      <c r="AI137" s="3"/>
      <c r="AJ137" s="3"/>
      <c r="AK137" s="3"/>
    </row>
    <row r="138" spans="1:37" ht="12.75" customHeight="1" x14ac:dyDescent="0.2">
      <c r="A138" s="14">
        <v>129</v>
      </c>
      <c r="B138" s="4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4"/>
      <c r="Y138" s="23"/>
      <c r="Z138" s="4" t="str">
        <f t="shared" si="0"/>
        <v/>
      </c>
      <c r="AA138" s="4" t="str">
        <f t="shared" si="1"/>
        <v/>
      </c>
      <c r="AB138" s="4" t="str">
        <f t="shared" si="2"/>
        <v/>
      </c>
      <c r="AC138" s="4">
        <v>0.67769293849935264</v>
      </c>
      <c r="AD138" s="4">
        <f t="shared" si="3"/>
        <v>-1.1322505806873016</v>
      </c>
      <c r="AE138" s="4" t="e">
        <f t="shared" si="4"/>
        <v>#VALUE!</v>
      </c>
      <c r="AF138" s="3" t="e">
        <f t="shared" si="5"/>
        <v>#VALUE!</v>
      </c>
      <c r="AG138" s="3"/>
      <c r="AH138" s="4"/>
      <c r="AI138" s="3"/>
      <c r="AJ138" s="3"/>
      <c r="AK138" s="3"/>
    </row>
    <row r="139" spans="1:37" ht="12.75" customHeight="1" x14ac:dyDescent="0.2">
      <c r="A139" s="14">
        <v>130</v>
      </c>
      <c r="B139" s="4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4"/>
      <c r="Y139" s="23"/>
      <c r="Z139" s="4" t="str">
        <f t="shared" si="0"/>
        <v/>
      </c>
      <c r="AA139" s="4" t="str">
        <f t="shared" si="1"/>
        <v/>
      </c>
      <c r="AB139" s="4" t="str">
        <f t="shared" si="2"/>
        <v/>
      </c>
      <c r="AC139" s="4">
        <v>0.67769293849935264</v>
      </c>
      <c r="AD139" s="4">
        <f t="shared" si="3"/>
        <v>-1.1322505806873016</v>
      </c>
      <c r="AE139" s="4" t="e">
        <f t="shared" si="4"/>
        <v>#VALUE!</v>
      </c>
      <c r="AF139" s="3" t="e">
        <f t="shared" si="5"/>
        <v>#VALUE!</v>
      </c>
      <c r="AG139" s="3"/>
      <c r="AH139" s="4"/>
      <c r="AI139" s="3"/>
      <c r="AJ139" s="3"/>
      <c r="AK139" s="3"/>
    </row>
    <row r="140" spans="1:37" ht="12.75" customHeight="1" x14ac:dyDescent="0.2">
      <c r="A140" s="14">
        <v>131</v>
      </c>
      <c r="B140" s="4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4"/>
      <c r="Y140" s="23"/>
      <c r="Z140" s="4" t="str">
        <f t="shared" si="0"/>
        <v/>
      </c>
      <c r="AA140" s="4" t="str">
        <f t="shared" si="1"/>
        <v/>
      </c>
      <c r="AB140" s="4" t="str">
        <f t="shared" si="2"/>
        <v/>
      </c>
      <c r="AC140" s="4">
        <v>0.67769293849935264</v>
      </c>
      <c r="AD140" s="4">
        <f t="shared" si="3"/>
        <v>-1.1322505806873016</v>
      </c>
      <c r="AE140" s="4" t="e">
        <f t="shared" si="4"/>
        <v>#VALUE!</v>
      </c>
      <c r="AF140" s="3" t="e">
        <f t="shared" si="5"/>
        <v>#VALUE!</v>
      </c>
      <c r="AG140" s="3"/>
      <c r="AH140" s="4"/>
      <c r="AI140" s="3"/>
      <c r="AJ140" s="3"/>
      <c r="AK140" s="3"/>
    </row>
    <row r="141" spans="1:37" ht="12.75" customHeight="1" x14ac:dyDescent="0.2">
      <c r="A141" s="14">
        <v>132</v>
      </c>
      <c r="B141" s="4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4"/>
      <c r="Y141" s="23"/>
      <c r="Z141" s="4" t="str">
        <f t="shared" si="0"/>
        <v/>
      </c>
      <c r="AA141" s="4" t="str">
        <f t="shared" si="1"/>
        <v/>
      </c>
      <c r="AB141" s="4" t="str">
        <f t="shared" si="2"/>
        <v/>
      </c>
      <c r="AC141" s="4">
        <v>0.67769293849935264</v>
      </c>
      <c r="AD141" s="4">
        <f t="shared" si="3"/>
        <v>-1.1322505806873016</v>
      </c>
      <c r="AE141" s="4" t="e">
        <f t="shared" si="4"/>
        <v>#VALUE!</v>
      </c>
      <c r="AF141" s="3" t="e">
        <f t="shared" si="5"/>
        <v>#VALUE!</v>
      </c>
      <c r="AG141" s="3"/>
      <c r="AH141" s="4"/>
      <c r="AI141" s="3"/>
      <c r="AJ141" s="3"/>
      <c r="AK141" s="3"/>
    </row>
    <row r="142" spans="1:37" ht="12.75" customHeight="1" x14ac:dyDescent="0.2">
      <c r="A142" s="14">
        <v>133</v>
      </c>
      <c r="B142" s="4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4"/>
      <c r="Y142" s="23"/>
      <c r="Z142" s="4" t="str">
        <f t="shared" si="0"/>
        <v/>
      </c>
      <c r="AA142" s="4" t="str">
        <f t="shared" si="1"/>
        <v/>
      </c>
      <c r="AB142" s="4" t="str">
        <f t="shared" si="2"/>
        <v/>
      </c>
      <c r="AC142" s="4">
        <v>0.67769293849935264</v>
      </c>
      <c r="AD142" s="4">
        <f t="shared" si="3"/>
        <v>-1.1322505806873016</v>
      </c>
      <c r="AE142" s="4" t="e">
        <f t="shared" si="4"/>
        <v>#VALUE!</v>
      </c>
      <c r="AF142" s="3" t="e">
        <f t="shared" si="5"/>
        <v>#VALUE!</v>
      </c>
      <c r="AG142" s="3"/>
      <c r="AH142" s="4"/>
      <c r="AI142" s="3"/>
      <c r="AJ142" s="3"/>
      <c r="AK142" s="3"/>
    </row>
    <row r="143" spans="1:37" ht="12.75" customHeight="1" x14ac:dyDescent="0.2">
      <c r="A143" s="14">
        <v>134</v>
      </c>
      <c r="B143" s="4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4"/>
      <c r="Y143" s="23"/>
      <c r="Z143" s="4" t="str">
        <f t="shared" si="0"/>
        <v/>
      </c>
      <c r="AA143" s="4" t="str">
        <f t="shared" si="1"/>
        <v/>
      </c>
      <c r="AB143" s="4" t="str">
        <f t="shared" si="2"/>
        <v/>
      </c>
      <c r="AC143" s="4">
        <v>0.66907999707435473</v>
      </c>
      <c r="AD143" s="4">
        <f t="shared" si="3"/>
        <v>-1.1058786158192107</v>
      </c>
      <c r="AE143" s="4" t="e">
        <f t="shared" si="4"/>
        <v>#VALUE!</v>
      </c>
      <c r="AF143" s="3" t="e">
        <f t="shared" si="5"/>
        <v>#VALUE!</v>
      </c>
      <c r="AG143" s="3"/>
      <c r="AH143" s="4"/>
      <c r="AI143" s="3"/>
      <c r="AJ143" s="3"/>
      <c r="AK143" s="3"/>
    </row>
    <row r="144" spans="1:37" ht="12.75" customHeight="1" x14ac:dyDescent="0.2">
      <c r="A144" s="14">
        <v>135</v>
      </c>
      <c r="B144" s="4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4"/>
      <c r="Y144" s="23"/>
      <c r="Z144" s="4" t="str">
        <f t="shared" si="0"/>
        <v/>
      </c>
      <c r="AA144" s="4" t="str">
        <f t="shared" si="1"/>
        <v/>
      </c>
      <c r="AB144" s="4" t="str">
        <f t="shared" si="2"/>
        <v/>
      </c>
      <c r="AC144" s="4">
        <v>0.66907999707435473</v>
      </c>
      <c r="AD144" s="4">
        <f t="shared" si="3"/>
        <v>-1.1058786158192107</v>
      </c>
      <c r="AE144" s="4" t="e">
        <f t="shared" si="4"/>
        <v>#VALUE!</v>
      </c>
      <c r="AF144" s="3" t="e">
        <f t="shared" si="5"/>
        <v>#VALUE!</v>
      </c>
      <c r="AG144" s="3"/>
      <c r="AH144" s="4"/>
      <c r="AI144" s="3"/>
      <c r="AJ144" s="3"/>
      <c r="AK144" s="3"/>
    </row>
    <row r="145" spans="1:37" ht="12.75" customHeight="1" x14ac:dyDescent="0.2">
      <c r="A145" s="14">
        <v>136</v>
      </c>
      <c r="B145" s="4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4"/>
      <c r="Y145" s="23"/>
      <c r="Z145" s="4" t="str">
        <f t="shared" si="0"/>
        <v/>
      </c>
      <c r="AA145" s="4" t="str">
        <f t="shared" si="1"/>
        <v/>
      </c>
      <c r="AB145" s="4" t="str">
        <f t="shared" si="2"/>
        <v/>
      </c>
      <c r="AC145" s="4">
        <v>0.66907999707435473</v>
      </c>
      <c r="AD145" s="4">
        <f t="shared" si="3"/>
        <v>-1.1058786158192107</v>
      </c>
      <c r="AE145" s="4" t="e">
        <f t="shared" si="4"/>
        <v>#VALUE!</v>
      </c>
      <c r="AF145" s="3" t="e">
        <f t="shared" si="5"/>
        <v>#VALUE!</v>
      </c>
      <c r="AG145" s="3"/>
      <c r="AH145" s="4"/>
      <c r="AI145" s="3"/>
      <c r="AJ145" s="3"/>
      <c r="AK145" s="3"/>
    </row>
    <row r="146" spans="1:37" ht="12.75" customHeight="1" x14ac:dyDescent="0.2">
      <c r="A146" s="14">
        <v>137</v>
      </c>
      <c r="B146" s="4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4"/>
      <c r="Y146" s="23"/>
      <c r="Z146" s="4" t="str">
        <f t="shared" si="0"/>
        <v/>
      </c>
      <c r="AA146" s="4" t="str">
        <f t="shared" si="1"/>
        <v/>
      </c>
      <c r="AB146" s="4" t="str">
        <f t="shared" si="2"/>
        <v/>
      </c>
      <c r="AC146" s="4">
        <v>0.66907999707435473</v>
      </c>
      <c r="AD146" s="4">
        <f t="shared" si="3"/>
        <v>-1.1058786158192107</v>
      </c>
      <c r="AE146" s="4" t="e">
        <f t="shared" si="4"/>
        <v>#VALUE!</v>
      </c>
      <c r="AF146" s="3" t="e">
        <f t="shared" si="5"/>
        <v>#VALUE!</v>
      </c>
      <c r="AG146" s="3"/>
      <c r="AH146" s="4"/>
      <c r="AI146" s="3"/>
      <c r="AJ146" s="3"/>
      <c r="AK146" s="3"/>
    </row>
    <row r="147" spans="1:37" ht="12.75" customHeight="1" x14ac:dyDescent="0.2">
      <c r="A147" s="14">
        <v>138</v>
      </c>
      <c r="B147" s="4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4"/>
      <c r="Y147" s="23"/>
      <c r="Z147" s="4" t="str">
        <f t="shared" si="0"/>
        <v/>
      </c>
      <c r="AA147" s="4" t="str">
        <f t="shared" si="1"/>
        <v/>
      </c>
      <c r="AB147" s="4" t="str">
        <f t="shared" si="2"/>
        <v/>
      </c>
      <c r="AC147" s="4">
        <v>0.66907999707435473</v>
      </c>
      <c r="AD147" s="4">
        <f t="shared" si="3"/>
        <v>-1.1058786158192107</v>
      </c>
      <c r="AE147" s="4" t="e">
        <f t="shared" si="4"/>
        <v>#VALUE!</v>
      </c>
      <c r="AF147" s="3" t="e">
        <f t="shared" si="5"/>
        <v>#VALUE!</v>
      </c>
      <c r="AG147" s="3"/>
      <c r="AH147" s="4"/>
      <c r="AI147" s="3"/>
      <c r="AJ147" s="3"/>
      <c r="AK147" s="3"/>
    </row>
    <row r="148" spans="1:37" ht="12.75" customHeight="1" x14ac:dyDescent="0.2">
      <c r="A148" s="14">
        <v>139</v>
      </c>
      <c r="B148" s="4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4"/>
      <c r="Y148" s="23"/>
      <c r="Z148" s="4" t="str">
        <f t="shared" si="0"/>
        <v/>
      </c>
      <c r="AA148" s="4" t="str">
        <f t="shared" si="1"/>
        <v/>
      </c>
      <c r="AB148" s="4" t="str">
        <f t="shared" si="2"/>
        <v/>
      </c>
      <c r="AC148" s="4">
        <v>0.66907999707435473</v>
      </c>
      <c r="AD148" s="4">
        <f t="shared" si="3"/>
        <v>-1.1058786158192107</v>
      </c>
      <c r="AE148" s="4" t="e">
        <f t="shared" si="4"/>
        <v>#VALUE!</v>
      </c>
      <c r="AF148" s="3" t="e">
        <f t="shared" si="5"/>
        <v>#VALUE!</v>
      </c>
      <c r="AG148" s="3"/>
      <c r="AH148" s="4"/>
      <c r="AI148" s="3"/>
      <c r="AJ148" s="3"/>
      <c r="AK148" s="3"/>
    </row>
    <row r="149" spans="1:37" ht="12.75" customHeight="1" x14ac:dyDescent="0.2">
      <c r="A149" s="14">
        <v>140</v>
      </c>
      <c r="B149" s="4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4"/>
      <c r="Y149" s="23"/>
      <c r="Z149" s="4" t="str">
        <f t="shared" si="0"/>
        <v/>
      </c>
      <c r="AA149" s="4" t="str">
        <f t="shared" si="1"/>
        <v/>
      </c>
      <c r="AB149" s="4" t="str">
        <f t="shared" si="2"/>
        <v/>
      </c>
      <c r="AC149" s="4">
        <v>0.66037662059848701</v>
      </c>
      <c r="AD149" s="4">
        <f t="shared" si="3"/>
        <v>-1.0799179829760848</v>
      </c>
      <c r="AE149" s="4" t="e">
        <f t="shared" si="4"/>
        <v>#VALUE!</v>
      </c>
      <c r="AF149" s="3" t="e">
        <f t="shared" si="5"/>
        <v>#VALUE!</v>
      </c>
      <c r="AG149" s="3"/>
      <c r="AH149" s="4"/>
      <c r="AI149" s="3"/>
      <c r="AJ149" s="3"/>
      <c r="AK149" s="3"/>
    </row>
    <row r="150" spans="1:37" ht="12.75" customHeight="1" x14ac:dyDescent="0.2">
      <c r="A150" s="14">
        <v>141</v>
      </c>
      <c r="B150" s="4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4"/>
      <c r="Y150" s="23"/>
      <c r="Z150" s="4" t="str">
        <f t="shared" si="0"/>
        <v/>
      </c>
      <c r="AA150" s="4" t="str">
        <f t="shared" si="1"/>
        <v/>
      </c>
      <c r="AB150" s="4" t="str">
        <f t="shared" si="2"/>
        <v/>
      </c>
      <c r="AC150" s="4">
        <v>0.66037662059848701</v>
      </c>
      <c r="AD150" s="4">
        <f t="shared" si="3"/>
        <v>-1.0799179829760848</v>
      </c>
      <c r="AE150" s="4" t="e">
        <f t="shared" si="4"/>
        <v>#VALUE!</v>
      </c>
      <c r="AF150" s="3" t="e">
        <f t="shared" si="5"/>
        <v>#VALUE!</v>
      </c>
      <c r="AG150" s="3"/>
      <c r="AH150" s="4"/>
      <c r="AI150" s="3"/>
      <c r="AJ150" s="3"/>
      <c r="AK150" s="3"/>
    </row>
    <row r="151" spans="1:37" ht="12.75" customHeight="1" x14ac:dyDescent="0.2">
      <c r="A151" s="14">
        <v>142</v>
      </c>
      <c r="B151" s="4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4"/>
      <c r="Y151" s="23"/>
      <c r="Z151" s="4" t="str">
        <f t="shared" si="0"/>
        <v/>
      </c>
      <c r="AA151" s="4" t="str">
        <f t="shared" si="1"/>
        <v/>
      </c>
      <c r="AB151" s="4" t="str">
        <f t="shared" si="2"/>
        <v/>
      </c>
      <c r="AC151" s="4">
        <v>0.66037662059848701</v>
      </c>
      <c r="AD151" s="4">
        <f t="shared" si="3"/>
        <v>-1.0799179829760848</v>
      </c>
      <c r="AE151" s="4" t="e">
        <f t="shared" si="4"/>
        <v>#VALUE!</v>
      </c>
      <c r="AF151" s="3" t="e">
        <f t="shared" si="5"/>
        <v>#VALUE!</v>
      </c>
      <c r="AG151" s="3"/>
      <c r="AH151" s="4"/>
      <c r="AI151" s="3"/>
      <c r="AJ151" s="3"/>
      <c r="AK151" s="3"/>
    </row>
    <row r="152" spans="1:37" ht="12.75" customHeight="1" x14ac:dyDescent="0.2">
      <c r="A152" s="14">
        <v>143</v>
      </c>
      <c r="B152" s="4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4"/>
      <c r="Y152" s="23"/>
      <c r="Z152" s="4" t="str">
        <f t="shared" si="0"/>
        <v/>
      </c>
      <c r="AA152" s="4" t="str">
        <f t="shared" si="1"/>
        <v/>
      </c>
      <c r="AB152" s="4" t="str">
        <f t="shared" si="2"/>
        <v/>
      </c>
      <c r="AC152" s="4">
        <v>0.65158687484634847</v>
      </c>
      <c r="AD152" s="4">
        <f t="shared" si="3"/>
        <v>-1.0543663620565218</v>
      </c>
      <c r="AE152" s="4" t="e">
        <f t="shared" si="4"/>
        <v>#VALUE!</v>
      </c>
      <c r="AF152" s="3" t="e">
        <f t="shared" si="5"/>
        <v>#VALUE!</v>
      </c>
      <c r="AG152" s="3"/>
      <c r="AH152" s="4"/>
      <c r="AI152" s="3"/>
      <c r="AJ152" s="3"/>
      <c r="AK152" s="3"/>
    </row>
    <row r="153" spans="1:37" ht="12.75" customHeight="1" x14ac:dyDescent="0.2">
      <c r="A153" s="14">
        <v>144</v>
      </c>
      <c r="B153" s="4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4"/>
      <c r="Y153" s="23"/>
      <c r="Z153" s="4" t="str">
        <f t="shared" si="0"/>
        <v/>
      </c>
      <c r="AA153" s="4" t="str">
        <f t="shared" si="1"/>
        <v/>
      </c>
      <c r="AB153" s="4" t="str">
        <f t="shared" si="2"/>
        <v/>
      </c>
      <c r="AC153" s="4">
        <v>0.65158687484634847</v>
      </c>
      <c r="AD153" s="4">
        <f t="shared" si="3"/>
        <v>-1.0543663620565218</v>
      </c>
      <c r="AE153" s="4" t="e">
        <f t="shared" si="4"/>
        <v>#VALUE!</v>
      </c>
      <c r="AF153" s="3" t="e">
        <f t="shared" si="5"/>
        <v>#VALUE!</v>
      </c>
      <c r="AG153" s="3"/>
      <c r="AH153" s="4"/>
      <c r="AI153" s="3"/>
      <c r="AJ153" s="3"/>
      <c r="AK153" s="3"/>
    </row>
    <row r="154" spans="1:37" ht="12.75" customHeight="1" x14ac:dyDescent="0.2">
      <c r="A154" s="14">
        <v>145</v>
      </c>
      <c r="B154" s="4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4"/>
      <c r="Y154" s="23"/>
      <c r="Z154" s="4" t="str">
        <f t="shared" si="0"/>
        <v/>
      </c>
      <c r="AA154" s="4" t="str">
        <f t="shared" si="1"/>
        <v/>
      </c>
      <c r="AB154" s="4" t="str">
        <f t="shared" si="2"/>
        <v/>
      </c>
      <c r="AC154" s="4">
        <v>0.65158687484634847</v>
      </c>
      <c r="AD154" s="4">
        <f t="shared" si="3"/>
        <v>-1.0543663620565218</v>
      </c>
      <c r="AE154" s="4" t="e">
        <f t="shared" si="4"/>
        <v>#VALUE!</v>
      </c>
      <c r="AF154" s="3" t="e">
        <f t="shared" si="5"/>
        <v>#VALUE!</v>
      </c>
      <c r="AG154" s="3"/>
      <c r="AH154" s="4"/>
      <c r="AI154" s="3"/>
      <c r="AJ154" s="3"/>
      <c r="AK154" s="3"/>
    </row>
    <row r="155" spans="1:37" ht="12.75" customHeight="1" x14ac:dyDescent="0.2">
      <c r="A155" s="14">
        <v>146</v>
      </c>
      <c r="B155" s="4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4"/>
      <c r="Y155" s="23"/>
      <c r="Z155" s="4" t="str">
        <f t="shared" si="0"/>
        <v/>
      </c>
      <c r="AA155" s="4" t="str">
        <f t="shared" si="1"/>
        <v/>
      </c>
      <c r="AB155" s="4" t="str">
        <f t="shared" si="2"/>
        <v/>
      </c>
      <c r="AC155" s="4">
        <v>0.65158687484634847</v>
      </c>
      <c r="AD155" s="4">
        <f t="shared" si="3"/>
        <v>-1.0543663620565218</v>
      </c>
      <c r="AE155" s="4" t="e">
        <f t="shared" si="4"/>
        <v>#VALUE!</v>
      </c>
      <c r="AF155" s="3" t="e">
        <f t="shared" si="5"/>
        <v>#VALUE!</v>
      </c>
      <c r="AG155" s="3"/>
      <c r="AH155" s="4"/>
      <c r="AI155" s="3"/>
      <c r="AJ155" s="3"/>
      <c r="AK155" s="3"/>
    </row>
    <row r="156" spans="1:37" ht="12.75" customHeight="1" x14ac:dyDescent="0.2">
      <c r="A156" s="14">
        <v>147</v>
      </c>
      <c r="B156" s="4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4"/>
      <c r="Y156" s="23"/>
      <c r="Z156" s="4" t="str">
        <f t="shared" si="0"/>
        <v/>
      </c>
      <c r="AA156" s="4" t="str">
        <f t="shared" si="1"/>
        <v/>
      </c>
      <c r="AB156" s="4" t="str">
        <f t="shared" si="2"/>
        <v/>
      </c>
      <c r="AC156" s="4">
        <v>0.65158687484634847</v>
      </c>
      <c r="AD156" s="4">
        <f t="shared" si="3"/>
        <v>-1.0543663620565218</v>
      </c>
      <c r="AE156" s="4" t="e">
        <f t="shared" si="4"/>
        <v>#VALUE!</v>
      </c>
      <c r="AF156" s="3" t="e">
        <f t="shared" si="5"/>
        <v>#VALUE!</v>
      </c>
      <c r="AG156" s="3"/>
      <c r="AH156" s="4"/>
      <c r="AI156" s="3"/>
      <c r="AJ156" s="3"/>
      <c r="AK156" s="3"/>
    </row>
    <row r="157" spans="1:37" ht="12.75" customHeight="1" x14ac:dyDescent="0.2">
      <c r="A157" s="14">
        <v>148</v>
      </c>
      <c r="B157" s="4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4"/>
      <c r="Y157" s="23"/>
      <c r="Z157" s="4" t="str">
        <f t="shared" si="0"/>
        <v/>
      </c>
      <c r="AA157" s="4" t="str">
        <f t="shared" si="1"/>
        <v/>
      </c>
      <c r="AB157" s="4" t="str">
        <f t="shared" si="2"/>
        <v/>
      </c>
      <c r="AC157" s="4">
        <v>0.65158687484634847</v>
      </c>
      <c r="AD157" s="4">
        <f t="shared" si="3"/>
        <v>-1.0543663620565218</v>
      </c>
      <c r="AE157" s="4" t="e">
        <f t="shared" si="4"/>
        <v>#VALUE!</v>
      </c>
      <c r="AF157" s="3" t="e">
        <f t="shared" si="5"/>
        <v>#VALUE!</v>
      </c>
      <c r="AG157" s="3"/>
      <c r="AH157" s="4"/>
      <c r="AI157" s="3"/>
      <c r="AJ157" s="3"/>
      <c r="AK157" s="3"/>
    </row>
    <row r="158" spans="1:37" ht="12.75" customHeight="1" x14ac:dyDescent="0.2">
      <c r="A158" s="14">
        <v>149</v>
      </c>
      <c r="B158" s="4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4"/>
      <c r="Y158" s="23"/>
      <c r="Z158" s="4" t="str">
        <f t="shared" si="0"/>
        <v/>
      </c>
      <c r="AA158" s="4" t="str">
        <f t="shared" si="1"/>
        <v/>
      </c>
      <c r="AB158" s="4" t="str">
        <f t="shared" si="2"/>
        <v/>
      </c>
      <c r="AC158" s="4">
        <v>0.65158687484634847</v>
      </c>
      <c r="AD158" s="4">
        <f t="shared" si="3"/>
        <v>-1.0543663620565218</v>
      </c>
      <c r="AE158" s="4" t="e">
        <f t="shared" si="4"/>
        <v>#VALUE!</v>
      </c>
      <c r="AF158" s="3" t="e">
        <f t="shared" si="5"/>
        <v>#VALUE!</v>
      </c>
      <c r="AG158" s="3"/>
      <c r="AH158" s="4"/>
      <c r="AI158" s="3"/>
      <c r="AJ158" s="3"/>
      <c r="AK158" s="3"/>
    </row>
    <row r="159" spans="1:37" ht="12.75" customHeight="1" x14ac:dyDescent="0.2">
      <c r="A159" s="14">
        <v>150</v>
      </c>
      <c r="B159" s="4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4"/>
      <c r="Y159" s="23"/>
      <c r="Z159" s="4" t="str">
        <f t="shared" si="0"/>
        <v/>
      </c>
      <c r="AA159" s="4" t="str">
        <f t="shared" si="1"/>
        <v/>
      </c>
      <c r="AB159" s="4" t="str">
        <f t="shared" si="2"/>
        <v/>
      </c>
      <c r="AC159" s="4">
        <v>0.65158687484634847</v>
      </c>
      <c r="AD159" s="4">
        <f t="shared" si="3"/>
        <v>-1.0543663620565218</v>
      </c>
      <c r="AE159" s="4" t="e">
        <f t="shared" si="4"/>
        <v>#VALUE!</v>
      </c>
      <c r="AF159" s="3" t="e">
        <f t="shared" si="5"/>
        <v>#VALUE!</v>
      </c>
      <c r="AG159" s="3"/>
      <c r="AH159" s="4"/>
      <c r="AI159" s="3"/>
      <c r="AJ159" s="3"/>
      <c r="AK159" s="3"/>
    </row>
    <row r="160" spans="1:37" ht="12.75" customHeight="1" x14ac:dyDescent="0.2">
      <c r="A160" s="14">
        <v>151</v>
      </c>
      <c r="B160" s="4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4"/>
      <c r="Y160" s="23"/>
      <c r="Z160" s="4" t="str">
        <f t="shared" si="0"/>
        <v/>
      </c>
      <c r="AA160" s="4" t="str">
        <f t="shared" si="1"/>
        <v/>
      </c>
      <c r="AB160" s="4" t="str">
        <f t="shared" si="2"/>
        <v/>
      </c>
      <c r="AC160" s="4">
        <v>0.65158687484634847</v>
      </c>
      <c r="AD160" s="4">
        <f t="shared" si="3"/>
        <v>-1.0543663620565218</v>
      </c>
      <c r="AE160" s="4" t="e">
        <f t="shared" si="4"/>
        <v>#VALUE!</v>
      </c>
      <c r="AF160" s="3" t="e">
        <f t="shared" si="5"/>
        <v>#VALUE!</v>
      </c>
      <c r="AG160" s="3"/>
      <c r="AH160" s="4"/>
      <c r="AI160" s="3"/>
      <c r="AJ160" s="3"/>
      <c r="AK160" s="3"/>
    </row>
    <row r="161" spans="1:37" ht="12.75" customHeight="1" x14ac:dyDescent="0.2">
      <c r="A161" s="14">
        <v>152</v>
      </c>
      <c r="B161" s="4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4"/>
      <c r="Y161" s="23"/>
      <c r="Z161" s="4" t="str">
        <f t="shared" si="0"/>
        <v/>
      </c>
      <c r="AA161" s="4" t="str">
        <f t="shared" si="1"/>
        <v/>
      </c>
      <c r="AB161" s="4" t="str">
        <f t="shared" si="2"/>
        <v/>
      </c>
      <c r="AC161" s="4">
        <v>0.64271496493251146</v>
      </c>
      <c r="AD161" s="4">
        <f t="shared" si="3"/>
        <v>-1.0292213982122502</v>
      </c>
      <c r="AE161" s="4" t="e">
        <f t="shared" si="4"/>
        <v>#VALUE!</v>
      </c>
      <c r="AF161" s="3" t="e">
        <f t="shared" si="5"/>
        <v>#VALUE!</v>
      </c>
      <c r="AG161" s="3"/>
      <c r="AH161" s="4"/>
      <c r="AI161" s="3"/>
      <c r="AJ161" s="3"/>
      <c r="AK161" s="3"/>
    </row>
    <row r="162" spans="1:37" ht="12.75" customHeight="1" x14ac:dyDescent="0.2">
      <c r="A162" s="14">
        <v>153</v>
      </c>
      <c r="B162" s="4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4"/>
      <c r="Y162" s="23"/>
      <c r="Z162" s="4" t="str">
        <f t="shared" si="0"/>
        <v/>
      </c>
      <c r="AA162" s="4" t="str">
        <f t="shared" si="1"/>
        <v/>
      </c>
      <c r="AB162" s="4" t="str">
        <f t="shared" si="2"/>
        <v/>
      </c>
      <c r="AC162" s="4">
        <v>0.64271496493251146</v>
      </c>
      <c r="AD162" s="4">
        <f t="shared" si="3"/>
        <v>-1.0292213982122502</v>
      </c>
      <c r="AE162" s="4" t="e">
        <f t="shared" si="4"/>
        <v>#VALUE!</v>
      </c>
      <c r="AF162" s="3" t="e">
        <f t="shared" si="5"/>
        <v>#VALUE!</v>
      </c>
      <c r="AG162" s="3"/>
      <c r="AH162" s="4"/>
      <c r="AI162" s="3"/>
      <c r="AJ162" s="3"/>
      <c r="AK162" s="3"/>
    </row>
    <row r="163" spans="1:37" ht="12.75" customHeight="1" x14ac:dyDescent="0.2">
      <c r="A163" s="14">
        <v>154</v>
      </c>
      <c r="B163" s="4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4"/>
      <c r="Y163" s="23"/>
      <c r="Z163" s="4" t="str">
        <f t="shared" si="0"/>
        <v/>
      </c>
      <c r="AA163" s="4" t="str">
        <f t="shared" si="1"/>
        <v/>
      </c>
      <c r="AB163" s="4" t="str">
        <f t="shared" si="2"/>
        <v/>
      </c>
      <c r="AC163" s="4">
        <v>0.64271496493251146</v>
      </c>
      <c r="AD163" s="4">
        <f t="shared" si="3"/>
        <v>-1.0292213982122502</v>
      </c>
      <c r="AE163" s="4" t="e">
        <f t="shared" si="4"/>
        <v>#VALUE!</v>
      </c>
      <c r="AF163" s="3" t="e">
        <f t="shared" si="5"/>
        <v>#VALUE!</v>
      </c>
      <c r="AG163" s="3"/>
      <c r="AH163" s="4"/>
      <c r="AI163" s="3"/>
      <c r="AJ163" s="3"/>
      <c r="AK163" s="3"/>
    </row>
    <row r="164" spans="1:37" ht="12.75" customHeight="1" x14ac:dyDescent="0.2">
      <c r="A164" s="14">
        <v>155</v>
      </c>
      <c r="B164" s="4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4"/>
      <c r="Y164" s="23"/>
      <c r="Z164" s="4" t="str">
        <f t="shared" si="0"/>
        <v/>
      </c>
      <c r="AA164" s="4" t="str">
        <f t="shared" si="1"/>
        <v/>
      </c>
      <c r="AB164" s="4" t="str">
        <f t="shared" si="2"/>
        <v/>
      </c>
      <c r="AC164" s="4">
        <v>0.64271496493251146</v>
      </c>
      <c r="AD164" s="4">
        <f t="shared" si="3"/>
        <v>-1.0292213982122502</v>
      </c>
      <c r="AE164" s="4" t="e">
        <f t="shared" si="4"/>
        <v>#VALUE!</v>
      </c>
      <c r="AF164" s="3" t="e">
        <f t="shared" si="5"/>
        <v>#VALUE!</v>
      </c>
      <c r="AG164" s="3"/>
      <c r="AH164" s="4"/>
      <c r="AI164" s="3"/>
      <c r="AJ164" s="3"/>
      <c r="AK164" s="3"/>
    </row>
    <row r="165" spans="1:37" ht="12.75" customHeight="1" x14ac:dyDescent="0.2">
      <c r="A165" s="14">
        <v>156</v>
      </c>
      <c r="B165" s="4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4"/>
      <c r="Y165" s="23"/>
      <c r="Z165" s="4" t="str">
        <f t="shared" si="0"/>
        <v/>
      </c>
      <c r="AA165" s="4" t="str">
        <f t="shared" si="1"/>
        <v/>
      </c>
      <c r="AB165" s="4" t="str">
        <f t="shared" si="2"/>
        <v/>
      </c>
      <c r="AC165" s="4">
        <v>0.63376522940466473</v>
      </c>
      <c r="AD165" s="4">
        <f t="shared" si="3"/>
        <v>-1.0044807015076735</v>
      </c>
      <c r="AE165" s="4" t="e">
        <f t="shared" si="4"/>
        <v>#VALUE!</v>
      </c>
      <c r="AF165" s="3" t="e">
        <f t="shared" si="5"/>
        <v>#VALUE!</v>
      </c>
      <c r="AG165" s="3"/>
      <c r="AH165" s="4"/>
      <c r="AI165" s="3"/>
      <c r="AJ165" s="3"/>
      <c r="AK165" s="3"/>
    </row>
    <row r="166" spans="1:37" ht="12.75" customHeight="1" x14ac:dyDescent="0.2">
      <c r="A166" s="14">
        <v>157</v>
      </c>
      <c r="B166" s="4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4"/>
      <c r="Y166" s="23"/>
      <c r="Z166" s="4" t="str">
        <f t="shared" si="0"/>
        <v/>
      </c>
      <c r="AA166" s="4" t="str">
        <f t="shared" si="1"/>
        <v/>
      </c>
      <c r="AB166" s="4" t="str">
        <f t="shared" si="2"/>
        <v/>
      </c>
      <c r="AC166" s="4">
        <v>0.63376522940466473</v>
      </c>
      <c r="AD166" s="4">
        <f t="shared" si="3"/>
        <v>-1.0044807015076735</v>
      </c>
      <c r="AE166" s="4" t="e">
        <f t="shared" si="4"/>
        <v>#VALUE!</v>
      </c>
      <c r="AF166" s="3" t="e">
        <f t="shared" si="5"/>
        <v>#VALUE!</v>
      </c>
      <c r="AG166" s="3"/>
      <c r="AH166" s="4"/>
      <c r="AI166" s="3"/>
      <c r="AJ166" s="3"/>
      <c r="AK166" s="3"/>
    </row>
    <row r="167" spans="1:37" ht="12.75" customHeight="1" x14ac:dyDescent="0.2">
      <c r="A167" s="14">
        <v>158</v>
      </c>
      <c r="B167" s="4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4"/>
      <c r="Y167" s="23"/>
      <c r="Z167" s="4" t="str">
        <f t="shared" si="0"/>
        <v/>
      </c>
      <c r="AA167" s="4" t="str">
        <f t="shared" si="1"/>
        <v/>
      </c>
      <c r="AB167" s="4" t="str">
        <f t="shared" si="2"/>
        <v/>
      </c>
      <c r="AC167" s="4">
        <v>0.63376522940466473</v>
      </c>
      <c r="AD167" s="4">
        <f t="shared" si="3"/>
        <v>-1.0044807015076735</v>
      </c>
      <c r="AE167" s="4" t="e">
        <f t="shared" si="4"/>
        <v>#VALUE!</v>
      </c>
      <c r="AF167" s="3" t="e">
        <f t="shared" si="5"/>
        <v>#VALUE!</v>
      </c>
      <c r="AG167" s="3"/>
      <c r="AH167" s="4"/>
      <c r="AI167" s="3"/>
      <c r="AJ167" s="3"/>
      <c r="AK167" s="3"/>
    </row>
    <row r="168" spans="1:37" ht="12.75" customHeight="1" x14ac:dyDescent="0.2">
      <c r="A168" s="14">
        <v>159</v>
      </c>
      <c r="B168" s="4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4"/>
      <c r="Y168" s="23"/>
      <c r="Z168" s="4" t="str">
        <f t="shared" si="0"/>
        <v/>
      </c>
      <c r="AA168" s="4" t="str">
        <f t="shared" si="1"/>
        <v/>
      </c>
      <c r="AB168" s="4" t="str">
        <f t="shared" si="2"/>
        <v/>
      </c>
      <c r="AC168" s="4">
        <v>0.63376522940466473</v>
      </c>
      <c r="AD168" s="4">
        <f t="shared" si="3"/>
        <v>-1.0044807015076735</v>
      </c>
      <c r="AE168" s="4" t="e">
        <f t="shared" si="4"/>
        <v>#VALUE!</v>
      </c>
      <c r="AF168" s="3" t="e">
        <f t="shared" si="5"/>
        <v>#VALUE!</v>
      </c>
      <c r="AG168" s="3"/>
      <c r="AH168" s="4"/>
      <c r="AI168" s="3"/>
      <c r="AJ168" s="3"/>
      <c r="AK168" s="3"/>
    </row>
    <row r="169" spans="1:37" ht="12.75" customHeight="1" x14ac:dyDescent="0.2">
      <c r="A169" s="14">
        <v>160</v>
      </c>
      <c r="B169" s="4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4"/>
      <c r="Y169" s="23"/>
      <c r="Z169" s="4" t="str">
        <f t="shared" si="0"/>
        <v/>
      </c>
      <c r="AA169" s="4" t="str">
        <f t="shared" si="1"/>
        <v/>
      </c>
      <c r="AB169" s="4" t="str">
        <f t="shared" si="2"/>
        <v/>
      </c>
      <c r="AC169" s="4">
        <v>0.63376522940466473</v>
      </c>
      <c r="AD169" s="4">
        <f t="shared" si="3"/>
        <v>-1.0044807015076735</v>
      </c>
      <c r="AE169" s="4" t="e">
        <f t="shared" si="4"/>
        <v>#VALUE!</v>
      </c>
      <c r="AF169" s="3" t="e">
        <f t="shared" si="5"/>
        <v>#VALUE!</v>
      </c>
      <c r="AG169" s="3"/>
      <c r="AH169" s="4"/>
      <c r="AI169" s="3"/>
      <c r="AJ169" s="3"/>
      <c r="AK169" s="3"/>
    </row>
    <row r="170" spans="1:37" ht="12.75" customHeight="1" x14ac:dyDescent="0.2">
      <c r="A170" s="14">
        <v>161</v>
      </c>
      <c r="B170" s="4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4"/>
      <c r="Y170" s="23"/>
      <c r="Z170" s="4" t="str">
        <f t="shared" si="0"/>
        <v/>
      </c>
      <c r="AA170" s="4" t="str">
        <f t="shared" si="1"/>
        <v/>
      </c>
      <c r="AB170" s="4" t="str">
        <f t="shared" si="2"/>
        <v/>
      </c>
      <c r="AC170" s="4">
        <v>0.63376522940466473</v>
      </c>
      <c r="AD170" s="4">
        <f t="shared" si="3"/>
        <v>-1.0044807015076735</v>
      </c>
      <c r="AE170" s="4" t="e">
        <f t="shared" si="4"/>
        <v>#VALUE!</v>
      </c>
      <c r="AF170" s="3" t="e">
        <f t="shared" si="5"/>
        <v>#VALUE!</v>
      </c>
      <c r="AG170" s="3"/>
      <c r="AH170" s="4"/>
      <c r="AI170" s="3"/>
      <c r="AJ170" s="3"/>
      <c r="AK170" s="3"/>
    </row>
    <row r="171" spans="1:37" ht="12.75" customHeight="1" x14ac:dyDescent="0.2">
      <c r="A171" s="14">
        <v>162</v>
      </c>
      <c r="B171" s="4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4"/>
      <c r="Y171" s="23"/>
      <c r="Z171" s="4" t="str">
        <f t="shared" si="0"/>
        <v/>
      </c>
      <c r="AA171" s="4" t="str">
        <f t="shared" si="1"/>
        <v/>
      </c>
      <c r="AB171" s="4" t="str">
        <f t="shared" si="2"/>
        <v/>
      </c>
      <c r="AC171" s="4">
        <v>0.63376522940466473</v>
      </c>
      <c r="AD171" s="4">
        <f t="shared" si="3"/>
        <v>-1.0044807015076735</v>
      </c>
      <c r="AE171" s="4" t="e">
        <f t="shared" si="4"/>
        <v>#VALUE!</v>
      </c>
      <c r="AF171" s="3" t="e">
        <f t="shared" si="5"/>
        <v>#VALUE!</v>
      </c>
      <c r="AG171" s="3"/>
      <c r="AH171" s="4"/>
      <c r="AI171" s="3"/>
      <c r="AJ171" s="3"/>
      <c r="AK171" s="3"/>
    </row>
    <row r="172" spans="1:37" ht="12.75" customHeight="1" x14ac:dyDescent="0.2">
      <c r="A172" s="14">
        <v>163</v>
      </c>
      <c r="B172" s="4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4"/>
      <c r="Y172" s="23"/>
      <c r="Z172" s="4" t="str">
        <f t="shared" si="0"/>
        <v/>
      </c>
      <c r="AA172" s="4" t="str">
        <f t="shared" si="1"/>
        <v/>
      </c>
      <c r="AB172" s="4" t="str">
        <f t="shared" si="2"/>
        <v/>
      </c>
      <c r="AC172" s="4">
        <v>0.63376522940466473</v>
      </c>
      <c r="AD172" s="4">
        <f t="shared" si="3"/>
        <v>-1.0044807015076735</v>
      </c>
      <c r="AE172" s="4" t="e">
        <f t="shared" si="4"/>
        <v>#VALUE!</v>
      </c>
      <c r="AF172" s="3" t="e">
        <f t="shared" si="5"/>
        <v>#VALUE!</v>
      </c>
      <c r="AG172" s="3"/>
      <c r="AH172" s="4"/>
      <c r="AI172" s="3"/>
      <c r="AJ172" s="3"/>
      <c r="AK172" s="3"/>
    </row>
    <row r="173" spans="1:37" ht="12.75" customHeight="1" x14ac:dyDescent="0.2">
      <c r="A173" s="14">
        <v>164</v>
      </c>
      <c r="B173" s="4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4"/>
      <c r="Y173" s="23"/>
      <c r="Z173" s="4" t="str">
        <f t="shared" si="0"/>
        <v/>
      </c>
      <c r="AA173" s="4" t="str">
        <f t="shared" si="1"/>
        <v/>
      </c>
      <c r="AB173" s="4" t="str">
        <f t="shared" si="2"/>
        <v/>
      </c>
      <c r="AC173" s="4">
        <v>0.63376522940466473</v>
      </c>
      <c r="AD173" s="4">
        <f t="shared" si="3"/>
        <v>-1.0044807015076735</v>
      </c>
      <c r="AE173" s="4" t="e">
        <f t="shared" si="4"/>
        <v>#VALUE!</v>
      </c>
      <c r="AF173" s="3" t="e">
        <f t="shared" si="5"/>
        <v>#VALUE!</v>
      </c>
      <c r="AG173" s="3"/>
      <c r="AH173" s="4"/>
      <c r="AI173" s="3"/>
      <c r="AJ173" s="3"/>
      <c r="AK173" s="3"/>
    </row>
    <row r="174" spans="1:37" ht="12.75" customHeight="1" x14ac:dyDescent="0.2">
      <c r="A174" s="14">
        <v>165</v>
      </c>
      <c r="B174" s="4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4"/>
      <c r="Y174" s="23"/>
      <c r="Z174" s="4" t="str">
        <f t="shared" si="0"/>
        <v/>
      </c>
      <c r="AA174" s="4" t="str">
        <f t="shared" si="1"/>
        <v/>
      </c>
      <c r="AB174" s="4" t="str">
        <f t="shared" si="2"/>
        <v/>
      </c>
      <c r="AC174" s="4">
        <v>0.62474213397034151</v>
      </c>
      <c r="AD174" s="4">
        <f t="shared" si="3"/>
        <v>-0.98014184658391446</v>
      </c>
      <c r="AE174" s="4" t="e">
        <f t="shared" si="4"/>
        <v>#VALUE!</v>
      </c>
      <c r="AF174" s="3" t="e">
        <f t="shared" si="5"/>
        <v>#VALUE!</v>
      </c>
      <c r="AG174" s="3"/>
      <c r="AH174" s="4"/>
      <c r="AI174" s="3"/>
      <c r="AJ174" s="3"/>
      <c r="AK174" s="3"/>
    </row>
    <row r="175" spans="1:37" ht="12.75" customHeight="1" x14ac:dyDescent="0.2">
      <c r="A175" s="14">
        <v>166</v>
      </c>
      <c r="B175" s="4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4"/>
      <c r="Y175" s="23"/>
      <c r="Z175" s="4" t="str">
        <f t="shared" si="0"/>
        <v/>
      </c>
      <c r="AA175" s="4" t="str">
        <f t="shared" si="1"/>
        <v/>
      </c>
      <c r="AB175" s="4" t="str">
        <f t="shared" si="2"/>
        <v/>
      </c>
      <c r="AC175" s="4">
        <v>0.62474213397034151</v>
      </c>
      <c r="AD175" s="4">
        <f t="shared" si="3"/>
        <v>-0.98014184658391446</v>
      </c>
      <c r="AE175" s="4" t="e">
        <f t="shared" si="4"/>
        <v>#VALUE!</v>
      </c>
      <c r="AF175" s="3" t="e">
        <f t="shared" si="5"/>
        <v>#VALUE!</v>
      </c>
      <c r="AG175" s="3"/>
      <c r="AH175" s="4"/>
      <c r="AI175" s="3"/>
      <c r="AJ175" s="3"/>
      <c r="AK175" s="3"/>
    </row>
    <row r="176" spans="1:37" ht="12.75" customHeight="1" x14ac:dyDescent="0.2">
      <c r="A176" s="14">
        <v>167</v>
      </c>
      <c r="B176" s="4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4"/>
      <c r="Y176" s="23"/>
      <c r="Z176" s="4" t="str">
        <f t="shared" si="0"/>
        <v/>
      </c>
      <c r="AA176" s="4" t="str">
        <f t="shared" si="1"/>
        <v/>
      </c>
      <c r="AB176" s="4" t="str">
        <f t="shared" si="2"/>
        <v/>
      </c>
      <c r="AC176" s="4">
        <v>0.62474213397034151</v>
      </c>
      <c r="AD176" s="4">
        <f t="shared" si="3"/>
        <v>-0.98014184658391446</v>
      </c>
      <c r="AE176" s="4" t="e">
        <f t="shared" si="4"/>
        <v>#VALUE!</v>
      </c>
      <c r="AF176" s="3" t="e">
        <f t="shared" si="5"/>
        <v>#VALUE!</v>
      </c>
      <c r="AG176" s="3"/>
      <c r="AH176" s="4"/>
      <c r="AI176" s="3"/>
      <c r="AJ176" s="3"/>
      <c r="AK176" s="3"/>
    </row>
    <row r="177" spans="1:37" ht="12.75" customHeight="1" x14ac:dyDescent="0.2">
      <c r="A177" s="14">
        <v>168</v>
      </c>
      <c r="B177" s="4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4"/>
      <c r="Y177" s="23"/>
      <c r="Z177" s="4" t="str">
        <f t="shared" si="0"/>
        <v/>
      </c>
      <c r="AA177" s="4" t="str">
        <f t="shared" si="1"/>
        <v/>
      </c>
      <c r="AB177" s="4" t="str">
        <f t="shared" si="2"/>
        <v/>
      </c>
      <c r="AC177" s="4">
        <v>0.62474213397034151</v>
      </c>
      <c r="AD177" s="4">
        <f t="shared" si="3"/>
        <v>-0.98014184658391446</v>
      </c>
      <c r="AE177" s="4" t="e">
        <f t="shared" si="4"/>
        <v>#VALUE!</v>
      </c>
      <c r="AF177" s="3" t="e">
        <f t="shared" si="5"/>
        <v>#VALUE!</v>
      </c>
      <c r="AG177" s="3"/>
      <c r="AH177" s="4"/>
      <c r="AI177" s="3"/>
      <c r="AJ177" s="3"/>
      <c r="AK177" s="3"/>
    </row>
    <row r="178" spans="1:37" ht="12.75" customHeight="1" x14ac:dyDescent="0.2">
      <c r="A178" s="14">
        <v>169</v>
      </c>
      <c r="B178" s="4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4"/>
      <c r="Y178" s="23"/>
      <c r="Z178" s="4" t="str">
        <f t="shared" si="0"/>
        <v/>
      </c>
      <c r="AA178" s="4" t="str">
        <f t="shared" si="1"/>
        <v/>
      </c>
      <c r="AB178" s="4" t="str">
        <f t="shared" si="2"/>
        <v/>
      </c>
      <c r="AC178" s="4">
        <v>0.62474213397034151</v>
      </c>
      <c r="AD178" s="4">
        <f t="shared" si="3"/>
        <v>-0.98014184658391446</v>
      </c>
      <c r="AE178" s="4" t="e">
        <f t="shared" si="4"/>
        <v>#VALUE!</v>
      </c>
      <c r="AF178" s="3" t="e">
        <f t="shared" si="5"/>
        <v>#VALUE!</v>
      </c>
      <c r="AG178" s="3"/>
      <c r="AH178" s="4"/>
      <c r="AI178" s="3"/>
      <c r="AJ178" s="3"/>
      <c r="AK178" s="3"/>
    </row>
    <row r="179" spans="1:37" ht="12.75" customHeight="1" x14ac:dyDescent="0.2">
      <c r="A179" s="14">
        <v>170</v>
      </c>
      <c r="B179" s="4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4"/>
      <c r="Y179" s="23"/>
      <c r="Z179" s="4" t="str">
        <f t="shared" si="0"/>
        <v/>
      </c>
      <c r="AA179" s="4" t="str">
        <f t="shared" si="1"/>
        <v/>
      </c>
      <c r="AB179" s="4" t="str">
        <f t="shared" si="2"/>
        <v/>
      </c>
      <c r="AC179" s="4">
        <v>0.62474213397034151</v>
      </c>
      <c r="AD179" s="4">
        <f t="shared" si="3"/>
        <v>-0.98014184658391446</v>
      </c>
      <c r="AE179" s="4" t="e">
        <f t="shared" si="4"/>
        <v>#VALUE!</v>
      </c>
      <c r="AF179" s="3" t="e">
        <f t="shared" si="5"/>
        <v>#VALUE!</v>
      </c>
      <c r="AG179" s="3"/>
      <c r="AH179" s="4"/>
      <c r="AI179" s="3"/>
      <c r="AJ179" s="3"/>
      <c r="AK179" s="3"/>
    </row>
    <row r="180" spans="1:37" ht="12.75" customHeight="1" x14ac:dyDescent="0.2">
      <c r="A180" s="14">
        <v>171</v>
      </c>
      <c r="B180" s="4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4"/>
      <c r="Y180" s="23"/>
      <c r="Z180" s="4" t="str">
        <f t="shared" si="0"/>
        <v/>
      </c>
      <c r="AA180" s="4" t="str">
        <f t="shared" si="1"/>
        <v/>
      </c>
      <c r="AB180" s="4" t="str">
        <f t="shared" si="2"/>
        <v/>
      </c>
      <c r="AC180" s="4">
        <v>0.62474213397034151</v>
      </c>
      <c r="AD180" s="4">
        <f t="shared" si="3"/>
        <v>-0.98014184658391446</v>
      </c>
      <c r="AE180" s="4" t="e">
        <f t="shared" si="4"/>
        <v>#VALUE!</v>
      </c>
      <c r="AF180" s="3" t="e">
        <f t="shared" si="5"/>
        <v>#VALUE!</v>
      </c>
      <c r="AG180" s="3"/>
      <c r="AH180" s="4"/>
      <c r="AI180" s="3"/>
      <c r="AJ180" s="3"/>
      <c r="AK180" s="3"/>
    </row>
    <row r="181" spans="1:37" ht="12.75" customHeight="1" x14ac:dyDescent="0.2">
      <c r="A181" s="14">
        <v>172</v>
      </c>
      <c r="B181" s="4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4"/>
      <c r="Y181" s="23"/>
      <c r="Z181" s="4" t="str">
        <f t="shared" si="0"/>
        <v/>
      </c>
      <c r="AA181" s="4" t="str">
        <f t="shared" si="1"/>
        <v/>
      </c>
      <c r="AB181" s="4" t="str">
        <f t="shared" si="2"/>
        <v/>
      </c>
      <c r="AC181" s="4">
        <v>0.62474213397034151</v>
      </c>
      <c r="AD181" s="4">
        <f t="shared" si="3"/>
        <v>-0.98014184658391446</v>
      </c>
      <c r="AE181" s="4" t="e">
        <f t="shared" si="4"/>
        <v>#VALUE!</v>
      </c>
      <c r="AF181" s="3" t="e">
        <f t="shared" si="5"/>
        <v>#VALUE!</v>
      </c>
      <c r="AG181" s="3"/>
      <c r="AH181" s="4"/>
      <c r="AI181" s="3"/>
      <c r="AJ181" s="3"/>
      <c r="AK181" s="3"/>
    </row>
    <row r="182" spans="1:37" ht="12.75" customHeight="1" x14ac:dyDescent="0.2">
      <c r="A182" s="14">
        <v>173</v>
      </c>
      <c r="B182" s="4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4"/>
      <c r="Y182" s="23"/>
      <c r="Z182" s="4" t="str">
        <f t="shared" si="0"/>
        <v/>
      </c>
      <c r="AA182" s="4" t="str">
        <f t="shared" si="1"/>
        <v/>
      </c>
      <c r="AB182" s="4" t="str">
        <f t="shared" si="2"/>
        <v/>
      </c>
      <c r="AC182" s="4">
        <v>0.62474213397034151</v>
      </c>
      <c r="AD182" s="4">
        <f t="shared" si="3"/>
        <v>-0.98014184658391446</v>
      </c>
      <c r="AE182" s="4" t="e">
        <f t="shared" si="4"/>
        <v>#VALUE!</v>
      </c>
      <c r="AF182" s="3" t="e">
        <f t="shared" si="5"/>
        <v>#VALUE!</v>
      </c>
      <c r="AG182" s="3"/>
      <c r="AH182" s="4"/>
      <c r="AI182" s="3"/>
      <c r="AJ182" s="3"/>
      <c r="AK182" s="3"/>
    </row>
    <row r="183" spans="1:37" ht="12.75" customHeight="1" x14ac:dyDescent="0.2">
      <c r="A183" s="14">
        <v>174</v>
      </c>
      <c r="B183" s="4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4"/>
      <c r="Y183" s="23"/>
      <c r="Z183" s="4" t="str">
        <f t="shared" si="0"/>
        <v/>
      </c>
      <c r="AA183" s="4" t="str">
        <f t="shared" si="1"/>
        <v/>
      </c>
      <c r="AB183" s="4" t="str">
        <f t="shared" si="2"/>
        <v/>
      </c>
      <c r="AC183" s="4">
        <v>0.62474213397034151</v>
      </c>
      <c r="AD183" s="4">
        <f t="shared" si="3"/>
        <v>-0.98014184658391446</v>
      </c>
      <c r="AE183" s="4" t="e">
        <f t="shared" si="4"/>
        <v>#VALUE!</v>
      </c>
      <c r="AF183" s="3" t="e">
        <f t="shared" si="5"/>
        <v>#VALUE!</v>
      </c>
      <c r="AG183" s="3"/>
      <c r="AH183" s="4"/>
      <c r="AI183" s="3"/>
      <c r="AJ183" s="3"/>
      <c r="AK183" s="3"/>
    </row>
    <row r="184" spans="1:37" ht="12.75" customHeight="1" x14ac:dyDescent="0.2">
      <c r="A184" s="14">
        <v>175</v>
      </c>
      <c r="B184" s="4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4"/>
      <c r="Y184" s="23"/>
      <c r="Z184" s="4" t="str">
        <f t="shared" si="0"/>
        <v/>
      </c>
      <c r="AA184" s="4" t="str">
        <f t="shared" si="1"/>
        <v/>
      </c>
      <c r="AB184" s="4" t="str">
        <f t="shared" si="2"/>
        <v/>
      </c>
      <c r="AC184" s="4">
        <v>0.62474213397034151</v>
      </c>
      <c r="AD184" s="4">
        <f t="shared" si="3"/>
        <v>-0.98014184658391446</v>
      </c>
      <c r="AE184" s="4" t="e">
        <f t="shared" si="4"/>
        <v>#VALUE!</v>
      </c>
      <c r="AF184" s="3" t="e">
        <f t="shared" si="5"/>
        <v>#VALUE!</v>
      </c>
      <c r="AG184" s="3"/>
      <c r="AH184" s="4"/>
      <c r="AI184" s="3"/>
      <c r="AJ184" s="3"/>
      <c r="AK184" s="3"/>
    </row>
    <row r="185" spans="1:37" ht="12.75" customHeight="1" x14ac:dyDescent="0.2">
      <c r="A185" s="14">
        <v>176</v>
      </c>
      <c r="B185" s="4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4"/>
      <c r="Y185" s="23"/>
      <c r="Z185" s="4" t="str">
        <f t="shared" si="0"/>
        <v/>
      </c>
      <c r="AA185" s="4" t="str">
        <f t="shared" si="1"/>
        <v/>
      </c>
      <c r="AB185" s="4" t="str">
        <f t="shared" si="2"/>
        <v/>
      </c>
      <c r="AC185" s="4">
        <v>0.62474213397034151</v>
      </c>
      <c r="AD185" s="4">
        <f t="shared" si="3"/>
        <v>-0.98014184658391446</v>
      </c>
      <c r="AE185" s="4" t="e">
        <f t="shared" si="4"/>
        <v>#VALUE!</v>
      </c>
      <c r="AF185" s="3" t="e">
        <f t="shared" si="5"/>
        <v>#VALUE!</v>
      </c>
      <c r="AG185" s="3"/>
      <c r="AH185" s="4"/>
      <c r="AI185" s="3"/>
      <c r="AJ185" s="3"/>
      <c r="AK185" s="3"/>
    </row>
    <row r="186" spans="1:37" ht="12.75" customHeight="1" x14ac:dyDescent="0.2">
      <c r="A186" s="14">
        <v>177</v>
      </c>
      <c r="B186" s="4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4"/>
      <c r="Y186" s="23"/>
      <c r="Z186" s="4" t="str">
        <f t="shared" si="0"/>
        <v/>
      </c>
      <c r="AA186" s="4" t="str">
        <f t="shared" si="1"/>
        <v/>
      </c>
      <c r="AB186" s="4" t="str">
        <f t="shared" si="2"/>
        <v/>
      </c>
      <c r="AC186" s="4">
        <v>0.62474213397034151</v>
      </c>
      <c r="AD186" s="4">
        <f t="shared" si="3"/>
        <v>-0.98014184658391446</v>
      </c>
      <c r="AE186" s="4" t="e">
        <f t="shared" si="4"/>
        <v>#VALUE!</v>
      </c>
      <c r="AF186" s="3" t="e">
        <f t="shared" si="5"/>
        <v>#VALUE!</v>
      </c>
      <c r="AG186" s="3"/>
      <c r="AH186" s="4"/>
      <c r="AI186" s="3"/>
      <c r="AJ186" s="3"/>
      <c r="AK186" s="3"/>
    </row>
    <row r="187" spans="1:37" ht="12.75" customHeight="1" x14ac:dyDescent="0.2">
      <c r="A187" s="14">
        <v>178</v>
      </c>
      <c r="B187" s="4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4"/>
      <c r="Y187" s="23"/>
      <c r="Z187" s="4" t="str">
        <f t="shared" si="0"/>
        <v/>
      </c>
      <c r="AA187" s="4" t="str">
        <f t="shared" si="1"/>
        <v/>
      </c>
      <c r="AB187" s="4" t="str">
        <f t="shared" si="2"/>
        <v/>
      </c>
      <c r="AC187" s="4">
        <v>0.62474213397034151</v>
      </c>
      <c r="AD187" s="4">
        <f t="shared" si="3"/>
        <v>-0.98014184658391446</v>
      </c>
      <c r="AE187" s="4" t="e">
        <f t="shared" si="4"/>
        <v>#VALUE!</v>
      </c>
      <c r="AF187" s="3" t="e">
        <f t="shared" si="5"/>
        <v>#VALUE!</v>
      </c>
      <c r="AG187" s="3"/>
      <c r="AH187" s="4"/>
      <c r="AI187" s="3"/>
      <c r="AJ187" s="3"/>
      <c r="AK187" s="3"/>
    </row>
    <row r="188" spans="1:37" ht="12.75" customHeight="1" x14ac:dyDescent="0.2">
      <c r="A188" s="14">
        <v>179</v>
      </c>
      <c r="B188" s="4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4"/>
      <c r="Y188" s="23"/>
      <c r="Z188" s="4" t="str">
        <f t="shared" si="0"/>
        <v/>
      </c>
      <c r="AA188" s="4" t="str">
        <f t="shared" si="1"/>
        <v/>
      </c>
      <c r="AB188" s="4" t="str">
        <f t="shared" si="2"/>
        <v/>
      </c>
      <c r="AC188" s="4">
        <v>0.62474213397034151</v>
      </c>
      <c r="AD188" s="4">
        <f t="shared" si="3"/>
        <v>-0.98014184658391446</v>
      </c>
      <c r="AE188" s="4" t="e">
        <f t="shared" si="4"/>
        <v>#VALUE!</v>
      </c>
      <c r="AF188" s="3" t="e">
        <f t="shared" si="5"/>
        <v>#VALUE!</v>
      </c>
      <c r="AG188" s="3"/>
      <c r="AH188" s="4"/>
      <c r="AI188" s="3"/>
      <c r="AJ188" s="3"/>
      <c r="AK188" s="3"/>
    </row>
    <row r="189" spans="1:37" ht="12.75" customHeight="1" x14ac:dyDescent="0.2">
      <c r="A189" s="14">
        <v>180</v>
      </c>
      <c r="B189" s="4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4"/>
      <c r="Y189" s="23"/>
      <c r="Z189" s="4" t="str">
        <f t="shared" si="0"/>
        <v/>
      </c>
      <c r="AA189" s="4" t="str">
        <f t="shared" si="1"/>
        <v/>
      </c>
      <c r="AB189" s="4" t="str">
        <f t="shared" si="2"/>
        <v/>
      </c>
      <c r="AC189" s="4">
        <v>0.62474213397034151</v>
      </c>
      <c r="AD189" s="4">
        <f t="shared" si="3"/>
        <v>-0.98014184658391446</v>
      </c>
      <c r="AE189" s="4" t="e">
        <f t="shared" si="4"/>
        <v>#VALUE!</v>
      </c>
      <c r="AF189" s="3" t="e">
        <f t="shared" si="5"/>
        <v>#VALUE!</v>
      </c>
      <c r="AG189" s="3"/>
      <c r="AH189" s="4"/>
      <c r="AI189" s="3"/>
      <c r="AJ189" s="3"/>
      <c r="AK189" s="3"/>
    </row>
    <row r="190" spans="1:37" ht="12.75" customHeight="1" x14ac:dyDescent="0.2">
      <c r="A190" s="14">
        <v>181</v>
      </c>
      <c r="B190" s="4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4"/>
      <c r="Y190" s="23"/>
      <c r="Z190" s="4" t="str">
        <f t="shared" si="0"/>
        <v/>
      </c>
      <c r="AA190" s="4" t="str">
        <f t="shared" si="1"/>
        <v/>
      </c>
      <c r="AB190" s="4" t="str">
        <f t="shared" si="2"/>
        <v/>
      </c>
      <c r="AC190" s="4">
        <v>0.62474213397034151</v>
      </c>
      <c r="AD190" s="4">
        <f t="shared" si="3"/>
        <v>-0.98014184658391446</v>
      </c>
      <c r="AE190" s="4" t="e">
        <f t="shared" si="4"/>
        <v>#VALUE!</v>
      </c>
      <c r="AF190" s="3" t="e">
        <f t="shared" si="5"/>
        <v>#VALUE!</v>
      </c>
      <c r="AG190" s="3"/>
      <c r="AH190" s="4"/>
      <c r="AI190" s="3"/>
      <c r="AJ190" s="3"/>
      <c r="AK190" s="3"/>
    </row>
    <row r="191" spans="1:37" ht="12.75" customHeight="1" x14ac:dyDescent="0.2">
      <c r="A191" s="14">
        <v>182</v>
      </c>
      <c r="B191" s="4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4"/>
      <c r="Y191" s="23"/>
      <c r="Z191" s="4" t="str">
        <f t="shared" si="0"/>
        <v/>
      </c>
      <c r="AA191" s="4" t="str">
        <f t="shared" si="1"/>
        <v/>
      </c>
      <c r="AB191" s="4" t="str">
        <f t="shared" si="2"/>
        <v/>
      </c>
      <c r="AC191" s="4">
        <v>0.62474213397034151</v>
      </c>
      <c r="AD191" s="4">
        <f t="shared" si="3"/>
        <v>-0.98014184658391446</v>
      </c>
      <c r="AE191" s="4" t="e">
        <f t="shared" si="4"/>
        <v>#VALUE!</v>
      </c>
      <c r="AF191" s="3" t="e">
        <f t="shared" si="5"/>
        <v>#VALUE!</v>
      </c>
      <c r="AG191" s="3"/>
      <c r="AH191" s="4"/>
      <c r="AI191" s="3"/>
      <c r="AJ191" s="3"/>
      <c r="AK191" s="3"/>
    </row>
    <row r="192" spans="1:37" ht="12.75" customHeight="1" x14ac:dyDescent="0.2">
      <c r="A192" s="14">
        <v>183</v>
      </c>
      <c r="B192" s="4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4"/>
      <c r="Y192" s="23"/>
      <c r="Z192" s="4" t="str">
        <f t="shared" si="0"/>
        <v/>
      </c>
      <c r="AA192" s="4" t="str">
        <f t="shared" si="1"/>
        <v/>
      </c>
      <c r="AB192" s="4" t="str">
        <f t="shared" si="2"/>
        <v/>
      </c>
      <c r="AC192" s="4">
        <v>0.62474213397034151</v>
      </c>
      <c r="AD192" s="4">
        <f t="shared" si="3"/>
        <v>-0.98014184658391446</v>
      </c>
      <c r="AE192" s="4" t="e">
        <f t="shared" si="4"/>
        <v>#VALUE!</v>
      </c>
      <c r="AF192" s="3" t="e">
        <f t="shared" si="5"/>
        <v>#VALUE!</v>
      </c>
      <c r="AG192" s="3"/>
      <c r="AH192" s="4"/>
      <c r="AI192" s="3"/>
      <c r="AJ192" s="3"/>
      <c r="AK192" s="3"/>
    </row>
    <row r="193" spans="1:37" ht="12.75" customHeight="1" x14ac:dyDescent="0.2">
      <c r="A193" s="14">
        <v>184</v>
      </c>
      <c r="B193" s="4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4"/>
      <c r="Y193" s="23"/>
      <c r="Z193" s="4" t="str">
        <f t="shared" si="0"/>
        <v/>
      </c>
      <c r="AA193" s="4" t="str">
        <f t="shared" si="1"/>
        <v/>
      </c>
      <c r="AB193" s="4" t="str">
        <f t="shared" si="2"/>
        <v/>
      </c>
      <c r="AC193" s="4">
        <v>0.62474213397034151</v>
      </c>
      <c r="AD193" s="4">
        <f t="shared" si="3"/>
        <v>-0.98014184658391446</v>
      </c>
      <c r="AE193" s="4" t="e">
        <f t="shared" si="4"/>
        <v>#VALUE!</v>
      </c>
      <c r="AF193" s="3" t="e">
        <f t="shared" si="5"/>
        <v>#VALUE!</v>
      </c>
      <c r="AG193" s="3"/>
      <c r="AH193" s="4"/>
      <c r="AI193" s="3"/>
      <c r="AJ193" s="3"/>
      <c r="AK193" s="3"/>
    </row>
    <row r="194" spans="1:37" ht="12.75" customHeight="1" x14ac:dyDescent="0.2">
      <c r="A194" s="14">
        <v>185</v>
      </c>
      <c r="B194" s="4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4"/>
      <c r="Y194" s="23"/>
      <c r="Z194" s="4" t="str">
        <f t="shared" si="0"/>
        <v/>
      </c>
      <c r="AA194" s="4" t="str">
        <f t="shared" si="1"/>
        <v/>
      </c>
      <c r="AB194" s="4" t="str">
        <f t="shared" si="2"/>
        <v/>
      </c>
      <c r="AC194" s="4">
        <v>0.62474213397034151</v>
      </c>
      <c r="AD194" s="4">
        <f t="shared" si="3"/>
        <v>-0.98014184658391446</v>
      </c>
      <c r="AE194" s="4" t="e">
        <f t="shared" si="4"/>
        <v>#VALUE!</v>
      </c>
      <c r="AF194" s="3" t="e">
        <f t="shared" si="5"/>
        <v>#VALUE!</v>
      </c>
      <c r="AG194" s="3"/>
      <c r="AH194" s="4"/>
      <c r="AI194" s="3"/>
      <c r="AJ194" s="3"/>
      <c r="AK194" s="3"/>
    </row>
    <row r="195" spans="1:37" ht="12.75" customHeight="1" x14ac:dyDescent="0.2">
      <c r="A195" s="14">
        <v>186</v>
      </c>
      <c r="B195" s="4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4"/>
      <c r="Y195" s="23"/>
      <c r="Z195" s="4" t="str">
        <f t="shared" si="0"/>
        <v/>
      </c>
      <c r="AA195" s="4" t="str">
        <f t="shared" si="1"/>
        <v/>
      </c>
      <c r="AB195" s="4" t="str">
        <f t="shared" si="2"/>
        <v/>
      </c>
      <c r="AC195" s="4">
        <v>0.62474213397034151</v>
      </c>
      <c r="AD195" s="4">
        <f t="shared" si="3"/>
        <v>-0.98014184658391446</v>
      </c>
      <c r="AE195" s="4" t="e">
        <f t="shared" si="4"/>
        <v>#VALUE!</v>
      </c>
      <c r="AF195" s="3" t="e">
        <f t="shared" si="5"/>
        <v>#VALUE!</v>
      </c>
      <c r="AG195" s="3"/>
      <c r="AH195" s="4"/>
      <c r="AI195" s="3"/>
      <c r="AJ195" s="3"/>
      <c r="AK195" s="3"/>
    </row>
    <row r="196" spans="1:37" ht="12.75" customHeight="1" x14ac:dyDescent="0.2">
      <c r="A196" s="14">
        <v>187</v>
      </c>
      <c r="B196" s="4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4"/>
      <c r="Y196" s="23"/>
      <c r="Z196" s="4" t="str">
        <f t="shared" si="0"/>
        <v/>
      </c>
      <c r="AA196" s="4" t="str">
        <f t="shared" si="1"/>
        <v/>
      </c>
      <c r="AB196" s="4" t="str">
        <f t="shared" si="2"/>
        <v/>
      </c>
      <c r="AC196" s="4">
        <v>0.62474213397034151</v>
      </c>
      <c r="AD196" s="4">
        <f t="shared" si="3"/>
        <v>-0.98014184658391446</v>
      </c>
      <c r="AE196" s="4" t="e">
        <f t="shared" si="4"/>
        <v>#VALUE!</v>
      </c>
      <c r="AF196" s="3" t="e">
        <f t="shared" si="5"/>
        <v>#VALUE!</v>
      </c>
      <c r="AG196" s="3"/>
      <c r="AH196" s="4"/>
      <c r="AI196" s="3"/>
      <c r="AJ196" s="3"/>
      <c r="AK196" s="3"/>
    </row>
    <row r="197" spans="1:37" ht="12.75" customHeight="1" x14ac:dyDescent="0.2">
      <c r="A197" s="14">
        <v>188</v>
      </c>
      <c r="B197" s="4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4"/>
      <c r="Y197" s="23"/>
      <c r="Z197" s="4" t="str">
        <f t="shared" si="0"/>
        <v/>
      </c>
      <c r="AA197" s="4" t="str">
        <f t="shared" si="1"/>
        <v/>
      </c>
      <c r="AB197" s="4" t="str">
        <f t="shared" si="2"/>
        <v/>
      </c>
      <c r="AC197" s="4">
        <v>0.62474213397034151</v>
      </c>
      <c r="AD197" s="4">
        <f t="shared" si="3"/>
        <v>-0.98014184658391446</v>
      </c>
      <c r="AE197" s="4" t="e">
        <f t="shared" si="4"/>
        <v>#VALUE!</v>
      </c>
      <c r="AF197" s="3" t="e">
        <f t="shared" si="5"/>
        <v>#VALUE!</v>
      </c>
      <c r="AG197" s="3"/>
      <c r="AH197" s="4"/>
      <c r="AI197" s="3"/>
      <c r="AJ197" s="3"/>
      <c r="AK197" s="3"/>
    </row>
    <row r="198" spans="1:37" ht="12.75" customHeight="1" x14ac:dyDescent="0.2">
      <c r="A198" s="14">
        <v>189</v>
      </c>
      <c r="B198" s="4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4"/>
      <c r="Y198" s="23"/>
      <c r="Z198" s="4" t="str">
        <f t="shared" si="0"/>
        <v/>
      </c>
      <c r="AA198" s="4" t="str">
        <f t="shared" si="1"/>
        <v/>
      </c>
      <c r="AB198" s="4" t="str">
        <f t="shared" si="2"/>
        <v/>
      </c>
      <c r="AC198" s="4">
        <v>0.62474213397034151</v>
      </c>
      <c r="AD198" s="4">
        <f t="shared" si="3"/>
        <v>-0.98014184658391446</v>
      </c>
      <c r="AE198" s="4" t="e">
        <f t="shared" si="4"/>
        <v>#VALUE!</v>
      </c>
      <c r="AF198" s="3" t="e">
        <f t="shared" si="5"/>
        <v>#VALUE!</v>
      </c>
      <c r="AG198" s="3"/>
      <c r="AH198" s="4"/>
      <c r="AI198" s="3"/>
      <c r="AJ198" s="3"/>
      <c r="AK198" s="3"/>
    </row>
    <row r="199" spans="1:37" ht="12.75" customHeight="1" x14ac:dyDescent="0.2">
      <c r="A199" s="14">
        <v>190</v>
      </c>
      <c r="B199" s="4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4"/>
      <c r="Y199" s="23"/>
      <c r="Z199" s="4" t="str">
        <f t="shared" si="0"/>
        <v/>
      </c>
      <c r="AA199" s="4" t="str">
        <f t="shared" si="1"/>
        <v/>
      </c>
      <c r="AB199" s="4" t="str">
        <f t="shared" si="2"/>
        <v/>
      </c>
      <c r="AC199" s="4">
        <v>0.62474213397034151</v>
      </c>
      <c r="AD199" s="4">
        <f t="shared" si="3"/>
        <v>-0.98014184658391446</v>
      </c>
      <c r="AE199" s="4" t="e">
        <f t="shared" si="4"/>
        <v>#VALUE!</v>
      </c>
      <c r="AF199" s="3" t="e">
        <f t="shared" si="5"/>
        <v>#VALUE!</v>
      </c>
      <c r="AG199" s="3"/>
      <c r="AH199" s="4"/>
      <c r="AI199" s="3"/>
      <c r="AJ199" s="3"/>
      <c r="AK199" s="3"/>
    </row>
    <row r="200" spans="1:37" ht="12.75" customHeight="1" x14ac:dyDescent="0.2">
      <c r="A200" s="14">
        <v>191</v>
      </c>
      <c r="B200" s="4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4"/>
      <c r="Y200" s="23"/>
      <c r="Z200" s="4" t="str">
        <f t="shared" si="0"/>
        <v/>
      </c>
      <c r="AA200" s="4" t="str">
        <f t="shared" si="1"/>
        <v/>
      </c>
      <c r="AB200" s="4" t="str">
        <f t="shared" si="2"/>
        <v/>
      </c>
      <c r="AC200" s="4">
        <v>0.62474213397034151</v>
      </c>
      <c r="AD200" s="4">
        <f t="shared" si="3"/>
        <v>-0.98014184658391446</v>
      </c>
      <c r="AE200" s="4" t="e">
        <f t="shared" si="4"/>
        <v>#VALUE!</v>
      </c>
      <c r="AF200" s="3" t="e">
        <f t="shared" si="5"/>
        <v>#VALUE!</v>
      </c>
      <c r="AG200" s="3"/>
      <c r="AH200" s="4"/>
      <c r="AI200" s="3"/>
      <c r="AJ200" s="3"/>
      <c r="AK200" s="3"/>
    </row>
    <row r="201" spans="1:37" ht="12.75" customHeight="1" x14ac:dyDescent="0.2">
      <c r="A201" s="14">
        <v>192</v>
      </c>
      <c r="B201" s="4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4"/>
      <c r="Y201" s="23"/>
      <c r="Z201" s="4" t="str">
        <f t="shared" si="0"/>
        <v/>
      </c>
      <c r="AA201" s="4" t="str">
        <f t="shared" si="1"/>
        <v/>
      </c>
      <c r="AB201" s="4" t="str">
        <f t="shared" si="2"/>
        <v/>
      </c>
      <c r="AC201" s="4">
        <v>0.62474213397034151</v>
      </c>
      <c r="AD201" s="4">
        <f t="shared" si="3"/>
        <v>-0.98014184658391446</v>
      </c>
      <c r="AE201" s="4" t="e">
        <f t="shared" si="4"/>
        <v>#VALUE!</v>
      </c>
      <c r="AF201" s="3" t="e">
        <f t="shared" si="5"/>
        <v>#VALUE!</v>
      </c>
      <c r="AG201" s="3"/>
      <c r="AH201" s="4"/>
      <c r="AI201" s="3"/>
      <c r="AJ201" s="3"/>
      <c r="AK201" s="3"/>
    </row>
    <row r="202" spans="1:37" ht="12.75" customHeight="1" x14ac:dyDescent="0.2">
      <c r="A202" s="14">
        <v>193</v>
      </c>
      <c r="B202" s="4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4"/>
      <c r="Y202" s="23"/>
      <c r="Z202" s="4" t="str">
        <f t="shared" si="0"/>
        <v/>
      </c>
      <c r="AA202" s="4" t="str">
        <f t="shared" si="1"/>
        <v/>
      </c>
      <c r="AB202" s="4" t="str">
        <f t="shared" si="2"/>
        <v/>
      </c>
      <c r="AC202" s="4">
        <v>0.62474213397034151</v>
      </c>
      <c r="AD202" s="4">
        <f t="shared" si="3"/>
        <v>-0.98014184658391446</v>
      </c>
      <c r="AE202" s="4" t="e">
        <f t="shared" si="4"/>
        <v>#VALUE!</v>
      </c>
      <c r="AF202" s="3" t="e">
        <f t="shared" si="5"/>
        <v>#VALUE!</v>
      </c>
      <c r="AG202" s="3"/>
      <c r="AH202" s="4"/>
      <c r="AI202" s="3"/>
      <c r="AJ202" s="3"/>
      <c r="AK202" s="3"/>
    </row>
    <row r="203" spans="1:37" ht="12.75" customHeight="1" x14ac:dyDescent="0.2">
      <c r="A203" s="14">
        <v>194</v>
      </c>
      <c r="B203" s="4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4"/>
      <c r="Y203" s="23"/>
      <c r="Z203" s="4" t="str">
        <f t="shared" si="0"/>
        <v/>
      </c>
      <c r="AA203" s="4" t="str">
        <f t="shared" si="1"/>
        <v/>
      </c>
      <c r="AB203" s="4" t="str">
        <f t="shared" si="2"/>
        <v/>
      </c>
      <c r="AC203" s="4">
        <v>0.62474213397034151</v>
      </c>
      <c r="AD203" s="4">
        <f t="shared" si="3"/>
        <v>-0.98014184658391446</v>
      </c>
      <c r="AE203" s="4" t="e">
        <f t="shared" si="4"/>
        <v>#VALUE!</v>
      </c>
      <c r="AF203" s="3" t="e">
        <f t="shared" si="5"/>
        <v>#VALUE!</v>
      </c>
      <c r="AG203" s="3"/>
      <c r="AH203" s="4"/>
      <c r="AI203" s="3"/>
      <c r="AJ203" s="3"/>
      <c r="AK203" s="3"/>
    </row>
    <row r="204" spans="1:37" ht="12.75" customHeight="1" x14ac:dyDescent="0.2">
      <c r="A204" s="14">
        <v>195</v>
      </c>
      <c r="B204" s="4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4"/>
      <c r="Y204" s="23"/>
      <c r="Z204" s="4" t="str">
        <f t="shared" si="0"/>
        <v/>
      </c>
      <c r="AA204" s="4" t="str">
        <f t="shared" si="1"/>
        <v/>
      </c>
      <c r="AB204" s="4" t="str">
        <f t="shared" si="2"/>
        <v/>
      </c>
      <c r="AC204" s="4">
        <v>0.62474213397034151</v>
      </c>
      <c r="AD204" s="4">
        <f t="shared" si="3"/>
        <v>-0.98014184658391446</v>
      </c>
      <c r="AE204" s="4" t="e">
        <f t="shared" si="4"/>
        <v>#VALUE!</v>
      </c>
      <c r="AF204" s="3" t="e">
        <f t="shared" si="5"/>
        <v>#VALUE!</v>
      </c>
      <c r="AG204" s="3"/>
      <c r="AH204" s="4"/>
      <c r="AI204" s="3"/>
      <c r="AJ204" s="3"/>
      <c r="AK204" s="3"/>
    </row>
    <row r="205" spans="1:37" ht="12.75" customHeight="1" x14ac:dyDescent="0.2">
      <c r="A205" s="14">
        <v>196</v>
      </c>
      <c r="B205" s="4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4"/>
      <c r="Y205" s="23"/>
      <c r="Z205" s="4" t="str">
        <f t="shared" si="0"/>
        <v/>
      </c>
      <c r="AA205" s="4" t="str">
        <f t="shared" si="1"/>
        <v/>
      </c>
      <c r="AB205" s="4" t="str">
        <f t="shared" si="2"/>
        <v/>
      </c>
      <c r="AC205" s="4">
        <v>0.62474213397034151</v>
      </c>
      <c r="AD205" s="4">
        <f t="shared" si="3"/>
        <v>-0.98014184658391446</v>
      </c>
      <c r="AE205" s="4" t="e">
        <f t="shared" si="4"/>
        <v>#VALUE!</v>
      </c>
      <c r="AF205" s="3" t="e">
        <f t="shared" si="5"/>
        <v>#VALUE!</v>
      </c>
      <c r="AG205" s="3"/>
      <c r="AH205" s="4"/>
      <c r="AI205" s="3"/>
      <c r="AJ205" s="3"/>
      <c r="AK205" s="3"/>
    </row>
    <row r="206" spans="1:37" ht="12.75" customHeight="1" x14ac:dyDescent="0.2">
      <c r="A206" s="14">
        <v>197</v>
      </c>
      <c r="B206" s="4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4"/>
      <c r="Y206" s="23"/>
      <c r="Z206" s="4" t="str">
        <f t="shared" si="0"/>
        <v/>
      </c>
      <c r="AA206" s="4" t="str">
        <f t="shared" si="1"/>
        <v/>
      </c>
      <c r="AB206" s="4" t="str">
        <f t="shared" si="2"/>
        <v/>
      </c>
      <c r="AC206" s="4">
        <v>0.62474213397034151</v>
      </c>
      <c r="AD206" s="4">
        <f t="shared" si="3"/>
        <v>-0.98014184658391446</v>
      </c>
      <c r="AE206" s="4" t="e">
        <f t="shared" si="4"/>
        <v>#VALUE!</v>
      </c>
      <c r="AF206" s="3" t="e">
        <f t="shared" si="5"/>
        <v>#VALUE!</v>
      </c>
      <c r="AG206" s="3"/>
      <c r="AH206" s="4"/>
      <c r="AI206" s="3"/>
      <c r="AJ206" s="3"/>
      <c r="AK206" s="3"/>
    </row>
    <row r="207" spans="1:37" ht="12.75" customHeight="1" x14ac:dyDescent="0.2">
      <c r="A207" s="14">
        <v>198</v>
      </c>
      <c r="B207" s="4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4"/>
      <c r="Y207" s="23"/>
      <c r="Z207" s="4" t="str">
        <f t="shared" si="0"/>
        <v/>
      </c>
      <c r="AA207" s="4" t="str">
        <f t="shared" si="1"/>
        <v/>
      </c>
      <c r="AB207" s="4" t="str">
        <f t="shared" si="2"/>
        <v/>
      </c>
      <c r="AC207" s="4">
        <v>0.62474213397034151</v>
      </c>
      <c r="AD207" s="4">
        <f t="shared" si="3"/>
        <v>-0.98014184658391446</v>
      </c>
      <c r="AE207" s="4" t="e">
        <f t="shared" si="4"/>
        <v>#VALUE!</v>
      </c>
      <c r="AF207" s="3" t="e">
        <f t="shared" si="5"/>
        <v>#VALUE!</v>
      </c>
      <c r="AG207" s="3"/>
      <c r="AH207" s="4"/>
      <c r="AI207" s="3"/>
      <c r="AJ207" s="3"/>
      <c r="AK207" s="3"/>
    </row>
    <row r="208" spans="1:37" ht="12.75" customHeight="1" x14ac:dyDescent="0.2">
      <c r="A208" s="14">
        <v>199</v>
      </c>
      <c r="B208" s="4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4"/>
      <c r="Y208" s="23"/>
      <c r="Z208" s="4" t="str">
        <f t="shared" si="0"/>
        <v/>
      </c>
      <c r="AA208" s="4" t="str">
        <f t="shared" si="1"/>
        <v/>
      </c>
      <c r="AB208" s="4" t="str">
        <f t="shared" si="2"/>
        <v/>
      </c>
      <c r="AC208" s="4">
        <v>0.62474213397034151</v>
      </c>
      <c r="AD208" s="4">
        <f t="shared" si="3"/>
        <v>-0.98014184658391446</v>
      </c>
      <c r="AE208" s="4" t="e">
        <f t="shared" si="4"/>
        <v>#VALUE!</v>
      </c>
      <c r="AF208" s="3" t="e">
        <f t="shared" si="5"/>
        <v>#VALUE!</v>
      </c>
      <c r="AG208" s="3"/>
      <c r="AH208" s="4"/>
      <c r="AI208" s="3"/>
      <c r="AJ208" s="3"/>
      <c r="AK208" s="3"/>
    </row>
    <row r="209" spans="1:37" ht="12.75" customHeight="1" x14ac:dyDescent="0.2">
      <c r="A209" s="14">
        <v>200</v>
      </c>
      <c r="B209" s="4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4"/>
      <c r="Y209" s="23"/>
      <c r="Z209" s="4" t="str">
        <f t="shared" si="0"/>
        <v/>
      </c>
      <c r="AA209" s="4" t="str">
        <f t="shared" si="1"/>
        <v/>
      </c>
      <c r="AB209" s="4" t="str">
        <f t="shared" si="2"/>
        <v/>
      </c>
      <c r="AC209" s="4">
        <v>0.62474213397034151</v>
      </c>
      <c r="AD209" s="4">
        <f t="shared" si="3"/>
        <v>-0.98014184658391446</v>
      </c>
      <c r="AE209" s="4" t="e">
        <f t="shared" si="4"/>
        <v>#VALUE!</v>
      </c>
      <c r="AF209" s="3" t="e">
        <f t="shared" si="5"/>
        <v>#VALUE!</v>
      </c>
      <c r="AG209" s="3"/>
      <c r="AH209" s="4"/>
      <c r="AI209" s="3"/>
      <c r="AJ209" s="3"/>
      <c r="AK209" s="3"/>
    </row>
    <row r="210" spans="1:37" ht="12.75" customHeight="1" x14ac:dyDescent="0.2">
      <c r="A210" s="14">
        <v>201</v>
      </c>
      <c r="B210" s="4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4"/>
      <c r="Y210" s="23"/>
      <c r="Z210" s="4" t="str">
        <f t="shared" si="0"/>
        <v/>
      </c>
      <c r="AA210" s="4" t="str">
        <f t="shared" si="1"/>
        <v/>
      </c>
      <c r="AB210" s="4" t="str">
        <f t="shared" si="2"/>
        <v/>
      </c>
      <c r="AC210" s="4">
        <v>0.62474213397034151</v>
      </c>
      <c r="AD210" s="4">
        <f t="shared" si="3"/>
        <v>-0.98014184658391446</v>
      </c>
      <c r="AE210" s="4" t="e">
        <f t="shared" si="4"/>
        <v>#VALUE!</v>
      </c>
      <c r="AF210" s="3" t="e">
        <f t="shared" si="5"/>
        <v>#VALUE!</v>
      </c>
      <c r="AG210" s="3"/>
      <c r="AH210" s="4"/>
      <c r="AI210" s="3"/>
      <c r="AJ210" s="3"/>
      <c r="AK210" s="3"/>
    </row>
    <row r="211" spans="1:37" ht="12.75" customHeight="1" x14ac:dyDescent="0.2">
      <c r="A211" s="14">
        <v>202</v>
      </c>
      <c r="B211" s="4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4"/>
      <c r="Y211" s="23"/>
      <c r="Z211" s="4" t="str">
        <f t="shared" si="0"/>
        <v/>
      </c>
      <c r="AA211" s="4" t="str">
        <f t="shared" si="1"/>
        <v/>
      </c>
      <c r="AB211" s="4" t="str">
        <f t="shared" si="2"/>
        <v/>
      </c>
      <c r="AC211" s="4">
        <v>0.62474213397034151</v>
      </c>
      <c r="AD211" s="4">
        <f t="shared" si="3"/>
        <v>-0.98014184658391446</v>
      </c>
      <c r="AE211" s="4" t="e">
        <f t="shared" si="4"/>
        <v>#VALUE!</v>
      </c>
      <c r="AF211" s="3" t="e">
        <f t="shared" si="5"/>
        <v>#VALUE!</v>
      </c>
      <c r="AG211" s="3"/>
      <c r="AH211" s="4"/>
      <c r="AI211" s="3"/>
      <c r="AJ211" s="3"/>
      <c r="AK211" s="3"/>
    </row>
    <row r="212" spans="1:37" ht="12.75" customHeight="1" x14ac:dyDescent="0.2">
      <c r="A212" s="14">
        <v>203</v>
      </c>
      <c r="B212" s="4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4"/>
      <c r="Y212" s="23"/>
      <c r="Z212" s="4" t="str">
        <f t="shared" si="0"/>
        <v/>
      </c>
      <c r="AA212" s="4" t="str">
        <f t="shared" si="1"/>
        <v/>
      </c>
      <c r="AB212" s="4" t="str">
        <f t="shared" si="2"/>
        <v/>
      </c>
      <c r="AC212" s="4">
        <v>0.62474213397034151</v>
      </c>
      <c r="AD212" s="4">
        <f t="shared" si="3"/>
        <v>-0.98014184658391446</v>
      </c>
      <c r="AE212" s="4" t="e">
        <f t="shared" si="4"/>
        <v>#VALUE!</v>
      </c>
      <c r="AF212" s="3" t="e">
        <f t="shared" si="5"/>
        <v>#VALUE!</v>
      </c>
      <c r="AG212" s="3"/>
      <c r="AH212" s="4"/>
      <c r="AI212" s="3"/>
      <c r="AJ212" s="3"/>
      <c r="AK212" s="3"/>
    </row>
    <row r="213" spans="1:37" ht="12.75" customHeight="1" x14ac:dyDescent="0.2">
      <c r="A213" s="14">
        <v>204</v>
      </c>
      <c r="B213" s="4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4"/>
      <c r="Y213" s="23"/>
      <c r="Z213" s="4" t="str">
        <f t="shared" si="0"/>
        <v/>
      </c>
      <c r="AA213" s="4" t="str">
        <f t="shared" si="1"/>
        <v/>
      </c>
      <c r="AB213" s="4" t="str">
        <f t="shared" si="2"/>
        <v/>
      </c>
      <c r="AC213" s="4">
        <v>0.62474213397034151</v>
      </c>
      <c r="AD213" s="4">
        <f t="shared" si="3"/>
        <v>-0.98014184658391446</v>
      </c>
      <c r="AE213" s="4" t="e">
        <f t="shared" si="4"/>
        <v>#VALUE!</v>
      </c>
      <c r="AF213" s="3" t="e">
        <f t="shared" si="5"/>
        <v>#VALUE!</v>
      </c>
      <c r="AG213" s="3"/>
      <c r="AH213" s="4"/>
      <c r="AI213" s="3"/>
      <c r="AJ213" s="3"/>
      <c r="AK213" s="3"/>
    </row>
    <row r="214" spans="1:37" ht="12.75" customHeight="1" x14ac:dyDescent="0.2">
      <c r="A214" s="14">
        <v>205</v>
      </c>
      <c r="B214" s="4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4"/>
      <c r="Y214" s="23"/>
      <c r="Z214" s="4" t="str">
        <f t="shared" si="0"/>
        <v/>
      </c>
      <c r="AA214" s="4" t="str">
        <f t="shared" si="1"/>
        <v/>
      </c>
      <c r="AB214" s="4" t="str">
        <f t="shared" si="2"/>
        <v/>
      </c>
      <c r="AC214" s="4">
        <v>0.62474213397034151</v>
      </c>
      <c r="AD214" s="4">
        <f t="shared" si="3"/>
        <v>-0.98014184658391446</v>
      </c>
      <c r="AE214" s="4" t="e">
        <f t="shared" si="4"/>
        <v>#VALUE!</v>
      </c>
      <c r="AF214" s="3" t="e">
        <f t="shared" si="5"/>
        <v>#VALUE!</v>
      </c>
      <c r="AG214" s="3"/>
      <c r="AH214" s="4"/>
      <c r="AI214" s="3"/>
      <c r="AJ214" s="3"/>
      <c r="AK214" s="3"/>
    </row>
    <row r="215" spans="1:37" ht="12.75" customHeight="1" x14ac:dyDescent="0.2">
      <c r="A215" s="14">
        <v>206</v>
      </c>
      <c r="B215" s="4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4"/>
      <c r="Y215" s="23"/>
      <c r="Z215" s="4" t="str">
        <f t="shared" si="0"/>
        <v/>
      </c>
      <c r="AA215" s="4" t="str">
        <f t="shared" si="1"/>
        <v/>
      </c>
      <c r="AB215" s="4" t="str">
        <f t="shared" si="2"/>
        <v/>
      </c>
      <c r="AC215" s="4">
        <v>0.62474213397034151</v>
      </c>
      <c r="AD215" s="4">
        <f t="shared" si="3"/>
        <v>-0.98014184658391446</v>
      </c>
      <c r="AE215" s="4" t="e">
        <f t="shared" si="4"/>
        <v>#VALUE!</v>
      </c>
      <c r="AF215" s="3" t="e">
        <f t="shared" si="5"/>
        <v>#VALUE!</v>
      </c>
      <c r="AG215" s="3"/>
      <c r="AH215" s="4"/>
      <c r="AI215" s="3"/>
      <c r="AJ215" s="3"/>
      <c r="AK215" s="3"/>
    </row>
    <row r="216" spans="1:37" ht="12.75" customHeight="1" x14ac:dyDescent="0.2">
      <c r="A216" s="14">
        <v>207</v>
      </c>
      <c r="B216" s="4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4"/>
      <c r="Y216" s="23"/>
      <c r="Z216" s="4" t="str">
        <f t="shared" si="0"/>
        <v/>
      </c>
      <c r="AA216" s="4" t="str">
        <f t="shared" si="1"/>
        <v/>
      </c>
      <c r="AB216" s="4" t="str">
        <f t="shared" si="2"/>
        <v/>
      </c>
      <c r="AC216" s="4">
        <v>0.62474213397034151</v>
      </c>
      <c r="AD216" s="4">
        <f t="shared" si="3"/>
        <v>-0.98014184658391446</v>
      </c>
      <c r="AE216" s="4" t="e">
        <f t="shared" si="4"/>
        <v>#VALUE!</v>
      </c>
      <c r="AF216" s="3" t="e">
        <f t="shared" si="5"/>
        <v>#VALUE!</v>
      </c>
      <c r="AG216" s="3"/>
      <c r="AH216" s="4"/>
      <c r="AI216" s="3"/>
      <c r="AJ216" s="3"/>
      <c r="AK216" s="3"/>
    </row>
    <row r="217" spans="1:37" ht="12.75" customHeight="1" x14ac:dyDescent="0.2">
      <c r="A217" s="14">
        <v>208</v>
      </c>
      <c r="B217" s="4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4"/>
      <c r="Y217" s="23"/>
      <c r="Z217" s="4" t="str">
        <f t="shared" si="0"/>
        <v/>
      </c>
      <c r="AA217" s="4" t="str">
        <f t="shared" si="1"/>
        <v/>
      </c>
      <c r="AB217" s="4" t="str">
        <f t="shared" si="2"/>
        <v/>
      </c>
      <c r="AC217" s="4">
        <v>0.62474213397034151</v>
      </c>
      <c r="AD217" s="4">
        <f t="shared" si="3"/>
        <v>-0.98014184658391446</v>
      </c>
      <c r="AE217" s="4" t="e">
        <f t="shared" si="4"/>
        <v>#VALUE!</v>
      </c>
      <c r="AF217" s="3" t="e">
        <f t="shared" si="5"/>
        <v>#VALUE!</v>
      </c>
      <c r="AG217" s="3"/>
      <c r="AH217" s="4"/>
      <c r="AI217" s="3"/>
      <c r="AJ217" s="3"/>
      <c r="AK217" s="3"/>
    </row>
    <row r="218" spans="1:37" ht="12.75" customHeight="1" x14ac:dyDescent="0.2">
      <c r="A218" s="14">
        <v>209</v>
      </c>
      <c r="B218" s="4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4"/>
      <c r="Y218" s="23"/>
      <c r="Z218" s="4" t="str">
        <f t="shared" si="0"/>
        <v/>
      </c>
      <c r="AA218" s="4" t="str">
        <f t="shared" si="1"/>
        <v/>
      </c>
      <c r="AB218" s="4" t="str">
        <f t="shared" si="2"/>
        <v/>
      </c>
      <c r="AC218" s="4">
        <v>0.62474213397034151</v>
      </c>
      <c r="AD218" s="4">
        <f t="shared" si="3"/>
        <v>-0.98014184658391446</v>
      </c>
      <c r="AE218" s="4" t="e">
        <f t="shared" si="4"/>
        <v>#VALUE!</v>
      </c>
      <c r="AF218" s="3" t="e">
        <f t="shared" si="5"/>
        <v>#VALUE!</v>
      </c>
      <c r="AG218" s="3"/>
      <c r="AH218" s="4"/>
      <c r="AI218" s="3"/>
      <c r="AJ218" s="3"/>
      <c r="AK218" s="3"/>
    </row>
    <row r="219" spans="1:37" ht="12.75" customHeight="1" x14ac:dyDescent="0.2">
      <c r="A219" s="14">
        <v>210</v>
      </c>
      <c r="B219" s="4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4"/>
      <c r="Y219" s="23"/>
      <c r="Z219" s="4" t="str">
        <f t="shared" si="0"/>
        <v/>
      </c>
      <c r="AA219" s="4" t="str">
        <f t="shared" si="1"/>
        <v/>
      </c>
      <c r="AB219" s="4" t="str">
        <f t="shared" si="2"/>
        <v/>
      </c>
      <c r="AC219" s="4">
        <v>0.62474213397034151</v>
      </c>
      <c r="AD219" s="4">
        <f t="shared" si="3"/>
        <v>-0.98014184658391446</v>
      </c>
      <c r="AE219" s="4" t="e">
        <f t="shared" si="4"/>
        <v>#VALUE!</v>
      </c>
      <c r="AF219" s="3" t="e">
        <f t="shared" si="5"/>
        <v>#VALUE!</v>
      </c>
      <c r="AG219" s="3"/>
      <c r="AH219" s="4"/>
      <c r="AI219" s="3"/>
      <c r="AJ219" s="3"/>
      <c r="AK219" s="3"/>
    </row>
    <row r="220" spans="1:37" ht="12.75" customHeight="1" x14ac:dyDescent="0.2">
      <c r="A220" s="14">
        <v>211</v>
      </c>
      <c r="B220" s="4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4"/>
      <c r="Y220" s="23"/>
      <c r="Z220" s="4" t="str">
        <f t="shared" si="0"/>
        <v/>
      </c>
      <c r="AA220" s="4" t="str">
        <f t="shared" si="1"/>
        <v/>
      </c>
      <c r="AB220" s="4" t="str">
        <f t="shared" si="2"/>
        <v/>
      </c>
      <c r="AC220" s="4">
        <v>0.62474213397034151</v>
      </c>
      <c r="AD220" s="4">
        <f t="shared" si="3"/>
        <v>-0.98014184658391446</v>
      </c>
      <c r="AE220" s="4" t="e">
        <f t="shared" si="4"/>
        <v>#VALUE!</v>
      </c>
      <c r="AF220" s="3" t="e">
        <f t="shared" si="5"/>
        <v>#VALUE!</v>
      </c>
      <c r="AG220" s="3"/>
      <c r="AH220" s="4"/>
      <c r="AI220" s="3"/>
      <c r="AJ220" s="3"/>
      <c r="AK220" s="3"/>
    </row>
    <row r="221" spans="1:37" ht="12.75" customHeight="1" x14ac:dyDescent="0.2">
      <c r="A221" s="14">
        <v>212</v>
      </c>
      <c r="B221" s="4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4"/>
      <c r="Y221" s="23"/>
      <c r="Z221" s="4" t="str">
        <f t="shared" si="0"/>
        <v/>
      </c>
      <c r="AA221" s="4" t="str">
        <f t="shared" si="1"/>
        <v/>
      </c>
      <c r="AB221" s="4" t="str">
        <f t="shared" si="2"/>
        <v/>
      </c>
      <c r="AC221" s="4">
        <v>0.62474213397034151</v>
      </c>
      <c r="AD221" s="4">
        <f t="shared" si="3"/>
        <v>-0.98014184658391446</v>
      </c>
      <c r="AE221" s="4" t="e">
        <f t="shared" si="4"/>
        <v>#VALUE!</v>
      </c>
      <c r="AF221" s="3" t="e">
        <f t="shared" si="5"/>
        <v>#VALUE!</v>
      </c>
      <c r="AG221" s="3"/>
      <c r="AH221" s="4"/>
      <c r="AI221" s="3"/>
      <c r="AJ221" s="3"/>
      <c r="AK221" s="3"/>
    </row>
    <row r="222" spans="1:37" ht="12.75" customHeight="1" x14ac:dyDescent="0.2">
      <c r="A222" s="14">
        <v>213</v>
      </c>
      <c r="B222" s="4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4"/>
      <c r="Y222" s="23"/>
      <c r="Z222" s="4" t="str">
        <f t="shared" si="0"/>
        <v/>
      </c>
      <c r="AA222" s="4" t="str">
        <f t="shared" si="1"/>
        <v/>
      </c>
      <c r="AB222" s="4" t="str">
        <f t="shared" si="2"/>
        <v/>
      </c>
      <c r="AC222" s="4">
        <v>0.62474213397034151</v>
      </c>
      <c r="AD222" s="4">
        <f t="shared" si="3"/>
        <v>-0.98014184658391446</v>
      </c>
      <c r="AE222" s="4" t="e">
        <f t="shared" si="4"/>
        <v>#VALUE!</v>
      </c>
      <c r="AF222" s="3" t="e">
        <f t="shared" si="5"/>
        <v>#VALUE!</v>
      </c>
      <c r="AG222" s="3"/>
      <c r="AH222" s="4"/>
      <c r="AI222" s="3"/>
      <c r="AJ222" s="3"/>
      <c r="AK222" s="3"/>
    </row>
    <row r="223" spans="1:37" ht="12.75" customHeight="1" x14ac:dyDescent="0.2">
      <c r="A223" s="14">
        <v>214</v>
      </c>
      <c r="B223" s="4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4"/>
      <c r="Y223" s="23"/>
      <c r="Z223" s="4" t="str">
        <f t="shared" si="0"/>
        <v/>
      </c>
      <c r="AA223" s="4" t="str">
        <f t="shared" si="1"/>
        <v/>
      </c>
      <c r="AB223" s="4" t="str">
        <f t="shared" si="2"/>
        <v/>
      </c>
      <c r="AC223" s="4">
        <v>0.62474213397034151</v>
      </c>
      <c r="AD223" s="4">
        <f t="shared" si="3"/>
        <v>-0.98014184658391446</v>
      </c>
      <c r="AE223" s="4" t="e">
        <f t="shared" si="4"/>
        <v>#VALUE!</v>
      </c>
      <c r="AF223" s="3" t="e">
        <f t="shared" si="5"/>
        <v>#VALUE!</v>
      </c>
      <c r="AG223" s="3"/>
      <c r="AH223" s="4"/>
      <c r="AI223" s="3"/>
      <c r="AJ223" s="3"/>
      <c r="AK223" s="3"/>
    </row>
    <row r="224" spans="1:37" ht="12.75" customHeight="1" x14ac:dyDescent="0.2">
      <c r="A224" s="14">
        <v>215</v>
      </c>
      <c r="B224" s="4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4"/>
      <c r="Y224" s="23"/>
      <c r="Z224" s="4" t="str">
        <f t="shared" si="0"/>
        <v/>
      </c>
      <c r="AA224" s="4" t="str">
        <f t="shared" si="1"/>
        <v/>
      </c>
      <c r="AB224" s="4" t="str">
        <f t="shared" si="2"/>
        <v/>
      </c>
      <c r="AC224" s="4">
        <v>0.62474213397034151</v>
      </c>
      <c r="AD224" s="4">
        <f t="shared" si="3"/>
        <v>-0.98014184658391446</v>
      </c>
      <c r="AE224" s="4" t="e">
        <f t="shared" si="4"/>
        <v>#VALUE!</v>
      </c>
      <c r="AF224" s="3" t="e">
        <f t="shared" si="5"/>
        <v>#VALUE!</v>
      </c>
      <c r="AG224" s="3"/>
      <c r="AH224" s="4"/>
      <c r="AI224" s="3"/>
      <c r="AJ224" s="3"/>
      <c r="AK224" s="3"/>
    </row>
    <row r="225" spans="1:37" ht="12.75" customHeight="1" x14ac:dyDescent="0.2">
      <c r="A225" s="14">
        <v>216</v>
      </c>
      <c r="B225" s="4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4"/>
      <c r="Y225" s="23"/>
      <c r="Z225" s="4" t="str">
        <f t="shared" si="0"/>
        <v/>
      </c>
      <c r="AA225" s="4" t="str">
        <f t="shared" si="1"/>
        <v/>
      </c>
      <c r="AB225" s="4" t="str">
        <f t="shared" si="2"/>
        <v/>
      </c>
      <c r="AC225" s="4">
        <v>0.62474213397034151</v>
      </c>
      <c r="AD225" s="4">
        <f t="shared" si="3"/>
        <v>-0.98014184658391446</v>
      </c>
      <c r="AE225" s="4" t="e">
        <f t="shared" si="4"/>
        <v>#VALUE!</v>
      </c>
      <c r="AF225" s="3" t="e">
        <f t="shared" si="5"/>
        <v>#VALUE!</v>
      </c>
      <c r="AG225" s="3"/>
      <c r="AH225" s="4"/>
      <c r="AI225" s="3"/>
      <c r="AJ225" s="3"/>
      <c r="AK225" s="3"/>
    </row>
    <row r="226" spans="1:37" ht="12.75" customHeight="1" x14ac:dyDescent="0.2">
      <c r="A226" s="14">
        <v>217</v>
      </c>
      <c r="B226" s="4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4"/>
      <c r="Y226" s="23"/>
      <c r="Z226" s="4" t="str">
        <f t="shared" si="0"/>
        <v/>
      </c>
      <c r="AA226" s="4" t="str">
        <f t="shared" si="1"/>
        <v/>
      </c>
      <c r="AB226" s="4" t="str">
        <f t="shared" si="2"/>
        <v/>
      </c>
      <c r="AC226" s="4">
        <v>0.62474213397034151</v>
      </c>
      <c r="AD226" s="4">
        <f t="shared" si="3"/>
        <v>-0.98014184658391446</v>
      </c>
      <c r="AE226" s="4" t="e">
        <f t="shared" si="4"/>
        <v>#VALUE!</v>
      </c>
      <c r="AF226" s="3" t="e">
        <f t="shared" si="5"/>
        <v>#VALUE!</v>
      </c>
      <c r="AG226" s="3"/>
      <c r="AH226" s="4"/>
      <c r="AI226" s="3"/>
      <c r="AJ226" s="3"/>
      <c r="AK226" s="3"/>
    </row>
    <row r="227" spans="1:37" ht="12.75" customHeight="1" x14ac:dyDescent="0.2">
      <c r="A227" s="14">
        <v>218</v>
      </c>
      <c r="B227" s="4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4"/>
      <c r="Y227" s="23"/>
      <c r="Z227" s="4" t="str">
        <f t="shared" si="0"/>
        <v/>
      </c>
      <c r="AA227" s="4" t="str">
        <f t="shared" si="1"/>
        <v/>
      </c>
      <c r="AB227" s="4" t="str">
        <f t="shared" si="2"/>
        <v/>
      </c>
      <c r="AC227" s="4">
        <v>0.62474213397034151</v>
      </c>
      <c r="AD227" s="4">
        <f t="shared" si="3"/>
        <v>-0.98014184658391446</v>
      </c>
      <c r="AE227" s="4" t="e">
        <f t="shared" si="4"/>
        <v>#VALUE!</v>
      </c>
      <c r="AF227" s="3" t="e">
        <f t="shared" si="5"/>
        <v>#VALUE!</v>
      </c>
      <c r="AG227" s="3"/>
      <c r="AH227" s="4"/>
      <c r="AI227" s="3"/>
      <c r="AJ227" s="3"/>
      <c r="AK227" s="3"/>
    </row>
    <row r="228" spans="1:37" ht="12.75" customHeight="1" x14ac:dyDescent="0.2">
      <c r="A228" s="14">
        <v>219</v>
      </c>
      <c r="B228" s="4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4"/>
      <c r="Y228" s="23"/>
      <c r="Z228" s="4" t="str">
        <f t="shared" si="0"/>
        <v/>
      </c>
      <c r="AA228" s="4" t="str">
        <f t="shared" si="1"/>
        <v/>
      </c>
      <c r="AB228" s="4" t="str">
        <f t="shared" si="2"/>
        <v/>
      </c>
      <c r="AC228" s="4">
        <v>0.62474213397034151</v>
      </c>
      <c r="AD228" s="4">
        <f t="shared" si="3"/>
        <v>-0.98014184658391446</v>
      </c>
      <c r="AE228" s="4" t="e">
        <f t="shared" si="4"/>
        <v>#VALUE!</v>
      </c>
      <c r="AF228" s="3" t="e">
        <f t="shared" si="5"/>
        <v>#VALUE!</v>
      </c>
      <c r="AG228" s="3"/>
      <c r="AH228" s="4"/>
      <c r="AI228" s="3"/>
      <c r="AJ228" s="3"/>
      <c r="AK228" s="3"/>
    </row>
    <row r="229" spans="1:37" ht="12.75" customHeight="1" x14ac:dyDescent="0.2">
      <c r="A229" s="14">
        <v>220</v>
      </c>
      <c r="B229" s="4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4"/>
      <c r="Y229" s="23"/>
      <c r="Z229" s="4" t="str">
        <f t="shared" si="0"/>
        <v/>
      </c>
      <c r="AA229" s="4" t="str">
        <f t="shared" si="1"/>
        <v/>
      </c>
      <c r="AB229" s="4" t="str">
        <f t="shared" si="2"/>
        <v/>
      </c>
      <c r="AC229" s="4">
        <v>0.62474213397034151</v>
      </c>
      <c r="AD229" s="4">
        <f t="shared" si="3"/>
        <v>-0.98014184658391446</v>
      </c>
      <c r="AE229" s="4" t="e">
        <f t="shared" si="4"/>
        <v>#VALUE!</v>
      </c>
      <c r="AF229" s="3" t="e">
        <f t="shared" si="5"/>
        <v>#VALUE!</v>
      </c>
      <c r="AG229" s="3"/>
      <c r="AH229" s="4"/>
      <c r="AI229" s="3"/>
      <c r="AJ229" s="3"/>
      <c r="AK229" s="3"/>
    </row>
    <row r="230" spans="1:37" ht="12.75" customHeight="1" x14ac:dyDescent="0.2">
      <c r="A230" s="14">
        <v>221</v>
      </c>
      <c r="B230" s="4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4"/>
      <c r="Y230" s="23"/>
      <c r="Z230" s="4" t="str">
        <f t="shared" si="0"/>
        <v/>
      </c>
      <c r="AA230" s="4" t="str">
        <f t="shared" si="1"/>
        <v/>
      </c>
      <c r="AB230" s="4" t="str">
        <f t="shared" si="2"/>
        <v/>
      </c>
      <c r="AC230" s="4">
        <v>0.62474213397034151</v>
      </c>
      <c r="AD230" s="4">
        <f t="shared" si="3"/>
        <v>-0.98014184658391446</v>
      </c>
      <c r="AE230" s="4" t="e">
        <f t="shared" si="4"/>
        <v>#VALUE!</v>
      </c>
      <c r="AF230" s="3" t="e">
        <f t="shared" si="5"/>
        <v>#VALUE!</v>
      </c>
      <c r="AG230" s="3"/>
      <c r="AH230" s="4"/>
      <c r="AI230" s="3"/>
      <c r="AJ230" s="3"/>
      <c r="AK230" s="3"/>
    </row>
    <row r="231" spans="1:37" ht="12.75" customHeight="1" x14ac:dyDescent="0.2">
      <c r="A231" s="14">
        <v>222</v>
      </c>
      <c r="B231" s="4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4"/>
      <c r="Y231" s="23"/>
      <c r="Z231" s="4" t="str">
        <f t="shared" si="0"/>
        <v/>
      </c>
      <c r="AA231" s="4" t="str">
        <f t="shared" si="1"/>
        <v/>
      </c>
      <c r="AB231" s="4" t="str">
        <f t="shared" si="2"/>
        <v/>
      </c>
      <c r="AC231" s="4">
        <v>0.62474213397034151</v>
      </c>
      <c r="AD231" s="4">
        <f t="shared" si="3"/>
        <v>-0.98014184658391446</v>
      </c>
      <c r="AE231" s="4" t="e">
        <f t="shared" si="4"/>
        <v>#VALUE!</v>
      </c>
      <c r="AF231" s="3" t="e">
        <f t="shared" si="5"/>
        <v>#VALUE!</v>
      </c>
      <c r="AG231" s="3"/>
      <c r="AH231" s="4"/>
      <c r="AI231" s="3"/>
      <c r="AJ231" s="3"/>
      <c r="AK231" s="3"/>
    </row>
    <row r="232" spans="1:37" ht="12.75" customHeight="1" x14ac:dyDescent="0.2">
      <c r="A232" s="14">
        <v>223</v>
      </c>
      <c r="B232" s="4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4"/>
      <c r="Y232" s="23"/>
      <c r="Z232" s="4" t="str">
        <f t="shared" si="0"/>
        <v/>
      </c>
      <c r="AA232" s="4" t="str">
        <f t="shared" si="1"/>
        <v/>
      </c>
      <c r="AB232" s="4" t="str">
        <f t="shared" si="2"/>
        <v/>
      </c>
      <c r="AC232" s="4">
        <v>0.62474213397034151</v>
      </c>
      <c r="AD232" s="4">
        <f t="shared" si="3"/>
        <v>-0.98014184658391446</v>
      </c>
      <c r="AE232" s="4" t="e">
        <f t="shared" si="4"/>
        <v>#VALUE!</v>
      </c>
      <c r="AF232" s="3" t="e">
        <f t="shared" si="5"/>
        <v>#VALUE!</v>
      </c>
      <c r="AG232" s="3"/>
      <c r="AH232" s="4"/>
      <c r="AI232" s="3"/>
      <c r="AJ232" s="3"/>
      <c r="AK232" s="3"/>
    </row>
    <row r="233" spans="1:37" ht="12.75" customHeight="1" x14ac:dyDescent="0.2">
      <c r="A233" s="14">
        <v>224</v>
      </c>
      <c r="B233" s="4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4"/>
      <c r="Y233" s="23"/>
      <c r="Z233" s="4" t="str">
        <f t="shared" si="0"/>
        <v/>
      </c>
      <c r="AA233" s="4" t="str">
        <f t="shared" si="1"/>
        <v/>
      </c>
      <c r="AB233" s="4" t="str">
        <f t="shared" si="2"/>
        <v/>
      </c>
      <c r="AC233" s="4">
        <v>0.62474213397034151</v>
      </c>
      <c r="AD233" s="4">
        <f t="shared" si="3"/>
        <v>-0.98014184658391446</v>
      </c>
      <c r="AE233" s="4" t="e">
        <f t="shared" si="4"/>
        <v>#VALUE!</v>
      </c>
      <c r="AF233" s="3" t="e">
        <f t="shared" si="5"/>
        <v>#VALUE!</v>
      </c>
      <c r="AG233" s="3"/>
      <c r="AH233" s="4"/>
      <c r="AI233" s="3"/>
      <c r="AJ233" s="3"/>
      <c r="AK233" s="3"/>
    </row>
    <row r="234" spans="1:37" ht="12.75" customHeight="1" x14ac:dyDescent="0.2">
      <c r="A234" s="14">
        <v>225</v>
      </c>
      <c r="B234" s="4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4"/>
      <c r="Y234" s="23"/>
      <c r="Z234" s="4" t="str">
        <f t="shared" si="0"/>
        <v/>
      </c>
      <c r="AA234" s="4" t="str">
        <f t="shared" si="1"/>
        <v/>
      </c>
      <c r="AB234" s="4" t="str">
        <f t="shared" si="2"/>
        <v/>
      </c>
      <c r="AC234" s="4">
        <v>0.62474213397034151</v>
      </c>
      <c r="AD234" s="4">
        <f t="shared" si="3"/>
        <v>-0.98014184658391446</v>
      </c>
      <c r="AE234" s="4" t="e">
        <f t="shared" si="4"/>
        <v>#VALUE!</v>
      </c>
      <c r="AF234" s="3" t="e">
        <f t="shared" si="5"/>
        <v>#VALUE!</v>
      </c>
      <c r="AG234" s="3"/>
      <c r="AH234" s="4"/>
      <c r="AI234" s="3"/>
      <c r="AJ234" s="3"/>
      <c r="AK234" s="3"/>
    </row>
    <row r="235" spans="1:37" ht="12.75" customHeight="1" x14ac:dyDescent="0.2">
      <c r="A235" s="14">
        <v>226</v>
      </c>
      <c r="B235" s="4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4"/>
      <c r="Y235" s="23"/>
      <c r="Z235" s="4" t="str">
        <f t="shared" si="0"/>
        <v/>
      </c>
      <c r="AA235" s="4" t="str">
        <f t="shared" si="1"/>
        <v/>
      </c>
      <c r="AB235" s="4" t="str">
        <f t="shared" si="2"/>
        <v/>
      </c>
      <c r="AC235" s="4">
        <v>0.62474213397034151</v>
      </c>
      <c r="AD235" s="4">
        <f t="shared" si="3"/>
        <v>-0.98014184658391446</v>
      </c>
      <c r="AE235" s="4" t="e">
        <f t="shared" si="4"/>
        <v>#VALUE!</v>
      </c>
      <c r="AF235" s="3" t="e">
        <f t="shared" si="5"/>
        <v>#VALUE!</v>
      </c>
      <c r="AG235" s="3"/>
      <c r="AH235" s="4"/>
      <c r="AI235" s="3"/>
      <c r="AJ235" s="3"/>
      <c r="AK235" s="3"/>
    </row>
    <row r="236" spans="1:37" ht="12.75" customHeight="1" x14ac:dyDescent="0.2">
      <c r="A236" s="14">
        <v>227</v>
      </c>
      <c r="B236" s="4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4"/>
      <c r="Y236" s="23"/>
      <c r="Z236" s="4" t="str">
        <f t="shared" si="0"/>
        <v/>
      </c>
      <c r="AA236" s="4" t="str">
        <f t="shared" si="1"/>
        <v/>
      </c>
      <c r="AB236" s="4" t="str">
        <f t="shared" si="2"/>
        <v/>
      </c>
      <c r="AC236" s="4">
        <v>0.62474213397034151</v>
      </c>
      <c r="AD236" s="4">
        <f t="shared" si="3"/>
        <v>-0.98014184658391446</v>
      </c>
      <c r="AE236" s="4" t="e">
        <f t="shared" si="4"/>
        <v>#VALUE!</v>
      </c>
      <c r="AF236" s="3" t="e">
        <f t="shared" si="5"/>
        <v>#VALUE!</v>
      </c>
      <c r="AG236" s="3"/>
      <c r="AH236" s="4"/>
      <c r="AI236" s="3"/>
      <c r="AJ236" s="3"/>
      <c r="AK236" s="3"/>
    </row>
    <row r="237" spans="1:37" ht="12.75" customHeight="1" x14ac:dyDescent="0.2">
      <c r="A237" s="14">
        <v>228</v>
      </c>
      <c r="B237" s="4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4"/>
      <c r="Y237" s="23"/>
      <c r="Z237" s="4" t="str">
        <f t="shared" si="0"/>
        <v/>
      </c>
      <c r="AA237" s="4" t="str">
        <f t="shared" si="1"/>
        <v/>
      </c>
      <c r="AB237" s="4" t="str">
        <f t="shared" si="2"/>
        <v/>
      </c>
      <c r="AC237" s="4">
        <v>0.62474213397034151</v>
      </c>
      <c r="AD237" s="4">
        <f t="shared" si="3"/>
        <v>-0.98014184658391446</v>
      </c>
      <c r="AE237" s="4" t="e">
        <f t="shared" si="4"/>
        <v>#VALUE!</v>
      </c>
      <c r="AF237" s="3" t="e">
        <f t="shared" si="5"/>
        <v>#VALUE!</v>
      </c>
      <c r="AG237" s="3"/>
      <c r="AH237" s="4"/>
      <c r="AI237" s="3"/>
      <c r="AJ237" s="3"/>
      <c r="AK237" s="3"/>
    </row>
    <row r="238" spans="1:37" ht="12.75" customHeight="1" x14ac:dyDescent="0.2">
      <c r="A238" s="14">
        <v>229</v>
      </c>
      <c r="B238" s="4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4"/>
      <c r="Y238" s="23"/>
      <c r="Z238" s="4" t="str">
        <f t="shared" si="0"/>
        <v/>
      </c>
      <c r="AA238" s="4" t="str">
        <f t="shared" si="1"/>
        <v/>
      </c>
      <c r="AB238" s="4" t="str">
        <f t="shared" si="2"/>
        <v/>
      </c>
      <c r="AC238" s="4">
        <v>0.62474213397034151</v>
      </c>
      <c r="AD238" s="4">
        <f t="shared" si="3"/>
        <v>-0.98014184658391446</v>
      </c>
      <c r="AE238" s="4" t="e">
        <f t="shared" si="4"/>
        <v>#VALUE!</v>
      </c>
      <c r="AF238" s="3" t="e">
        <f t="shared" si="5"/>
        <v>#VALUE!</v>
      </c>
      <c r="AG238" s="3"/>
      <c r="AH238" s="4"/>
      <c r="AI238" s="3"/>
      <c r="AJ238" s="3"/>
      <c r="AK238" s="3"/>
    </row>
    <row r="239" spans="1:37" ht="12.75" customHeight="1" x14ac:dyDescent="0.2">
      <c r="A239" s="14">
        <v>230</v>
      </c>
      <c r="B239" s="4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4"/>
      <c r="Y239" s="23"/>
      <c r="Z239" s="4" t="str">
        <f t="shared" si="0"/>
        <v/>
      </c>
      <c r="AA239" s="4" t="str">
        <f t="shared" si="1"/>
        <v/>
      </c>
      <c r="AB239" s="4" t="str">
        <f t="shared" si="2"/>
        <v/>
      </c>
      <c r="AC239" s="4">
        <v>0.62474213397034151</v>
      </c>
      <c r="AD239" s="4">
        <f t="shared" si="3"/>
        <v>-0.98014184658391446</v>
      </c>
      <c r="AE239" s="4" t="e">
        <f t="shared" si="4"/>
        <v>#VALUE!</v>
      </c>
      <c r="AF239" s="3" t="e">
        <f t="shared" si="5"/>
        <v>#VALUE!</v>
      </c>
      <c r="AG239" s="3"/>
      <c r="AH239" s="4"/>
      <c r="AI239" s="3"/>
      <c r="AJ239" s="3"/>
      <c r="AK239" s="3"/>
    </row>
    <row r="240" spans="1:37" ht="12.75" customHeight="1" x14ac:dyDescent="0.2">
      <c r="A240" s="14">
        <v>231</v>
      </c>
      <c r="B240" s="4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4"/>
      <c r="Y240" s="23"/>
      <c r="Z240" s="4" t="str">
        <f t="shared" si="0"/>
        <v/>
      </c>
      <c r="AA240" s="4" t="str">
        <f t="shared" si="1"/>
        <v/>
      </c>
      <c r="AB240" s="4" t="str">
        <f t="shared" si="2"/>
        <v/>
      </c>
      <c r="AC240" s="4">
        <v>0.62474213397034151</v>
      </c>
      <c r="AD240" s="4">
        <f t="shared" si="3"/>
        <v>-0.98014184658391446</v>
      </c>
      <c r="AE240" s="4" t="e">
        <f t="shared" si="4"/>
        <v>#VALUE!</v>
      </c>
      <c r="AF240" s="3" t="e">
        <f t="shared" si="5"/>
        <v>#VALUE!</v>
      </c>
      <c r="AG240" s="3"/>
      <c r="AH240" s="4"/>
      <c r="AI240" s="3"/>
      <c r="AJ240" s="3"/>
      <c r="AK240" s="3"/>
    </row>
    <row r="241" spans="1:37" ht="12.75" customHeight="1" x14ac:dyDescent="0.2">
      <c r="A241" s="14">
        <v>232</v>
      </c>
      <c r="B241" s="4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4"/>
      <c r="Y241" s="23"/>
      <c r="Z241" s="4" t="str">
        <f t="shared" si="0"/>
        <v/>
      </c>
      <c r="AA241" s="4" t="str">
        <f t="shared" si="1"/>
        <v/>
      </c>
      <c r="AB241" s="4" t="str">
        <f t="shared" si="2"/>
        <v/>
      </c>
      <c r="AC241" s="4">
        <v>0.62474213397034151</v>
      </c>
      <c r="AD241" s="4">
        <f t="shared" si="3"/>
        <v>-0.98014184658391446</v>
      </c>
      <c r="AE241" s="4" t="e">
        <f t="shared" si="4"/>
        <v>#VALUE!</v>
      </c>
      <c r="AF241" s="3" t="e">
        <f t="shared" si="5"/>
        <v>#VALUE!</v>
      </c>
      <c r="AG241" s="3"/>
      <c r="AH241" s="4"/>
      <c r="AI241" s="3"/>
      <c r="AJ241" s="3"/>
      <c r="AK241" s="3"/>
    </row>
    <row r="242" spans="1:37" ht="12.75" customHeight="1" x14ac:dyDescent="0.2">
      <c r="A242" s="14">
        <v>233</v>
      </c>
      <c r="B242" s="4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4"/>
      <c r="Y242" s="23"/>
      <c r="Z242" s="4" t="str">
        <f t="shared" si="0"/>
        <v/>
      </c>
      <c r="AA242" s="4" t="str">
        <f t="shared" si="1"/>
        <v/>
      </c>
      <c r="AB242" s="4" t="str">
        <f t="shared" si="2"/>
        <v/>
      </c>
      <c r="AC242" s="4">
        <v>0.62474213397034151</v>
      </c>
      <c r="AD242" s="4">
        <f t="shared" si="3"/>
        <v>-0.98014184658391446</v>
      </c>
      <c r="AE242" s="4" t="e">
        <f t="shared" si="4"/>
        <v>#VALUE!</v>
      </c>
      <c r="AF242" s="3" t="e">
        <f t="shared" si="5"/>
        <v>#VALUE!</v>
      </c>
      <c r="AG242" s="3"/>
      <c r="AH242" s="4"/>
      <c r="AI242" s="3"/>
      <c r="AJ242" s="3"/>
      <c r="AK242" s="3"/>
    </row>
    <row r="243" spans="1:37" ht="12.75" customHeight="1" x14ac:dyDescent="0.2">
      <c r="A243" s="14">
        <v>234</v>
      </c>
      <c r="B243" s="4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4"/>
      <c r="Y243" s="23"/>
      <c r="Z243" s="4" t="str">
        <f t="shared" si="0"/>
        <v/>
      </c>
      <c r="AA243" s="4" t="str">
        <f t="shared" si="1"/>
        <v/>
      </c>
      <c r="AB243" s="4" t="str">
        <f t="shared" si="2"/>
        <v/>
      </c>
      <c r="AC243" s="4">
        <v>0.62474213397034151</v>
      </c>
      <c r="AD243" s="4">
        <f t="shared" si="3"/>
        <v>-0.98014184658391446</v>
      </c>
      <c r="AE243" s="4" t="e">
        <f t="shared" si="4"/>
        <v>#VALUE!</v>
      </c>
      <c r="AF243" s="3" t="e">
        <f t="shared" si="5"/>
        <v>#VALUE!</v>
      </c>
      <c r="AG243" s="3"/>
      <c r="AH243" s="4"/>
      <c r="AI243" s="3"/>
      <c r="AJ243" s="3"/>
      <c r="AK243" s="3"/>
    </row>
    <row r="244" spans="1:37" ht="12.75" customHeight="1" x14ac:dyDescent="0.2">
      <c r="A244" s="14">
        <v>235</v>
      </c>
      <c r="B244" s="4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4"/>
      <c r="Y244" s="23"/>
      <c r="Z244" s="4" t="str">
        <f t="shared" si="0"/>
        <v/>
      </c>
      <c r="AA244" s="4" t="str">
        <f t="shared" si="1"/>
        <v/>
      </c>
      <c r="AB244" s="4" t="str">
        <f t="shared" si="2"/>
        <v/>
      </c>
      <c r="AC244" s="4">
        <v>0.62474213397034151</v>
      </c>
      <c r="AD244" s="4">
        <f t="shared" si="3"/>
        <v>-0.98014184658391446</v>
      </c>
      <c r="AE244" s="4" t="e">
        <f t="shared" si="4"/>
        <v>#VALUE!</v>
      </c>
      <c r="AF244" s="3" t="e">
        <f t="shared" si="5"/>
        <v>#VALUE!</v>
      </c>
      <c r="AG244" s="3"/>
      <c r="AH244" s="4"/>
      <c r="AI244" s="3"/>
      <c r="AJ244" s="3"/>
      <c r="AK244" s="3"/>
    </row>
    <row r="245" spans="1:37" ht="12.75" customHeight="1" x14ac:dyDescent="0.2">
      <c r="A245" s="14">
        <v>236</v>
      </c>
      <c r="B245" s="4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4"/>
      <c r="Y245" s="23"/>
      <c r="Z245" s="4" t="str">
        <f t="shared" si="0"/>
        <v/>
      </c>
      <c r="AA245" s="4" t="str">
        <f t="shared" si="1"/>
        <v/>
      </c>
      <c r="AB245" s="4" t="str">
        <f t="shared" si="2"/>
        <v/>
      </c>
      <c r="AC245" s="4">
        <v>0.62474213397034151</v>
      </c>
      <c r="AD245" s="4">
        <f t="shared" si="3"/>
        <v>-0.98014184658391446</v>
      </c>
      <c r="AE245" s="4" t="e">
        <f t="shared" si="4"/>
        <v>#VALUE!</v>
      </c>
      <c r="AF245" s="3" t="e">
        <f t="shared" si="5"/>
        <v>#VALUE!</v>
      </c>
      <c r="AG245" s="3"/>
      <c r="AH245" s="4"/>
      <c r="AI245" s="3"/>
      <c r="AJ245" s="3"/>
      <c r="AK245" s="3"/>
    </row>
    <row r="246" spans="1:37" ht="12.75" customHeight="1" x14ac:dyDescent="0.2">
      <c r="A246" s="14">
        <v>237</v>
      </c>
      <c r="B246" s="4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4"/>
      <c r="Y246" s="23"/>
      <c r="Z246" s="4" t="str">
        <f t="shared" si="0"/>
        <v/>
      </c>
      <c r="AA246" s="4" t="str">
        <f t="shared" si="1"/>
        <v/>
      </c>
      <c r="AB246" s="4" t="str">
        <f t="shared" si="2"/>
        <v/>
      </c>
      <c r="AC246" s="4">
        <v>0.62474213397034151</v>
      </c>
      <c r="AD246" s="4">
        <f t="shared" si="3"/>
        <v>-0.98014184658391446</v>
      </c>
      <c r="AE246" s="4" t="e">
        <f t="shared" si="4"/>
        <v>#VALUE!</v>
      </c>
      <c r="AF246" s="3" t="e">
        <f t="shared" si="5"/>
        <v>#VALUE!</v>
      </c>
      <c r="AG246" s="3"/>
      <c r="AH246" s="4"/>
      <c r="AI246" s="3"/>
      <c r="AJ246" s="3"/>
      <c r="AK246" s="3"/>
    </row>
    <row r="247" spans="1:37" ht="12.75" customHeight="1" x14ac:dyDescent="0.2">
      <c r="A247" s="14">
        <v>238</v>
      </c>
      <c r="B247" s="4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4"/>
      <c r="Y247" s="23"/>
      <c r="Z247" s="4" t="str">
        <f t="shared" si="0"/>
        <v/>
      </c>
      <c r="AA247" s="4" t="str">
        <f t="shared" si="1"/>
        <v/>
      </c>
      <c r="AB247" s="4" t="str">
        <f t="shared" si="2"/>
        <v/>
      </c>
      <c r="AC247" s="4">
        <v>0.62474213397034151</v>
      </c>
      <c r="AD247" s="4">
        <f t="shared" si="3"/>
        <v>-0.98014184658391446</v>
      </c>
      <c r="AE247" s="4" t="e">
        <f t="shared" si="4"/>
        <v>#VALUE!</v>
      </c>
      <c r="AF247" s="3" t="e">
        <f t="shared" si="5"/>
        <v>#VALUE!</v>
      </c>
      <c r="AG247" s="3"/>
      <c r="AH247" s="4"/>
      <c r="AI247" s="3"/>
      <c r="AJ247" s="3"/>
      <c r="AK247" s="3"/>
    </row>
    <row r="248" spans="1:37" ht="12.75" customHeight="1" x14ac:dyDescent="0.2">
      <c r="A248" s="14">
        <v>239</v>
      </c>
      <c r="B248" s="4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4"/>
      <c r="Y248" s="23"/>
      <c r="Z248" s="4" t="str">
        <f t="shared" si="0"/>
        <v/>
      </c>
      <c r="AA248" s="4" t="str">
        <f t="shared" si="1"/>
        <v/>
      </c>
      <c r="AB248" s="4" t="str">
        <f t="shared" si="2"/>
        <v/>
      </c>
      <c r="AC248" s="4">
        <v>0.62474213397034151</v>
      </c>
      <c r="AD248" s="4">
        <f t="shared" si="3"/>
        <v>-0.98014184658391446</v>
      </c>
      <c r="AE248" s="4" t="e">
        <f t="shared" si="4"/>
        <v>#VALUE!</v>
      </c>
      <c r="AF248" s="3" t="e">
        <f t="shared" si="5"/>
        <v>#VALUE!</v>
      </c>
      <c r="AG248" s="3"/>
      <c r="AH248" s="4"/>
      <c r="AI248" s="3"/>
      <c r="AJ248" s="3"/>
      <c r="AK248" s="3"/>
    </row>
    <row r="249" spans="1:37" ht="12.75" customHeight="1" x14ac:dyDescent="0.2">
      <c r="A249" s="14">
        <v>240</v>
      </c>
      <c r="B249" s="4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4"/>
      <c r="Y249" s="23"/>
      <c r="Z249" s="4" t="str">
        <f t="shared" si="0"/>
        <v/>
      </c>
      <c r="AA249" s="4" t="str">
        <f t="shared" si="1"/>
        <v/>
      </c>
      <c r="AB249" s="4" t="str">
        <f t="shared" si="2"/>
        <v/>
      </c>
      <c r="AC249" s="4">
        <v>0.62474213397034151</v>
      </c>
      <c r="AD249" s="4">
        <f t="shared" si="3"/>
        <v>-0.98014184658391446</v>
      </c>
      <c r="AE249" s="4" t="e">
        <f t="shared" si="4"/>
        <v>#VALUE!</v>
      </c>
      <c r="AF249" s="3" t="e">
        <f t="shared" si="5"/>
        <v>#VALUE!</v>
      </c>
      <c r="AG249" s="3"/>
      <c r="AH249" s="4"/>
      <c r="AI249" s="3"/>
      <c r="AJ249" s="3"/>
      <c r="AK249" s="3"/>
    </row>
    <row r="250" spans="1:37" ht="12.75" customHeight="1" x14ac:dyDescent="0.2">
      <c r="A250" s="14">
        <v>241</v>
      </c>
      <c r="B250" s="4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4"/>
      <c r="Y250" s="23"/>
      <c r="Z250" s="4" t="str">
        <f t="shared" si="0"/>
        <v/>
      </c>
      <c r="AA250" s="4" t="str">
        <f t="shared" si="1"/>
        <v/>
      </c>
      <c r="AB250" s="4" t="str">
        <f t="shared" si="2"/>
        <v/>
      </c>
      <c r="AC250" s="4">
        <v>0.62474213397034151</v>
      </c>
      <c r="AD250" s="4">
        <f t="shared" si="3"/>
        <v>-0.98014184658391446</v>
      </c>
      <c r="AE250" s="4" t="e">
        <f t="shared" si="4"/>
        <v>#VALUE!</v>
      </c>
      <c r="AF250" s="3" t="e">
        <f t="shared" si="5"/>
        <v>#VALUE!</v>
      </c>
      <c r="AG250" s="3"/>
      <c r="AH250" s="4"/>
      <c r="AI250" s="3"/>
      <c r="AJ250" s="3"/>
      <c r="AK250" s="3"/>
    </row>
    <row r="251" spans="1:37" ht="12.75" customHeight="1" x14ac:dyDescent="0.2">
      <c r="A251" s="14">
        <v>242</v>
      </c>
      <c r="B251" s="4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4"/>
      <c r="Y251" s="23"/>
      <c r="Z251" s="4" t="str">
        <f t="shared" si="0"/>
        <v/>
      </c>
      <c r="AA251" s="4" t="str">
        <f t="shared" si="1"/>
        <v/>
      </c>
      <c r="AB251" s="4" t="str">
        <f t="shared" si="2"/>
        <v/>
      </c>
      <c r="AC251" s="4">
        <v>0.62474213397034151</v>
      </c>
      <c r="AD251" s="4">
        <f t="shared" si="3"/>
        <v>-0.98014184658391446</v>
      </c>
      <c r="AE251" s="4" t="e">
        <f t="shared" si="4"/>
        <v>#VALUE!</v>
      </c>
      <c r="AF251" s="3" t="e">
        <f t="shared" si="5"/>
        <v>#VALUE!</v>
      </c>
      <c r="AG251" s="3"/>
      <c r="AH251" s="4"/>
      <c r="AI251" s="3"/>
      <c r="AJ251" s="3"/>
      <c r="AK251" s="3"/>
    </row>
    <row r="252" spans="1:37" ht="12.75" customHeight="1" x14ac:dyDescent="0.2">
      <c r="A252" s="14">
        <v>243</v>
      </c>
      <c r="B252" s="4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4"/>
      <c r="Y252" s="23"/>
      <c r="Z252" s="4" t="str">
        <f t="shared" si="0"/>
        <v/>
      </c>
      <c r="AA252" s="4" t="str">
        <f t="shared" si="1"/>
        <v/>
      </c>
      <c r="AB252" s="4" t="str">
        <f t="shared" si="2"/>
        <v/>
      </c>
      <c r="AC252" s="4">
        <v>0.62474213397034151</v>
      </c>
      <c r="AD252" s="4">
        <f t="shared" si="3"/>
        <v>-0.98014184658391446</v>
      </c>
      <c r="AE252" s="4" t="e">
        <f t="shared" si="4"/>
        <v>#VALUE!</v>
      </c>
      <c r="AF252" s="3" t="e">
        <f t="shared" si="5"/>
        <v>#VALUE!</v>
      </c>
      <c r="AG252" s="3"/>
      <c r="AH252" s="4"/>
      <c r="AI252" s="3"/>
      <c r="AJ252" s="3"/>
      <c r="AK252" s="3"/>
    </row>
    <row r="253" spans="1:37" ht="12.75" customHeight="1" x14ac:dyDescent="0.2">
      <c r="A253" s="14">
        <v>244</v>
      </c>
      <c r="B253" s="4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4"/>
      <c r="Y253" s="23"/>
      <c r="Z253" s="4" t="str">
        <f t="shared" si="0"/>
        <v/>
      </c>
      <c r="AA253" s="4" t="str">
        <f t="shared" si="1"/>
        <v/>
      </c>
      <c r="AB253" s="4" t="str">
        <f t="shared" si="2"/>
        <v/>
      </c>
      <c r="AC253" s="4">
        <v>0.62474213397034151</v>
      </c>
      <c r="AD253" s="4">
        <f t="shared" si="3"/>
        <v>-0.98014184658391446</v>
      </c>
      <c r="AE253" s="4" t="e">
        <f t="shared" si="4"/>
        <v>#VALUE!</v>
      </c>
      <c r="AF253" s="3" t="e">
        <f t="shared" si="5"/>
        <v>#VALUE!</v>
      </c>
      <c r="AG253" s="3"/>
      <c r="AH253" s="4"/>
      <c r="AI253" s="3"/>
      <c r="AJ253" s="3"/>
      <c r="AK253" s="3"/>
    </row>
    <row r="254" spans="1:37" ht="12.75" customHeight="1" x14ac:dyDescent="0.2">
      <c r="A254" s="14">
        <v>245</v>
      </c>
      <c r="B254" s="4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4"/>
      <c r="Y254" s="23"/>
      <c r="Z254" s="4" t="str">
        <f t="shared" si="0"/>
        <v/>
      </c>
      <c r="AA254" s="4" t="str">
        <f t="shared" si="1"/>
        <v/>
      </c>
      <c r="AB254" s="4" t="str">
        <f t="shared" si="2"/>
        <v/>
      </c>
      <c r="AC254" s="4">
        <v>0.62474213397034151</v>
      </c>
      <c r="AD254" s="4">
        <f t="shared" si="3"/>
        <v>-0.98014184658391446</v>
      </c>
      <c r="AE254" s="4" t="e">
        <f t="shared" si="4"/>
        <v>#VALUE!</v>
      </c>
      <c r="AF254" s="3" t="e">
        <f t="shared" si="5"/>
        <v>#VALUE!</v>
      </c>
      <c r="AG254" s="3"/>
      <c r="AH254" s="4"/>
      <c r="AI254" s="3"/>
      <c r="AJ254" s="3"/>
      <c r="AK254" s="3"/>
    </row>
    <row r="255" spans="1:37" ht="12.75" customHeight="1" x14ac:dyDescent="0.2">
      <c r="A255" s="14">
        <v>246</v>
      </c>
      <c r="B255" s="4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4"/>
      <c r="Y255" s="23"/>
      <c r="Z255" s="4" t="str">
        <f t="shared" si="0"/>
        <v/>
      </c>
      <c r="AA255" s="4" t="str">
        <f t="shared" si="1"/>
        <v/>
      </c>
      <c r="AB255" s="4" t="str">
        <f t="shared" si="2"/>
        <v/>
      </c>
      <c r="AC255" s="4">
        <v>0.62474213397034151</v>
      </c>
      <c r="AD255" s="4">
        <f t="shared" si="3"/>
        <v>-0.98014184658391446</v>
      </c>
      <c r="AE255" s="4" t="e">
        <f t="shared" si="4"/>
        <v>#VALUE!</v>
      </c>
      <c r="AF255" s="3" t="e">
        <f t="shared" si="5"/>
        <v>#VALUE!</v>
      </c>
      <c r="AG255" s="3"/>
      <c r="AH255" s="4"/>
      <c r="AI255" s="3"/>
      <c r="AJ255" s="3"/>
      <c r="AK255" s="3"/>
    </row>
    <row r="256" spans="1:37" ht="12.75" customHeight="1" x14ac:dyDescent="0.2">
      <c r="A256" s="14">
        <v>247</v>
      </c>
      <c r="B256" s="4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4"/>
      <c r="Y256" s="23"/>
      <c r="Z256" s="4" t="str">
        <f t="shared" si="0"/>
        <v/>
      </c>
      <c r="AA256" s="4" t="str">
        <f t="shared" si="1"/>
        <v/>
      </c>
      <c r="AB256" s="4" t="str">
        <f t="shared" si="2"/>
        <v/>
      </c>
      <c r="AC256" s="4">
        <v>0.62474213397034151</v>
      </c>
      <c r="AD256" s="4">
        <f t="shared" si="3"/>
        <v>-0.98014184658391446</v>
      </c>
      <c r="AE256" s="4" t="e">
        <f t="shared" si="4"/>
        <v>#VALUE!</v>
      </c>
      <c r="AF256" s="3" t="e">
        <f t="shared" si="5"/>
        <v>#VALUE!</v>
      </c>
      <c r="AG256" s="3"/>
      <c r="AH256" s="4"/>
      <c r="AI256" s="3"/>
      <c r="AJ256" s="3"/>
      <c r="AK256" s="3"/>
    </row>
    <row r="257" spans="1:37" ht="12.75" customHeight="1" x14ac:dyDescent="0.2">
      <c r="A257" s="14">
        <v>248</v>
      </c>
      <c r="B257" s="4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4"/>
      <c r="Y257" s="23"/>
      <c r="Z257" s="4" t="str">
        <f t="shared" si="0"/>
        <v/>
      </c>
      <c r="AA257" s="4" t="str">
        <f t="shared" si="1"/>
        <v/>
      </c>
      <c r="AB257" s="4" t="str">
        <f t="shared" si="2"/>
        <v/>
      </c>
      <c r="AC257" s="4">
        <v>0.62474213397034151</v>
      </c>
      <c r="AD257" s="4">
        <f t="shared" si="3"/>
        <v>-0.98014184658391446</v>
      </c>
      <c r="AE257" s="4" t="e">
        <f t="shared" si="4"/>
        <v>#VALUE!</v>
      </c>
      <c r="AF257" s="3" t="e">
        <f t="shared" si="5"/>
        <v>#VALUE!</v>
      </c>
      <c r="AG257" s="3"/>
      <c r="AH257" s="4"/>
      <c r="AI257" s="3"/>
      <c r="AJ257" s="3"/>
      <c r="AK257" s="3"/>
    </row>
    <row r="258" spans="1:37" ht="12.75" customHeight="1" x14ac:dyDescent="0.2">
      <c r="A258" s="14">
        <v>249</v>
      </c>
      <c r="B258" s="4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4"/>
      <c r="Y258" s="23"/>
      <c r="Z258" s="4" t="str">
        <f t="shared" si="0"/>
        <v/>
      </c>
      <c r="AA258" s="4" t="str">
        <f t="shared" si="1"/>
        <v/>
      </c>
      <c r="AB258" s="4" t="str">
        <f t="shared" si="2"/>
        <v/>
      </c>
      <c r="AC258" s="4">
        <v>0.62474213397034151</v>
      </c>
      <c r="AD258" s="4">
        <f t="shared" si="3"/>
        <v>-0.98014184658391446</v>
      </c>
      <c r="AE258" s="4" t="e">
        <f t="shared" si="4"/>
        <v>#VALUE!</v>
      </c>
      <c r="AF258" s="3" t="e">
        <f t="shared" si="5"/>
        <v>#VALUE!</v>
      </c>
      <c r="AG258" s="3"/>
      <c r="AH258" s="4"/>
      <c r="AI258" s="3"/>
      <c r="AJ258" s="3"/>
      <c r="AK258" s="3"/>
    </row>
    <row r="259" spans="1:37" ht="12.75" customHeight="1" x14ac:dyDescent="0.2">
      <c r="A259" s="14">
        <v>250</v>
      </c>
      <c r="B259" s="4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4"/>
      <c r="Y259" s="23"/>
      <c r="Z259" s="4" t="str">
        <f t="shared" si="0"/>
        <v/>
      </c>
      <c r="AA259" s="4" t="str">
        <f t="shared" si="1"/>
        <v/>
      </c>
      <c r="AB259" s="4" t="str">
        <f t="shared" si="2"/>
        <v/>
      </c>
      <c r="AC259" s="4">
        <v>0.62474213397034151</v>
      </c>
      <c r="AD259" s="4">
        <f t="shared" si="3"/>
        <v>-0.98014184658391446</v>
      </c>
      <c r="AE259" s="4" t="e">
        <f t="shared" si="4"/>
        <v>#VALUE!</v>
      </c>
      <c r="AF259" s="3" t="e">
        <f t="shared" si="5"/>
        <v>#VALUE!</v>
      </c>
      <c r="AG259" s="3"/>
      <c r="AH259" s="4"/>
      <c r="AI259" s="3"/>
      <c r="AJ259" s="3"/>
      <c r="AK259" s="3"/>
    </row>
    <row r="260" spans="1:37" ht="12.75" customHeight="1" x14ac:dyDescent="0.2">
      <c r="A260" s="14">
        <v>251</v>
      </c>
      <c r="B260" s="4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4"/>
      <c r="Y260" s="23"/>
      <c r="Z260" s="4" t="str">
        <f t="shared" si="0"/>
        <v/>
      </c>
      <c r="AA260" s="4" t="str">
        <f t="shared" si="1"/>
        <v/>
      </c>
      <c r="AB260" s="4" t="str">
        <f t="shared" si="2"/>
        <v/>
      </c>
      <c r="AC260" s="4">
        <v>0.62474213397034151</v>
      </c>
      <c r="AD260" s="4">
        <f t="shared" si="3"/>
        <v>-0.98014184658391446</v>
      </c>
      <c r="AE260" s="4" t="e">
        <f t="shared" si="4"/>
        <v>#VALUE!</v>
      </c>
      <c r="AF260" s="3" t="e">
        <f t="shared" si="5"/>
        <v>#VALUE!</v>
      </c>
      <c r="AG260" s="3"/>
      <c r="AH260" s="4"/>
      <c r="AI260" s="3"/>
      <c r="AJ260" s="3"/>
      <c r="AK260" s="3"/>
    </row>
    <row r="261" spans="1:37" ht="12.75" customHeight="1" x14ac:dyDescent="0.2">
      <c r="A261" s="14">
        <v>252</v>
      </c>
      <c r="B261" s="4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4"/>
      <c r="Y261" s="23"/>
      <c r="Z261" s="4" t="str">
        <f t="shared" si="0"/>
        <v/>
      </c>
      <c r="AA261" s="4" t="str">
        <f t="shared" si="1"/>
        <v/>
      </c>
      <c r="AB261" s="4" t="str">
        <f t="shared" si="2"/>
        <v/>
      </c>
      <c r="AC261" s="4">
        <v>0.62474213397034151</v>
      </c>
      <c r="AD261" s="4">
        <f t="shared" si="3"/>
        <v>-0.98014184658391446</v>
      </c>
      <c r="AE261" s="4" t="e">
        <f t="shared" si="4"/>
        <v>#VALUE!</v>
      </c>
      <c r="AF261" s="3" t="e">
        <f t="shared" si="5"/>
        <v>#VALUE!</v>
      </c>
      <c r="AG261" s="3"/>
      <c r="AH261" s="4"/>
      <c r="AI261" s="3"/>
      <c r="AJ261" s="3"/>
      <c r="AK261" s="3"/>
    </row>
    <row r="262" spans="1:37" ht="12.75" customHeight="1" x14ac:dyDescent="0.2">
      <c r="A262" s="14">
        <v>253</v>
      </c>
      <c r="B262" s="4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4"/>
      <c r="Y262" s="23"/>
      <c r="Z262" s="4" t="str">
        <f t="shared" si="0"/>
        <v/>
      </c>
      <c r="AA262" s="4" t="str">
        <f t="shared" si="1"/>
        <v/>
      </c>
      <c r="AB262" s="4" t="str">
        <f t="shared" si="2"/>
        <v/>
      </c>
      <c r="AC262" s="4">
        <v>0.62474213397034151</v>
      </c>
      <c r="AD262" s="4">
        <f t="shared" si="3"/>
        <v>-0.98014184658391446</v>
      </c>
      <c r="AE262" s="4" t="e">
        <f t="shared" si="4"/>
        <v>#VALUE!</v>
      </c>
      <c r="AF262" s="3" t="e">
        <f t="shared" si="5"/>
        <v>#VALUE!</v>
      </c>
      <c r="AG262" s="3"/>
      <c r="AH262" s="4"/>
      <c r="AI262" s="3"/>
      <c r="AJ262" s="3"/>
      <c r="AK262" s="3"/>
    </row>
    <row r="263" spans="1:37" ht="12.75" customHeight="1" x14ac:dyDescent="0.2">
      <c r="A263" s="14">
        <v>254</v>
      </c>
      <c r="B263" s="4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4"/>
      <c r="Y263" s="23"/>
      <c r="Z263" s="4" t="str">
        <f t="shared" si="0"/>
        <v/>
      </c>
      <c r="AA263" s="4" t="str">
        <f t="shared" si="1"/>
        <v/>
      </c>
      <c r="AB263" s="4" t="str">
        <f t="shared" si="2"/>
        <v/>
      </c>
      <c r="AC263" s="4">
        <v>0.62474213397034151</v>
      </c>
      <c r="AD263" s="4">
        <f t="shared" si="3"/>
        <v>-0.98014184658391446</v>
      </c>
      <c r="AE263" s="4" t="e">
        <f t="shared" si="4"/>
        <v>#VALUE!</v>
      </c>
      <c r="AF263" s="3" t="e">
        <f t="shared" si="5"/>
        <v>#VALUE!</v>
      </c>
      <c r="AG263" s="3"/>
      <c r="AH263" s="4"/>
      <c r="AI263" s="3"/>
      <c r="AJ263" s="3"/>
      <c r="AK263" s="3"/>
    </row>
    <row r="264" spans="1:37" ht="12.75" customHeight="1" x14ac:dyDescent="0.2">
      <c r="A264" s="14">
        <v>255</v>
      </c>
      <c r="B264" s="4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4"/>
      <c r="Y264" s="23"/>
      <c r="Z264" s="4" t="str">
        <f t="shared" si="0"/>
        <v/>
      </c>
      <c r="AA264" s="4" t="str">
        <f t="shared" si="1"/>
        <v/>
      </c>
      <c r="AB264" s="4" t="str">
        <f t="shared" si="2"/>
        <v/>
      </c>
      <c r="AC264" s="4">
        <v>0.62474213397034151</v>
      </c>
      <c r="AD264" s="4">
        <f t="shared" si="3"/>
        <v>-0.98014184658391446</v>
      </c>
      <c r="AE264" s="4" t="e">
        <f t="shared" si="4"/>
        <v>#VALUE!</v>
      </c>
      <c r="AF264" s="3" t="e">
        <f t="shared" si="5"/>
        <v>#VALUE!</v>
      </c>
      <c r="AG264" s="3"/>
      <c r="AH264" s="4"/>
      <c r="AI264" s="3"/>
      <c r="AJ264" s="3"/>
      <c r="AK264" s="3"/>
    </row>
    <row r="265" spans="1:37" ht="12.75" customHeight="1" x14ac:dyDescent="0.2">
      <c r="A265" s="14">
        <v>256</v>
      </c>
      <c r="B265" s="4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4"/>
      <c r="Y265" s="23"/>
      <c r="Z265" s="4" t="str">
        <f t="shared" ref="Z265:Z519" si="6">IF(A265&gt;$AE$6,"",(B265-$B$5)/$B$6)</f>
        <v/>
      </c>
      <c r="AA265" s="4" t="str">
        <f t="shared" ref="AA265:AA519" si="7">IF(A265&gt;$AE$6,"",IF(NORMSDIST(Z265)=1,0.999999999,IF(NORMSDIST(Z265)=0,0.0000000000000001,NORMSDIST(Z265))))</f>
        <v/>
      </c>
      <c r="AB265" s="4" t="str">
        <f t="shared" ref="AB265:AB519" si="8">IF(A265&gt;$AE$6, "", LN(AA265))</f>
        <v/>
      </c>
      <c r="AC265" s="4">
        <v>0.62474213397034151</v>
      </c>
      <c r="AD265" s="4">
        <f t="shared" ref="AD265:AD519" si="9">LN(1-AC265)</f>
        <v>-0.98014184658391446</v>
      </c>
      <c r="AE265" s="4" t="e">
        <f t="shared" ref="AE265:AE519" si="10">-1*(2*A265-1)*(AB265+AD265)/$AE$6</f>
        <v>#VALUE!</v>
      </c>
      <c r="AF265" s="3" t="e">
        <f t="shared" si="5"/>
        <v>#VALUE!</v>
      </c>
      <c r="AG265" s="3"/>
      <c r="AH265" s="4"/>
      <c r="AI265" s="3"/>
      <c r="AJ265" s="3"/>
      <c r="AK265" s="3"/>
    </row>
    <row r="266" spans="1:37" ht="12.75" customHeight="1" x14ac:dyDescent="0.2">
      <c r="A266" s="14">
        <v>257</v>
      </c>
      <c r="B266" s="4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4"/>
      <c r="Y266" s="23"/>
      <c r="Z266" s="4" t="str">
        <f t="shared" si="6"/>
        <v/>
      </c>
      <c r="AA266" s="4" t="str">
        <f t="shared" si="7"/>
        <v/>
      </c>
      <c r="AB266" s="4" t="str">
        <f t="shared" si="8"/>
        <v/>
      </c>
      <c r="AC266" s="4">
        <v>0.62474213397034151</v>
      </c>
      <c r="AD266" s="4">
        <f t="shared" si="9"/>
        <v>-0.98014184658391446</v>
      </c>
      <c r="AE266" s="4" t="e">
        <f t="shared" si="10"/>
        <v>#VALUE!</v>
      </c>
      <c r="AF266" s="3" t="e">
        <f t="shared" ref="AF266:AF520" si="11">IF(A266="", AF265, AF265+AE266)</f>
        <v>#VALUE!</v>
      </c>
      <c r="AG266" s="3"/>
      <c r="AH266" s="4"/>
      <c r="AI266" s="3"/>
      <c r="AJ266" s="3"/>
      <c r="AK266" s="3"/>
    </row>
    <row r="267" spans="1:37" ht="12.75" customHeight="1" x14ac:dyDescent="0.2">
      <c r="A267" s="14">
        <v>258</v>
      </c>
      <c r="B267" s="4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4"/>
      <c r="Y267" s="23"/>
      <c r="Z267" s="4" t="str">
        <f t="shared" si="6"/>
        <v/>
      </c>
      <c r="AA267" s="4" t="str">
        <f t="shared" si="7"/>
        <v/>
      </c>
      <c r="AB267" s="4" t="str">
        <f t="shared" si="8"/>
        <v/>
      </c>
      <c r="AC267" s="4">
        <v>0.6156502648710922</v>
      </c>
      <c r="AD267" s="4">
        <f t="shared" si="9"/>
        <v>-0.9562023723275801</v>
      </c>
      <c r="AE267" s="4" t="e">
        <f t="shared" si="10"/>
        <v>#VALUE!</v>
      </c>
      <c r="AF267" s="3" t="e">
        <f t="shared" si="11"/>
        <v>#VALUE!</v>
      </c>
      <c r="AG267" s="3"/>
      <c r="AH267" s="4"/>
      <c r="AI267" s="3"/>
      <c r="AJ267" s="3"/>
      <c r="AK267" s="3"/>
    </row>
    <row r="268" spans="1:37" ht="12.75" customHeight="1" x14ac:dyDescent="0.2">
      <c r="A268" s="14">
        <v>259</v>
      </c>
      <c r="B268" s="4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4"/>
      <c r="Y268" s="23"/>
      <c r="Z268" s="4" t="str">
        <f t="shared" si="6"/>
        <v/>
      </c>
      <c r="AA268" s="4" t="str">
        <f t="shared" si="7"/>
        <v/>
      </c>
      <c r="AB268" s="4" t="str">
        <f t="shared" si="8"/>
        <v/>
      </c>
      <c r="AC268" s="4">
        <v>0.6156502648710922</v>
      </c>
      <c r="AD268" s="4">
        <f t="shared" si="9"/>
        <v>-0.9562023723275801</v>
      </c>
      <c r="AE268" s="4" t="e">
        <f t="shared" si="10"/>
        <v>#VALUE!</v>
      </c>
      <c r="AF268" s="3" t="e">
        <f t="shared" si="11"/>
        <v>#VALUE!</v>
      </c>
      <c r="AG268" s="3"/>
      <c r="AH268" s="4"/>
      <c r="AI268" s="3"/>
      <c r="AJ268" s="3"/>
      <c r="AK268" s="3"/>
    </row>
    <row r="269" spans="1:37" ht="12.75" customHeight="1" x14ac:dyDescent="0.2">
      <c r="A269" s="14">
        <v>260</v>
      </c>
      <c r="B269" s="4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4"/>
      <c r="Y269" s="23"/>
      <c r="Z269" s="4" t="str">
        <f t="shared" si="6"/>
        <v/>
      </c>
      <c r="AA269" s="4" t="str">
        <f t="shared" si="7"/>
        <v/>
      </c>
      <c r="AB269" s="4" t="str">
        <f t="shared" si="8"/>
        <v/>
      </c>
      <c r="AC269" s="4">
        <v>0.6156502648710922</v>
      </c>
      <c r="AD269" s="4">
        <f t="shared" si="9"/>
        <v>-0.9562023723275801</v>
      </c>
      <c r="AE269" s="4" t="e">
        <f t="shared" si="10"/>
        <v>#VALUE!</v>
      </c>
      <c r="AF269" s="3" t="e">
        <f t="shared" si="11"/>
        <v>#VALUE!</v>
      </c>
      <c r="AG269" s="3"/>
      <c r="AH269" s="4"/>
      <c r="AI269" s="3"/>
      <c r="AJ269" s="3"/>
      <c r="AK269" s="3"/>
    </row>
    <row r="270" spans="1:37" ht="12.75" customHeight="1" x14ac:dyDescent="0.2">
      <c r="A270" s="14">
        <v>261</v>
      </c>
      <c r="B270" s="4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4"/>
      <c r="Y270" s="23"/>
      <c r="Z270" s="4" t="str">
        <f t="shared" si="6"/>
        <v/>
      </c>
      <c r="AA270" s="4" t="str">
        <f t="shared" si="7"/>
        <v/>
      </c>
      <c r="AB270" s="4" t="str">
        <f t="shared" si="8"/>
        <v/>
      </c>
      <c r="AC270" s="4">
        <v>0.6156502648710922</v>
      </c>
      <c r="AD270" s="4">
        <f t="shared" si="9"/>
        <v>-0.9562023723275801</v>
      </c>
      <c r="AE270" s="4" t="e">
        <f t="shared" si="10"/>
        <v>#VALUE!</v>
      </c>
      <c r="AF270" s="3" t="e">
        <f t="shared" si="11"/>
        <v>#VALUE!</v>
      </c>
      <c r="AG270" s="3"/>
      <c r="AH270" s="4"/>
      <c r="AI270" s="3"/>
      <c r="AJ270" s="3"/>
      <c r="AK270" s="3"/>
    </row>
    <row r="271" spans="1:37" ht="12.75" customHeight="1" x14ac:dyDescent="0.2">
      <c r="A271" s="14">
        <v>262</v>
      </c>
      <c r="B271" s="4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4"/>
      <c r="Y271" s="23"/>
      <c r="Z271" s="4" t="str">
        <f t="shared" si="6"/>
        <v/>
      </c>
      <c r="AA271" s="4" t="str">
        <f t="shared" si="7"/>
        <v/>
      </c>
      <c r="AB271" s="4" t="str">
        <f t="shared" si="8"/>
        <v/>
      </c>
      <c r="AC271" s="4">
        <v>0.60649432191923469</v>
      </c>
      <c r="AD271" s="4">
        <f t="shared" si="9"/>
        <v>-0.93265978154450313</v>
      </c>
      <c r="AE271" s="4" t="e">
        <f t="shared" si="10"/>
        <v>#VALUE!</v>
      </c>
      <c r="AF271" s="3" t="e">
        <f t="shared" si="11"/>
        <v>#VALUE!</v>
      </c>
      <c r="AG271" s="3"/>
      <c r="AH271" s="4"/>
      <c r="AI271" s="3"/>
      <c r="AJ271" s="3"/>
      <c r="AK271" s="3"/>
    </row>
    <row r="272" spans="1:37" ht="12.75" customHeight="1" x14ac:dyDescent="0.2">
      <c r="A272" s="14">
        <v>263</v>
      </c>
      <c r="B272" s="4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4"/>
      <c r="Y272" s="23"/>
      <c r="Z272" s="4" t="str">
        <f t="shared" si="6"/>
        <v/>
      </c>
      <c r="AA272" s="4" t="str">
        <f t="shared" si="7"/>
        <v/>
      </c>
      <c r="AB272" s="4" t="str">
        <f t="shared" si="8"/>
        <v/>
      </c>
      <c r="AC272" s="4">
        <v>0.60649432191923469</v>
      </c>
      <c r="AD272" s="4">
        <f t="shared" si="9"/>
        <v>-0.93265978154450313</v>
      </c>
      <c r="AE272" s="4" t="e">
        <f t="shared" si="10"/>
        <v>#VALUE!</v>
      </c>
      <c r="AF272" s="3" t="e">
        <f t="shared" si="11"/>
        <v>#VALUE!</v>
      </c>
      <c r="AG272" s="3"/>
      <c r="AH272" s="4"/>
      <c r="AI272" s="3"/>
      <c r="AJ272" s="3"/>
      <c r="AK272" s="3"/>
    </row>
    <row r="273" spans="1:37" ht="12.75" customHeight="1" x14ac:dyDescent="0.2">
      <c r="A273" s="14">
        <v>264</v>
      </c>
      <c r="B273" s="4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4"/>
      <c r="Y273" s="23"/>
      <c r="Z273" s="4" t="str">
        <f t="shared" si="6"/>
        <v/>
      </c>
      <c r="AA273" s="4" t="str">
        <f t="shared" si="7"/>
        <v/>
      </c>
      <c r="AB273" s="4" t="str">
        <f t="shared" si="8"/>
        <v/>
      </c>
      <c r="AC273" s="4">
        <v>0.60649432191923469</v>
      </c>
      <c r="AD273" s="4">
        <f t="shared" si="9"/>
        <v>-0.93265978154450313</v>
      </c>
      <c r="AE273" s="4" t="e">
        <f t="shared" si="10"/>
        <v>#VALUE!</v>
      </c>
      <c r="AF273" s="3" t="e">
        <f t="shared" si="11"/>
        <v>#VALUE!</v>
      </c>
      <c r="AG273" s="3"/>
      <c r="AH273" s="4"/>
      <c r="AI273" s="3"/>
      <c r="AJ273" s="3"/>
      <c r="AK273" s="3"/>
    </row>
    <row r="274" spans="1:37" ht="12.75" customHeight="1" x14ac:dyDescent="0.2">
      <c r="A274" s="14">
        <v>265</v>
      </c>
      <c r="B274" s="4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4"/>
      <c r="Y274" s="23"/>
      <c r="Z274" s="4" t="str">
        <f t="shared" si="6"/>
        <v/>
      </c>
      <c r="AA274" s="4" t="str">
        <f t="shared" si="7"/>
        <v/>
      </c>
      <c r="AB274" s="4" t="str">
        <f t="shared" si="8"/>
        <v/>
      </c>
      <c r="AC274" s="4">
        <v>0.60649432191923469</v>
      </c>
      <c r="AD274" s="4">
        <f t="shared" si="9"/>
        <v>-0.93265978154450313</v>
      </c>
      <c r="AE274" s="4" t="e">
        <f t="shared" si="10"/>
        <v>#VALUE!</v>
      </c>
      <c r="AF274" s="3" t="e">
        <f t="shared" si="11"/>
        <v>#VALUE!</v>
      </c>
      <c r="AG274" s="3"/>
      <c r="AH274" s="4"/>
      <c r="AI274" s="3"/>
      <c r="AJ274" s="3"/>
      <c r="AK274" s="3"/>
    </row>
    <row r="275" spans="1:37" ht="12.75" customHeight="1" x14ac:dyDescent="0.2">
      <c r="A275" s="14">
        <v>266</v>
      </c>
      <c r="B275" s="4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4"/>
      <c r="Y275" s="23"/>
      <c r="Z275" s="4" t="str">
        <f t="shared" si="6"/>
        <v/>
      </c>
      <c r="AA275" s="4" t="str">
        <f t="shared" si="7"/>
        <v/>
      </c>
      <c r="AB275" s="4" t="str">
        <f t="shared" si="8"/>
        <v/>
      </c>
      <c r="AC275" s="4">
        <v>0.60649432191923469</v>
      </c>
      <c r="AD275" s="4">
        <f t="shared" si="9"/>
        <v>-0.93265978154450313</v>
      </c>
      <c r="AE275" s="4" t="e">
        <f t="shared" si="10"/>
        <v>#VALUE!</v>
      </c>
      <c r="AF275" s="3" t="e">
        <f t="shared" si="11"/>
        <v>#VALUE!</v>
      </c>
      <c r="AG275" s="3"/>
      <c r="AH275" s="4"/>
      <c r="AI275" s="3"/>
      <c r="AJ275" s="3"/>
      <c r="AK275" s="3"/>
    </row>
    <row r="276" spans="1:37" ht="12.75" customHeight="1" x14ac:dyDescent="0.2">
      <c r="A276" s="14">
        <v>267</v>
      </c>
      <c r="B276" s="4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4"/>
      <c r="Y276" s="23"/>
      <c r="Z276" s="4" t="str">
        <f t="shared" si="6"/>
        <v/>
      </c>
      <c r="AA276" s="4" t="str">
        <f t="shared" si="7"/>
        <v/>
      </c>
      <c r="AB276" s="4" t="str">
        <f t="shared" si="8"/>
        <v/>
      </c>
      <c r="AC276" s="4">
        <v>0.60649432191923469</v>
      </c>
      <c r="AD276" s="4">
        <f t="shared" si="9"/>
        <v>-0.93265978154450313</v>
      </c>
      <c r="AE276" s="4" t="e">
        <f t="shared" si="10"/>
        <v>#VALUE!</v>
      </c>
      <c r="AF276" s="3" t="e">
        <f t="shared" si="11"/>
        <v>#VALUE!</v>
      </c>
      <c r="AG276" s="3"/>
      <c r="AH276" s="4"/>
      <c r="AI276" s="3"/>
      <c r="AJ276" s="3"/>
      <c r="AK276" s="3"/>
    </row>
    <row r="277" spans="1:37" ht="12.75" customHeight="1" x14ac:dyDescent="0.2">
      <c r="A277" s="14">
        <v>268</v>
      </c>
      <c r="B277" s="4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4"/>
      <c r="Y277" s="23"/>
      <c r="Z277" s="4" t="str">
        <f t="shared" si="6"/>
        <v/>
      </c>
      <c r="AA277" s="4" t="str">
        <f t="shared" si="7"/>
        <v/>
      </c>
      <c r="AB277" s="4" t="str">
        <f t="shared" si="8"/>
        <v/>
      </c>
      <c r="AC277" s="4">
        <v>0.60649432191923469</v>
      </c>
      <c r="AD277" s="4">
        <f t="shared" si="9"/>
        <v>-0.93265978154450313</v>
      </c>
      <c r="AE277" s="4" t="e">
        <f t="shared" si="10"/>
        <v>#VALUE!</v>
      </c>
      <c r="AF277" s="3" t="e">
        <f t="shared" si="11"/>
        <v>#VALUE!</v>
      </c>
      <c r="AG277" s="3"/>
      <c r="AH277" s="4"/>
      <c r="AI277" s="3"/>
      <c r="AJ277" s="3"/>
      <c r="AK277" s="3"/>
    </row>
    <row r="278" spans="1:37" ht="12.75" customHeight="1" x14ac:dyDescent="0.2">
      <c r="A278" s="14">
        <v>269</v>
      </c>
      <c r="B278" s="4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4"/>
      <c r="Y278" s="23"/>
      <c r="Z278" s="4" t="str">
        <f t="shared" si="6"/>
        <v/>
      </c>
      <c r="AA278" s="4" t="str">
        <f t="shared" si="7"/>
        <v/>
      </c>
      <c r="AB278" s="4" t="str">
        <f t="shared" si="8"/>
        <v/>
      </c>
      <c r="AC278" s="4">
        <v>0.60649432191923469</v>
      </c>
      <c r="AD278" s="4">
        <f t="shared" si="9"/>
        <v>-0.93265978154450313</v>
      </c>
      <c r="AE278" s="4" t="e">
        <f t="shared" si="10"/>
        <v>#VALUE!</v>
      </c>
      <c r="AF278" s="3" t="e">
        <f t="shared" si="11"/>
        <v>#VALUE!</v>
      </c>
      <c r="AG278" s="3"/>
      <c r="AH278" s="4"/>
      <c r="AI278" s="3"/>
      <c r="AJ278" s="3"/>
      <c r="AK278" s="3"/>
    </row>
    <row r="279" spans="1:37" ht="12.75" customHeight="1" x14ac:dyDescent="0.2">
      <c r="A279" s="14">
        <v>270</v>
      </c>
      <c r="B279" s="4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4"/>
      <c r="Y279" s="23"/>
      <c r="Z279" s="4" t="str">
        <f t="shared" si="6"/>
        <v/>
      </c>
      <c r="AA279" s="4" t="str">
        <f t="shared" si="7"/>
        <v/>
      </c>
      <c r="AB279" s="4" t="str">
        <f t="shared" si="8"/>
        <v/>
      </c>
      <c r="AC279" s="4">
        <v>0.59727911121351651</v>
      </c>
      <c r="AD279" s="4">
        <f t="shared" si="9"/>
        <v>-0.90951154063867834</v>
      </c>
      <c r="AE279" s="4" t="e">
        <f t="shared" si="10"/>
        <v>#VALUE!</v>
      </c>
      <c r="AF279" s="3" t="e">
        <f t="shared" si="11"/>
        <v>#VALUE!</v>
      </c>
      <c r="AG279" s="3"/>
      <c r="AH279" s="4"/>
      <c r="AI279" s="3"/>
      <c r="AJ279" s="3"/>
      <c r="AK279" s="3"/>
    </row>
    <row r="280" spans="1:37" ht="12.75" customHeight="1" x14ac:dyDescent="0.2">
      <c r="A280" s="14">
        <v>271</v>
      </c>
      <c r="B280" s="4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4"/>
      <c r="Y280" s="23"/>
      <c r="Z280" s="4" t="str">
        <f t="shared" si="6"/>
        <v/>
      </c>
      <c r="AA280" s="4" t="str">
        <f t="shared" si="7"/>
        <v/>
      </c>
      <c r="AB280" s="4" t="str">
        <f t="shared" si="8"/>
        <v/>
      </c>
      <c r="AC280" s="4">
        <v>0.59727911121351651</v>
      </c>
      <c r="AD280" s="4">
        <f t="shared" si="9"/>
        <v>-0.90951154063867834</v>
      </c>
      <c r="AE280" s="4" t="e">
        <f t="shared" si="10"/>
        <v>#VALUE!</v>
      </c>
      <c r="AF280" s="3" t="e">
        <f t="shared" si="11"/>
        <v>#VALUE!</v>
      </c>
      <c r="AG280" s="3"/>
      <c r="AH280" s="4"/>
      <c r="AI280" s="3"/>
      <c r="AJ280" s="3"/>
      <c r="AK280" s="3"/>
    </row>
    <row r="281" spans="1:37" ht="12.75" customHeight="1" x14ac:dyDescent="0.2">
      <c r="A281" s="14">
        <v>272</v>
      </c>
      <c r="B281" s="4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4"/>
      <c r="Y281" s="23"/>
      <c r="Z281" s="4" t="str">
        <f t="shared" si="6"/>
        <v/>
      </c>
      <c r="AA281" s="4" t="str">
        <f t="shared" si="7"/>
        <v/>
      </c>
      <c r="AB281" s="4" t="str">
        <f t="shared" si="8"/>
        <v/>
      </c>
      <c r="AC281" s="4">
        <v>0.59727911121351651</v>
      </c>
      <c r="AD281" s="4">
        <f t="shared" si="9"/>
        <v>-0.90951154063867834</v>
      </c>
      <c r="AE281" s="4" t="e">
        <f t="shared" si="10"/>
        <v>#VALUE!</v>
      </c>
      <c r="AF281" s="3" t="e">
        <f t="shared" si="11"/>
        <v>#VALUE!</v>
      </c>
      <c r="AG281" s="3"/>
      <c r="AH281" s="4"/>
      <c r="AI281" s="3"/>
      <c r="AJ281" s="3"/>
      <c r="AK281" s="3"/>
    </row>
    <row r="282" spans="1:37" ht="12.75" customHeight="1" x14ac:dyDescent="0.2">
      <c r="A282" s="14">
        <v>273</v>
      </c>
      <c r="B282" s="4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4"/>
      <c r="Y282" s="23"/>
      <c r="Z282" s="4" t="str">
        <f t="shared" si="6"/>
        <v/>
      </c>
      <c r="AA282" s="4" t="str">
        <f t="shared" si="7"/>
        <v/>
      </c>
      <c r="AB282" s="4" t="str">
        <f t="shared" si="8"/>
        <v/>
      </c>
      <c r="AC282" s="4">
        <v>0.59727911121351651</v>
      </c>
      <c r="AD282" s="4">
        <f t="shared" si="9"/>
        <v>-0.90951154063867834</v>
      </c>
      <c r="AE282" s="4" t="e">
        <f t="shared" si="10"/>
        <v>#VALUE!</v>
      </c>
      <c r="AF282" s="3" t="e">
        <f t="shared" si="11"/>
        <v>#VALUE!</v>
      </c>
      <c r="AG282" s="3"/>
      <c r="AH282" s="4"/>
      <c r="AI282" s="3"/>
      <c r="AJ282" s="3"/>
      <c r="AK282" s="3"/>
    </row>
    <row r="283" spans="1:37" ht="12.75" customHeight="1" x14ac:dyDescent="0.2">
      <c r="A283" s="14">
        <v>274</v>
      </c>
      <c r="B283" s="4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4"/>
      <c r="Y283" s="23"/>
      <c r="Z283" s="4" t="str">
        <f t="shared" si="6"/>
        <v/>
      </c>
      <c r="AA283" s="4" t="str">
        <f t="shared" si="7"/>
        <v/>
      </c>
      <c r="AB283" s="4" t="str">
        <f t="shared" si="8"/>
        <v/>
      </c>
      <c r="AC283" s="4">
        <v>0.59727911121351651</v>
      </c>
      <c r="AD283" s="4">
        <f t="shared" si="9"/>
        <v>-0.90951154063867834</v>
      </c>
      <c r="AE283" s="4" t="e">
        <f t="shared" si="10"/>
        <v>#VALUE!</v>
      </c>
      <c r="AF283" s="3" t="e">
        <f t="shared" si="11"/>
        <v>#VALUE!</v>
      </c>
      <c r="AG283" s="3"/>
      <c r="AH283" s="4"/>
      <c r="AI283" s="3"/>
      <c r="AJ283" s="3"/>
      <c r="AK283" s="3"/>
    </row>
    <row r="284" spans="1:37" ht="12.75" customHeight="1" x14ac:dyDescent="0.2">
      <c r="A284" s="14">
        <v>275</v>
      </c>
      <c r="B284" s="4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4"/>
      <c r="Y284" s="23"/>
      <c r="Z284" s="4" t="str">
        <f t="shared" si="6"/>
        <v/>
      </c>
      <c r="AA284" s="4" t="str">
        <f t="shared" si="7"/>
        <v/>
      </c>
      <c r="AB284" s="4" t="str">
        <f t="shared" si="8"/>
        <v/>
      </c>
      <c r="AC284" s="4">
        <v>0.59727911121351651</v>
      </c>
      <c r="AD284" s="4">
        <f t="shared" si="9"/>
        <v>-0.90951154063867834</v>
      </c>
      <c r="AE284" s="4" t="e">
        <f t="shared" si="10"/>
        <v>#VALUE!</v>
      </c>
      <c r="AF284" s="3" t="e">
        <f t="shared" si="11"/>
        <v>#VALUE!</v>
      </c>
      <c r="AG284" s="3"/>
      <c r="AH284" s="4"/>
      <c r="AI284" s="3"/>
      <c r="AJ284" s="3"/>
      <c r="AK284" s="3"/>
    </row>
    <row r="285" spans="1:37" ht="12.75" customHeight="1" x14ac:dyDescent="0.2">
      <c r="A285" s="14">
        <v>276</v>
      </c>
      <c r="B285" s="4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4"/>
      <c r="Y285" s="23"/>
      <c r="Z285" s="4" t="str">
        <f t="shared" si="6"/>
        <v/>
      </c>
      <c r="AA285" s="4" t="str">
        <f t="shared" si="7"/>
        <v/>
      </c>
      <c r="AB285" s="4" t="str">
        <f t="shared" si="8"/>
        <v/>
      </c>
      <c r="AC285" s="4">
        <v>0.59727911121351651</v>
      </c>
      <c r="AD285" s="4">
        <f t="shared" si="9"/>
        <v>-0.90951154063867834</v>
      </c>
      <c r="AE285" s="4" t="e">
        <f t="shared" si="10"/>
        <v>#VALUE!</v>
      </c>
      <c r="AF285" s="3" t="e">
        <f t="shared" si="11"/>
        <v>#VALUE!</v>
      </c>
      <c r="AG285" s="3"/>
      <c r="AH285" s="4"/>
      <c r="AI285" s="3"/>
      <c r="AJ285" s="3"/>
      <c r="AK285" s="3"/>
    </row>
    <row r="286" spans="1:37" ht="12.75" customHeight="1" x14ac:dyDescent="0.2">
      <c r="A286" s="14">
        <v>277</v>
      </c>
      <c r="B286" s="4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4"/>
      <c r="Y286" s="23"/>
      <c r="Z286" s="4" t="str">
        <f t="shared" si="6"/>
        <v/>
      </c>
      <c r="AA286" s="4" t="str">
        <f t="shared" si="7"/>
        <v/>
      </c>
      <c r="AB286" s="4" t="str">
        <f t="shared" si="8"/>
        <v/>
      </c>
      <c r="AC286" s="4">
        <v>0.59727911121351651</v>
      </c>
      <c r="AD286" s="4">
        <f t="shared" si="9"/>
        <v>-0.90951154063867834</v>
      </c>
      <c r="AE286" s="4" t="e">
        <f t="shared" si="10"/>
        <v>#VALUE!</v>
      </c>
      <c r="AF286" s="3" t="e">
        <f t="shared" si="11"/>
        <v>#VALUE!</v>
      </c>
      <c r="AG286" s="3"/>
      <c r="AH286" s="4"/>
      <c r="AI286" s="3"/>
      <c r="AJ286" s="3"/>
      <c r="AK286" s="3"/>
    </row>
    <row r="287" spans="1:37" ht="12.75" customHeight="1" x14ac:dyDescent="0.2">
      <c r="A287" s="14">
        <v>278</v>
      </c>
      <c r="B287" s="4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4"/>
      <c r="Y287" s="23"/>
      <c r="Z287" s="4" t="str">
        <f t="shared" si="6"/>
        <v/>
      </c>
      <c r="AA287" s="4" t="str">
        <f t="shared" si="7"/>
        <v/>
      </c>
      <c r="AB287" s="4" t="str">
        <f t="shared" si="8"/>
        <v/>
      </c>
      <c r="AC287" s="4">
        <v>0.58800953755117247</v>
      </c>
      <c r="AD287" s="4">
        <f t="shared" si="9"/>
        <v>-0.88675507929661179</v>
      </c>
      <c r="AE287" s="4" t="e">
        <f t="shared" si="10"/>
        <v>#VALUE!</v>
      </c>
      <c r="AF287" s="3" t="e">
        <f t="shared" si="11"/>
        <v>#VALUE!</v>
      </c>
      <c r="AG287" s="3"/>
      <c r="AH287" s="4"/>
      <c r="AI287" s="3"/>
      <c r="AJ287" s="3"/>
      <c r="AK287" s="3"/>
    </row>
    <row r="288" spans="1:37" ht="12.75" customHeight="1" x14ac:dyDescent="0.2">
      <c r="A288" s="14">
        <v>279</v>
      </c>
      <c r="B288" s="4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4"/>
      <c r="Y288" s="23"/>
      <c r="Z288" s="4" t="str">
        <f t="shared" si="6"/>
        <v/>
      </c>
      <c r="AA288" s="4" t="str">
        <f t="shared" si="7"/>
        <v/>
      </c>
      <c r="AB288" s="4" t="str">
        <f t="shared" si="8"/>
        <v/>
      </c>
      <c r="AC288" s="4">
        <v>0.58800953755117247</v>
      </c>
      <c r="AD288" s="4">
        <f t="shared" si="9"/>
        <v>-0.88675507929661179</v>
      </c>
      <c r="AE288" s="4" t="e">
        <f t="shared" si="10"/>
        <v>#VALUE!</v>
      </c>
      <c r="AF288" s="3" t="e">
        <f t="shared" si="11"/>
        <v>#VALUE!</v>
      </c>
      <c r="AG288" s="3"/>
      <c r="AH288" s="4"/>
      <c r="AI288" s="3"/>
      <c r="AJ288" s="3"/>
      <c r="AK288" s="3"/>
    </row>
    <row r="289" spans="1:37" ht="12.75" customHeight="1" x14ac:dyDescent="0.2">
      <c r="A289" s="14">
        <v>280</v>
      </c>
      <c r="B289" s="4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4"/>
      <c r="Y289" s="23"/>
      <c r="Z289" s="4" t="str">
        <f t="shared" si="6"/>
        <v/>
      </c>
      <c r="AA289" s="4" t="str">
        <f t="shared" si="7"/>
        <v/>
      </c>
      <c r="AB289" s="4" t="str">
        <f t="shared" si="8"/>
        <v/>
      </c>
      <c r="AC289" s="4">
        <v>0.58800953755117247</v>
      </c>
      <c r="AD289" s="4">
        <f t="shared" si="9"/>
        <v>-0.88675507929661179</v>
      </c>
      <c r="AE289" s="4" t="e">
        <f t="shared" si="10"/>
        <v>#VALUE!</v>
      </c>
      <c r="AF289" s="3" t="e">
        <f t="shared" si="11"/>
        <v>#VALUE!</v>
      </c>
      <c r="AG289" s="3"/>
      <c r="AH289" s="4"/>
      <c r="AI289" s="3"/>
      <c r="AJ289" s="3"/>
      <c r="AK289" s="3"/>
    </row>
    <row r="290" spans="1:37" ht="12.75" customHeight="1" x14ac:dyDescent="0.2">
      <c r="A290" s="14">
        <v>281</v>
      </c>
      <c r="B290" s="4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4"/>
      <c r="Y290" s="23"/>
      <c r="Z290" s="4" t="str">
        <f t="shared" si="6"/>
        <v/>
      </c>
      <c r="AA290" s="4" t="str">
        <f t="shared" si="7"/>
        <v/>
      </c>
      <c r="AB290" s="4" t="str">
        <f t="shared" si="8"/>
        <v/>
      </c>
      <c r="AC290" s="4">
        <v>0.57869059655494004</v>
      </c>
      <c r="AD290" s="4">
        <f t="shared" si="9"/>
        <v>-0.8643877901772784</v>
      </c>
      <c r="AE290" s="4" t="e">
        <f t="shared" si="10"/>
        <v>#VALUE!</v>
      </c>
      <c r="AF290" s="3" t="e">
        <f t="shared" si="11"/>
        <v>#VALUE!</v>
      </c>
      <c r="AG290" s="3"/>
      <c r="AH290" s="4"/>
      <c r="AI290" s="3"/>
      <c r="AJ290" s="3"/>
      <c r="AK290" s="3"/>
    </row>
    <row r="291" spans="1:37" ht="12.75" customHeight="1" x14ac:dyDescent="0.2">
      <c r="A291" s="14">
        <v>282</v>
      </c>
      <c r="B291" s="4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4"/>
      <c r="Y291" s="23"/>
      <c r="Z291" s="4" t="str">
        <f t="shared" si="6"/>
        <v/>
      </c>
      <c r="AA291" s="4" t="str">
        <f t="shared" si="7"/>
        <v/>
      </c>
      <c r="AB291" s="4" t="str">
        <f t="shared" si="8"/>
        <v/>
      </c>
      <c r="AC291" s="4">
        <v>0.57869059655494004</v>
      </c>
      <c r="AD291" s="4">
        <f t="shared" si="9"/>
        <v>-0.8643877901772784</v>
      </c>
      <c r="AE291" s="4" t="e">
        <f t="shared" si="10"/>
        <v>#VALUE!</v>
      </c>
      <c r="AF291" s="3" t="e">
        <f t="shared" si="11"/>
        <v>#VALUE!</v>
      </c>
      <c r="AG291" s="3"/>
      <c r="AH291" s="4"/>
      <c r="AI291" s="3"/>
      <c r="AJ291" s="3"/>
      <c r="AK291" s="3"/>
    </row>
    <row r="292" spans="1:37" ht="12.75" customHeight="1" x14ac:dyDescent="0.2">
      <c r="A292" s="14">
        <v>283</v>
      </c>
      <c r="B292" s="4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4"/>
      <c r="Y292" s="23"/>
      <c r="Z292" s="4" t="str">
        <f t="shared" si="6"/>
        <v/>
      </c>
      <c r="AA292" s="4" t="str">
        <f t="shared" si="7"/>
        <v/>
      </c>
      <c r="AB292" s="4" t="str">
        <f t="shared" si="8"/>
        <v/>
      </c>
      <c r="AC292" s="4">
        <v>0.57869059655494004</v>
      </c>
      <c r="AD292" s="4">
        <f t="shared" si="9"/>
        <v>-0.8643877901772784</v>
      </c>
      <c r="AE292" s="4" t="e">
        <f t="shared" si="10"/>
        <v>#VALUE!</v>
      </c>
      <c r="AF292" s="3" t="e">
        <f t="shared" si="11"/>
        <v>#VALUE!</v>
      </c>
      <c r="AG292" s="3"/>
      <c r="AH292" s="4"/>
      <c r="AI292" s="3"/>
      <c r="AJ292" s="3"/>
      <c r="AK292" s="3"/>
    </row>
    <row r="293" spans="1:37" ht="12.75" customHeight="1" x14ac:dyDescent="0.2">
      <c r="A293" s="14">
        <v>284</v>
      </c>
      <c r="B293" s="4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4"/>
      <c r="Y293" s="23"/>
      <c r="Z293" s="4" t="str">
        <f t="shared" si="6"/>
        <v/>
      </c>
      <c r="AA293" s="4" t="str">
        <f t="shared" si="7"/>
        <v/>
      </c>
      <c r="AB293" s="4" t="str">
        <f t="shared" si="8"/>
        <v/>
      </c>
      <c r="AC293" s="4">
        <v>0.57869059655494004</v>
      </c>
      <c r="AD293" s="4">
        <f t="shared" si="9"/>
        <v>-0.8643877901772784</v>
      </c>
      <c r="AE293" s="4" t="e">
        <f t="shared" si="10"/>
        <v>#VALUE!</v>
      </c>
      <c r="AF293" s="3" t="e">
        <f t="shared" si="11"/>
        <v>#VALUE!</v>
      </c>
      <c r="AG293" s="3"/>
      <c r="AH293" s="4"/>
      <c r="AI293" s="3"/>
      <c r="AJ293" s="3"/>
      <c r="AK293" s="3"/>
    </row>
    <row r="294" spans="1:37" ht="12.75" customHeight="1" x14ac:dyDescent="0.2">
      <c r="A294" s="14">
        <v>285</v>
      </c>
      <c r="B294" s="4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4"/>
      <c r="Y294" s="23"/>
      <c r="Z294" s="4" t="str">
        <f t="shared" si="6"/>
        <v/>
      </c>
      <c r="AA294" s="4" t="str">
        <f t="shared" si="7"/>
        <v/>
      </c>
      <c r="AB294" s="4" t="str">
        <f t="shared" si="8"/>
        <v/>
      </c>
      <c r="AC294" s="4">
        <v>0.57869059655494004</v>
      </c>
      <c r="AD294" s="4">
        <f t="shared" si="9"/>
        <v>-0.8643877901772784</v>
      </c>
      <c r="AE294" s="4" t="e">
        <f t="shared" si="10"/>
        <v>#VALUE!</v>
      </c>
      <c r="AF294" s="3" t="e">
        <f t="shared" si="11"/>
        <v>#VALUE!</v>
      </c>
      <c r="AG294" s="3"/>
      <c r="AH294" s="4"/>
      <c r="AI294" s="3"/>
      <c r="AJ294" s="3"/>
      <c r="AK294" s="3"/>
    </row>
    <row r="295" spans="1:37" ht="12.75" customHeight="1" x14ac:dyDescent="0.2">
      <c r="A295" s="14">
        <v>286</v>
      </c>
      <c r="B295" s="4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4"/>
      <c r="Y295" s="23"/>
      <c r="Z295" s="4" t="str">
        <f t="shared" si="6"/>
        <v/>
      </c>
      <c r="AA295" s="4" t="str">
        <f t="shared" si="7"/>
        <v/>
      </c>
      <c r="AB295" s="4" t="str">
        <f t="shared" si="8"/>
        <v/>
      </c>
      <c r="AC295" s="4">
        <v>0.57869059655494004</v>
      </c>
      <c r="AD295" s="4">
        <f t="shared" si="9"/>
        <v>-0.8643877901772784</v>
      </c>
      <c r="AE295" s="4" t="e">
        <f t="shared" si="10"/>
        <v>#VALUE!</v>
      </c>
      <c r="AF295" s="3" t="e">
        <f t="shared" si="11"/>
        <v>#VALUE!</v>
      </c>
      <c r="AG295" s="3"/>
      <c r="AH295" s="4"/>
      <c r="AI295" s="3"/>
      <c r="AJ295" s="3"/>
      <c r="AK295" s="3"/>
    </row>
    <row r="296" spans="1:37" ht="12.75" customHeight="1" x14ac:dyDescent="0.2">
      <c r="A296" s="14">
        <v>287</v>
      </c>
      <c r="B296" s="4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4"/>
      <c r="Y296" s="23"/>
      <c r="Z296" s="4" t="str">
        <f t="shared" si="6"/>
        <v/>
      </c>
      <c r="AA296" s="4" t="str">
        <f t="shared" si="7"/>
        <v/>
      </c>
      <c r="AB296" s="4" t="str">
        <f t="shared" si="8"/>
        <v/>
      </c>
      <c r="AC296" s="4">
        <v>0.57869059655494004</v>
      </c>
      <c r="AD296" s="4">
        <f t="shared" si="9"/>
        <v>-0.8643877901772784</v>
      </c>
      <c r="AE296" s="4" t="e">
        <f t="shared" si="10"/>
        <v>#VALUE!</v>
      </c>
      <c r="AF296" s="3" t="e">
        <f t="shared" si="11"/>
        <v>#VALUE!</v>
      </c>
      <c r="AG296" s="3"/>
      <c r="AH296" s="4"/>
      <c r="AI296" s="3"/>
      <c r="AJ296" s="3"/>
      <c r="AK296" s="3"/>
    </row>
    <row r="297" spans="1:37" ht="12.75" customHeight="1" x14ac:dyDescent="0.2">
      <c r="A297" s="14">
        <v>288</v>
      </c>
      <c r="B297" s="4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4"/>
      <c r="Y297" s="23"/>
      <c r="Z297" s="4" t="str">
        <f t="shared" si="6"/>
        <v/>
      </c>
      <c r="AA297" s="4" t="str">
        <f t="shared" si="7"/>
        <v/>
      </c>
      <c r="AB297" s="4" t="str">
        <f t="shared" si="8"/>
        <v/>
      </c>
      <c r="AC297" s="4">
        <v>0.57869059655494004</v>
      </c>
      <c r="AD297" s="4">
        <f t="shared" si="9"/>
        <v>-0.8643877901772784</v>
      </c>
      <c r="AE297" s="4" t="e">
        <f t="shared" si="10"/>
        <v>#VALUE!</v>
      </c>
      <c r="AF297" s="3" t="e">
        <f t="shared" si="11"/>
        <v>#VALUE!</v>
      </c>
      <c r="AG297" s="3"/>
      <c r="AH297" s="4"/>
      <c r="AI297" s="3"/>
      <c r="AJ297" s="3"/>
      <c r="AK297" s="3"/>
    </row>
    <row r="298" spans="1:37" ht="12.75" customHeight="1" x14ac:dyDescent="0.2">
      <c r="A298" s="14">
        <v>289</v>
      </c>
      <c r="B298" s="4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4"/>
      <c r="Y298" s="23"/>
      <c r="Z298" s="4" t="str">
        <f t="shared" si="6"/>
        <v/>
      </c>
      <c r="AA298" s="4" t="str">
        <f t="shared" si="7"/>
        <v/>
      </c>
      <c r="AB298" s="4" t="str">
        <f t="shared" si="8"/>
        <v/>
      </c>
      <c r="AC298" s="4">
        <v>0.56932736653460503</v>
      </c>
      <c r="AD298" s="4">
        <f t="shared" si="9"/>
        <v>-0.84240702860786765</v>
      </c>
      <c r="AE298" s="4" t="e">
        <f t="shared" si="10"/>
        <v>#VALUE!</v>
      </c>
      <c r="AF298" s="3" t="e">
        <f t="shared" si="11"/>
        <v>#VALUE!</v>
      </c>
      <c r="AG298" s="3"/>
      <c r="AH298" s="4"/>
      <c r="AI298" s="3"/>
      <c r="AJ298" s="3"/>
      <c r="AK298" s="3"/>
    </row>
    <row r="299" spans="1:37" ht="12.75" customHeight="1" x14ac:dyDescent="0.2">
      <c r="A299" s="14">
        <v>290</v>
      </c>
      <c r="B299" s="4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4"/>
      <c r="Y299" s="23"/>
      <c r="Z299" s="4" t="str">
        <f t="shared" si="6"/>
        <v/>
      </c>
      <c r="AA299" s="4" t="str">
        <f t="shared" si="7"/>
        <v/>
      </c>
      <c r="AB299" s="4" t="str">
        <f t="shared" si="8"/>
        <v/>
      </c>
      <c r="AC299" s="4">
        <v>0.56932736653460503</v>
      </c>
      <c r="AD299" s="4">
        <f t="shared" si="9"/>
        <v>-0.84240702860786765</v>
      </c>
      <c r="AE299" s="4" t="e">
        <f t="shared" si="10"/>
        <v>#VALUE!</v>
      </c>
      <c r="AF299" s="3" t="e">
        <f t="shared" si="11"/>
        <v>#VALUE!</v>
      </c>
      <c r="AG299" s="3"/>
      <c r="AH299" s="4"/>
      <c r="AI299" s="3"/>
      <c r="AJ299" s="3"/>
      <c r="AK299" s="3"/>
    </row>
    <row r="300" spans="1:37" ht="12.75" customHeight="1" x14ac:dyDescent="0.2">
      <c r="A300" s="14">
        <v>291</v>
      </c>
      <c r="B300" s="4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4"/>
      <c r="Y300" s="23"/>
      <c r="Z300" s="4" t="str">
        <f t="shared" si="6"/>
        <v/>
      </c>
      <c r="AA300" s="4" t="str">
        <f t="shared" si="7"/>
        <v/>
      </c>
      <c r="AB300" s="4" t="str">
        <f t="shared" si="8"/>
        <v/>
      </c>
      <c r="AC300" s="4">
        <v>0.56932736653460503</v>
      </c>
      <c r="AD300" s="4">
        <f t="shared" si="9"/>
        <v>-0.84240702860786765</v>
      </c>
      <c r="AE300" s="4" t="e">
        <f t="shared" si="10"/>
        <v>#VALUE!</v>
      </c>
      <c r="AF300" s="3" t="e">
        <f t="shared" si="11"/>
        <v>#VALUE!</v>
      </c>
      <c r="AG300" s="3"/>
      <c r="AH300" s="4"/>
      <c r="AI300" s="3"/>
      <c r="AJ300" s="3"/>
      <c r="AK300" s="3"/>
    </row>
    <row r="301" spans="1:37" ht="12.75" customHeight="1" x14ac:dyDescent="0.2">
      <c r="A301" s="14">
        <v>292</v>
      </c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4"/>
      <c r="Y301" s="23"/>
      <c r="Z301" s="4" t="str">
        <f t="shared" si="6"/>
        <v/>
      </c>
      <c r="AA301" s="4" t="str">
        <f t="shared" si="7"/>
        <v/>
      </c>
      <c r="AB301" s="4" t="str">
        <f t="shared" si="8"/>
        <v/>
      </c>
      <c r="AC301" s="4">
        <v>0.56932736653460503</v>
      </c>
      <c r="AD301" s="4">
        <f t="shared" si="9"/>
        <v>-0.84240702860786765</v>
      </c>
      <c r="AE301" s="4" t="e">
        <f t="shared" si="10"/>
        <v>#VALUE!</v>
      </c>
      <c r="AF301" s="3" t="e">
        <f t="shared" si="11"/>
        <v>#VALUE!</v>
      </c>
      <c r="AG301" s="3"/>
      <c r="AH301" s="4"/>
      <c r="AI301" s="3"/>
      <c r="AJ301" s="3"/>
      <c r="AK301" s="3"/>
    </row>
    <row r="302" spans="1:37" ht="12.75" customHeight="1" x14ac:dyDescent="0.2">
      <c r="A302" s="14">
        <v>293</v>
      </c>
      <c r="B302" s="4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4"/>
      <c r="Y302" s="23"/>
      <c r="Z302" s="4" t="str">
        <f t="shared" si="6"/>
        <v/>
      </c>
      <c r="AA302" s="4" t="str">
        <f t="shared" si="7"/>
        <v/>
      </c>
      <c r="AB302" s="4" t="str">
        <f t="shared" si="8"/>
        <v/>
      </c>
      <c r="AC302" s="4">
        <v>0.56932736653460503</v>
      </c>
      <c r="AD302" s="4">
        <f t="shared" si="9"/>
        <v>-0.84240702860786765</v>
      </c>
      <c r="AE302" s="4" t="e">
        <f t="shared" si="10"/>
        <v>#VALUE!</v>
      </c>
      <c r="AF302" s="3" t="e">
        <f t="shared" si="11"/>
        <v>#VALUE!</v>
      </c>
      <c r="AG302" s="3"/>
      <c r="AH302" s="4"/>
      <c r="AI302" s="3"/>
      <c r="AJ302" s="3"/>
      <c r="AK302" s="3"/>
    </row>
    <row r="303" spans="1:37" ht="12.75" customHeight="1" x14ac:dyDescent="0.2">
      <c r="A303" s="14">
        <v>294</v>
      </c>
      <c r="B303" s="4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4"/>
      <c r="Y303" s="23"/>
      <c r="Z303" s="4" t="str">
        <f t="shared" si="6"/>
        <v/>
      </c>
      <c r="AA303" s="4" t="str">
        <f t="shared" si="7"/>
        <v/>
      </c>
      <c r="AB303" s="4" t="str">
        <f t="shared" si="8"/>
        <v/>
      </c>
      <c r="AC303" s="4">
        <v>0.56932736653460503</v>
      </c>
      <c r="AD303" s="4">
        <f t="shared" si="9"/>
        <v>-0.84240702860786765</v>
      </c>
      <c r="AE303" s="4" t="e">
        <f t="shared" si="10"/>
        <v>#VALUE!</v>
      </c>
      <c r="AF303" s="3" t="e">
        <f t="shared" si="11"/>
        <v>#VALUE!</v>
      </c>
      <c r="AG303" s="3"/>
      <c r="AH303" s="4"/>
      <c r="AI303" s="3"/>
      <c r="AJ303" s="3"/>
      <c r="AK303" s="3"/>
    </row>
    <row r="304" spans="1:37" ht="12.75" customHeight="1" x14ac:dyDescent="0.2">
      <c r="A304" s="14">
        <v>295</v>
      </c>
      <c r="B304" s="4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4"/>
      <c r="Y304" s="23"/>
      <c r="Z304" s="4" t="str">
        <f t="shared" si="6"/>
        <v/>
      </c>
      <c r="AA304" s="4" t="str">
        <f t="shared" si="7"/>
        <v/>
      </c>
      <c r="AB304" s="4" t="str">
        <f t="shared" si="8"/>
        <v/>
      </c>
      <c r="AC304" s="4">
        <v>0.55992500010358892</v>
      </c>
      <c r="AD304" s="4">
        <f t="shared" si="9"/>
        <v>-0.82081011228549028</v>
      </c>
      <c r="AE304" s="4" t="e">
        <f t="shared" si="10"/>
        <v>#VALUE!</v>
      </c>
      <c r="AF304" s="3" t="e">
        <f t="shared" si="11"/>
        <v>#VALUE!</v>
      </c>
      <c r="AG304" s="3"/>
      <c r="AH304" s="4"/>
      <c r="AI304" s="3"/>
      <c r="AJ304" s="3"/>
      <c r="AK304" s="3"/>
    </row>
    <row r="305" spans="1:37" ht="12.75" customHeight="1" x14ac:dyDescent="0.2">
      <c r="A305" s="14">
        <v>296</v>
      </c>
      <c r="B305" s="4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4"/>
      <c r="Y305" s="23"/>
      <c r="Z305" s="4" t="str">
        <f t="shared" si="6"/>
        <v/>
      </c>
      <c r="AA305" s="4" t="str">
        <f t="shared" si="7"/>
        <v/>
      </c>
      <c r="AB305" s="4" t="str">
        <f t="shared" si="8"/>
        <v/>
      </c>
      <c r="AC305" s="4">
        <v>0.55992500010358892</v>
      </c>
      <c r="AD305" s="4">
        <f t="shared" si="9"/>
        <v>-0.82081011228549028</v>
      </c>
      <c r="AE305" s="4" t="e">
        <f t="shared" si="10"/>
        <v>#VALUE!</v>
      </c>
      <c r="AF305" s="3" t="e">
        <f t="shared" si="11"/>
        <v>#VALUE!</v>
      </c>
      <c r="AG305" s="3"/>
      <c r="AH305" s="4"/>
      <c r="AI305" s="3"/>
      <c r="AJ305" s="3"/>
      <c r="AK305" s="3"/>
    </row>
    <row r="306" spans="1:37" ht="12.75" customHeight="1" x14ac:dyDescent="0.2">
      <c r="A306" s="14">
        <v>297</v>
      </c>
      <c r="B306" s="4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4"/>
      <c r="Y306" s="23"/>
      <c r="Z306" s="4" t="str">
        <f t="shared" si="6"/>
        <v/>
      </c>
      <c r="AA306" s="4" t="str">
        <f t="shared" si="7"/>
        <v/>
      </c>
      <c r="AB306" s="4" t="str">
        <f t="shared" si="8"/>
        <v/>
      </c>
      <c r="AC306" s="4">
        <v>0.55992500010358892</v>
      </c>
      <c r="AD306" s="4">
        <f t="shared" si="9"/>
        <v>-0.82081011228549028</v>
      </c>
      <c r="AE306" s="4" t="e">
        <f t="shared" si="10"/>
        <v>#VALUE!</v>
      </c>
      <c r="AF306" s="3" t="e">
        <f t="shared" si="11"/>
        <v>#VALUE!</v>
      </c>
      <c r="AG306" s="3"/>
      <c r="AH306" s="4"/>
      <c r="AI306" s="3"/>
      <c r="AJ306" s="3"/>
      <c r="AK306" s="3"/>
    </row>
    <row r="307" spans="1:37" ht="12.75" customHeight="1" x14ac:dyDescent="0.2">
      <c r="A307" s="14">
        <v>298</v>
      </c>
      <c r="B307" s="4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4"/>
      <c r="Y307" s="23"/>
      <c r="Z307" s="4" t="str">
        <f t="shared" si="6"/>
        <v/>
      </c>
      <c r="AA307" s="4" t="str">
        <f t="shared" si="7"/>
        <v/>
      </c>
      <c r="AB307" s="4" t="str">
        <f t="shared" si="8"/>
        <v/>
      </c>
      <c r="AC307" s="4">
        <v>0.55992500010358892</v>
      </c>
      <c r="AD307" s="4">
        <f t="shared" si="9"/>
        <v>-0.82081011228549028</v>
      </c>
      <c r="AE307" s="4" t="e">
        <f t="shared" si="10"/>
        <v>#VALUE!</v>
      </c>
      <c r="AF307" s="3" t="e">
        <f t="shared" si="11"/>
        <v>#VALUE!</v>
      </c>
      <c r="AG307" s="3"/>
      <c r="AH307" s="4"/>
      <c r="AI307" s="3"/>
      <c r="AJ307" s="3"/>
      <c r="AK307" s="3"/>
    </row>
    <row r="308" spans="1:37" ht="12.75" customHeight="1" x14ac:dyDescent="0.2">
      <c r="A308" s="14">
        <v>299</v>
      </c>
      <c r="B308" s="4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4"/>
      <c r="Y308" s="23"/>
      <c r="Z308" s="4" t="str">
        <f t="shared" si="6"/>
        <v/>
      </c>
      <c r="AA308" s="4" t="str">
        <f t="shared" si="7"/>
        <v/>
      </c>
      <c r="AB308" s="4" t="str">
        <f t="shared" si="8"/>
        <v/>
      </c>
      <c r="AC308" s="4">
        <v>0.55992500010358892</v>
      </c>
      <c r="AD308" s="4">
        <f t="shared" si="9"/>
        <v>-0.82081011228549028</v>
      </c>
      <c r="AE308" s="4" t="e">
        <f t="shared" si="10"/>
        <v>#VALUE!</v>
      </c>
      <c r="AF308" s="3" t="e">
        <f t="shared" si="11"/>
        <v>#VALUE!</v>
      </c>
      <c r="AG308" s="3"/>
      <c r="AH308" s="4"/>
      <c r="AI308" s="3"/>
      <c r="AJ308" s="3"/>
      <c r="AK308" s="3"/>
    </row>
    <row r="309" spans="1:37" ht="12.75" customHeight="1" x14ac:dyDescent="0.2">
      <c r="A309" s="14">
        <v>300</v>
      </c>
      <c r="B309" s="4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4"/>
      <c r="Y309" s="23"/>
      <c r="Z309" s="4" t="str">
        <f t="shared" si="6"/>
        <v/>
      </c>
      <c r="AA309" s="4" t="str">
        <f t="shared" si="7"/>
        <v/>
      </c>
      <c r="AB309" s="4" t="str">
        <f t="shared" si="8"/>
        <v/>
      </c>
      <c r="AC309" s="4">
        <v>0.55992500010358892</v>
      </c>
      <c r="AD309" s="4">
        <f t="shared" si="9"/>
        <v>-0.82081011228549028</v>
      </c>
      <c r="AE309" s="4" t="e">
        <f t="shared" si="10"/>
        <v>#VALUE!</v>
      </c>
      <c r="AF309" s="3" t="e">
        <f t="shared" si="11"/>
        <v>#VALUE!</v>
      </c>
      <c r="AG309" s="3"/>
      <c r="AH309" s="4"/>
      <c r="AI309" s="3"/>
      <c r="AJ309" s="3"/>
      <c r="AK309" s="3"/>
    </row>
    <row r="310" spans="1:37" ht="12.75" customHeight="1" x14ac:dyDescent="0.2">
      <c r="A310" s="14">
        <v>301</v>
      </c>
      <c r="B310" s="4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4"/>
      <c r="Y310" s="23"/>
      <c r="Z310" s="4" t="str">
        <f t="shared" si="6"/>
        <v/>
      </c>
      <c r="AA310" s="4" t="str">
        <f t="shared" si="7"/>
        <v/>
      </c>
      <c r="AB310" s="4" t="str">
        <f t="shared" si="8"/>
        <v/>
      </c>
      <c r="AC310" s="4">
        <v>0.55992500010358892</v>
      </c>
      <c r="AD310" s="4">
        <f t="shared" si="9"/>
        <v>-0.82081011228549028</v>
      </c>
      <c r="AE310" s="4" t="e">
        <f t="shared" si="10"/>
        <v>#VALUE!</v>
      </c>
      <c r="AF310" s="3" t="e">
        <f t="shared" si="11"/>
        <v>#VALUE!</v>
      </c>
      <c r="AG310" s="3"/>
      <c r="AH310" s="4"/>
      <c r="AI310" s="3"/>
      <c r="AJ310" s="3"/>
      <c r="AK310" s="3"/>
    </row>
    <row r="311" spans="1:37" ht="12.75" customHeight="1" x14ac:dyDescent="0.2">
      <c r="A311" s="14">
        <v>302</v>
      </c>
      <c r="B311" s="4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4"/>
      <c r="Y311" s="23"/>
      <c r="Z311" s="4" t="str">
        <f t="shared" si="6"/>
        <v/>
      </c>
      <c r="AA311" s="4" t="str">
        <f t="shared" si="7"/>
        <v/>
      </c>
      <c r="AB311" s="4" t="str">
        <f t="shared" si="8"/>
        <v/>
      </c>
      <c r="AC311" s="4">
        <v>0.55992500010358892</v>
      </c>
      <c r="AD311" s="4">
        <f t="shared" si="9"/>
        <v>-0.82081011228549028</v>
      </c>
      <c r="AE311" s="4" t="e">
        <f t="shared" si="10"/>
        <v>#VALUE!</v>
      </c>
      <c r="AF311" s="3" t="e">
        <f t="shared" si="11"/>
        <v>#VALUE!</v>
      </c>
      <c r="AG311" s="3"/>
      <c r="AH311" s="4"/>
      <c r="AI311" s="3"/>
      <c r="AJ311" s="3"/>
      <c r="AK311" s="3"/>
    </row>
    <row r="312" spans="1:37" ht="12.75" customHeight="1" x14ac:dyDescent="0.2">
      <c r="A312" s="14">
        <v>303</v>
      </c>
      <c r="B312" s="4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4"/>
      <c r="Y312" s="23"/>
      <c r="Z312" s="4" t="str">
        <f t="shared" si="6"/>
        <v/>
      </c>
      <c r="AA312" s="4" t="str">
        <f t="shared" si="7"/>
        <v/>
      </c>
      <c r="AB312" s="4" t="str">
        <f t="shared" si="8"/>
        <v/>
      </c>
      <c r="AC312" s="4">
        <v>0.55992500010358892</v>
      </c>
      <c r="AD312" s="4">
        <f t="shared" si="9"/>
        <v>-0.82081011228549028</v>
      </c>
      <c r="AE312" s="4" t="e">
        <f t="shared" si="10"/>
        <v>#VALUE!</v>
      </c>
      <c r="AF312" s="3" t="e">
        <f t="shared" si="11"/>
        <v>#VALUE!</v>
      </c>
      <c r="AG312" s="3"/>
      <c r="AH312" s="4"/>
      <c r="AI312" s="3"/>
      <c r="AJ312" s="3"/>
      <c r="AK312" s="3"/>
    </row>
    <row r="313" spans="1:37" ht="12.75" customHeight="1" x14ac:dyDescent="0.2">
      <c r="A313" s="14">
        <v>304</v>
      </c>
      <c r="B313" s="4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4"/>
      <c r="Y313" s="23"/>
      <c r="Z313" s="4" t="str">
        <f t="shared" si="6"/>
        <v/>
      </c>
      <c r="AA313" s="4" t="str">
        <f t="shared" si="7"/>
        <v/>
      </c>
      <c r="AB313" s="4" t="str">
        <f t="shared" si="8"/>
        <v/>
      </c>
      <c r="AC313" s="4">
        <v>0.55992500010358892</v>
      </c>
      <c r="AD313" s="4">
        <f t="shared" si="9"/>
        <v>-0.82081011228549028</v>
      </c>
      <c r="AE313" s="4" t="e">
        <f t="shared" si="10"/>
        <v>#VALUE!</v>
      </c>
      <c r="AF313" s="3" t="e">
        <f t="shared" si="11"/>
        <v>#VALUE!</v>
      </c>
      <c r="AG313" s="3"/>
      <c r="AH313" s="4"/>
      <c r="AI313" s="3"/>
      <c r="AJ313" s="3"/>
      <c r="AK313" s="3"/>
    </row>
    <row r="314" spans="1:37" ht="12.75" customHeight="1" x14ac:dyDescent="0.2">
      <c r="A314" s="14">
        <v>305</v>
      </c>
      <c r="B314" s="4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4"/>
      <c r="Y314" s="23"/>
      <c r="Z314" s="4" t="str">
        <f t="shared" si="6"/>
        <v/>
      </c>
      <c r="AA314" s="4" t="str">
        <f t="shared" si="7"/>
        <v/>
      </c>
      <c r="AB314" s="4" t="str">
        <f t="shared" si="8"/>
        <v/>
      </c>
      <c r="AC314" s="4">
        <v>0.55048871557193202</v>
      </c>
      <c r="AD314" s="4">
        <f t="shared" si="9"/>
        <v>-0.79959432098497607</v>
      </c>
      <c r="AE314" s="4" t="e">
        <f t="shared" si="10"/>
        <v>#VALUE!</v>
      </c>
      <c r="AF314" s="3" t="e">
        <f t="shared" si="11"/>
        <v>#VALUE!</v>
      </c>
      <c r="AG314" s="3"/>
      <c r="AH314" s="4"/>
      <c r="AI314" s="3"/>
      <c r="AJ314" s="3"/>
      <c r="AK314" s="3"/>
    </row>
    <row r="315" spans="1:37" ht="12.75" customHeight="1" x14ac:dyDescent="0.2">
      <c r="A315" s="14">
        <v>306</v>
      </c>
      <c r="B315" s="4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4"/>
      <c r="Y315" s="23"/>
      <c r="Z315" s="4" t="str">
        <f t="shared" si="6"/>
        <v/>
      </c>
      <c r="AA315" s="4" t="str">
        <f t="shared" si="7"/>
        <v/>
      </c>
      <c r="AB315" s="4" t="str">
        <f t="shared" si="8"/>
        <v/>
      </c>
      <c r="AC315" s="4">
        <v>0.55048871557193202</v>
      </c>
      <c r="AD315" s="4">
        <f t="shared" si="9"/>
        <v>-0.79959432098497607</v>
      </c>
      <c r="AE315" s="4" t="e">
        <f t="shared" si="10"/>
        <v>#VALUE!</v>
      </c>
      <c r="AF315" s="3" t="e">
        <f t="shared" si="11"/>
        <v>#VALUE!</v>
      </c>
      <c r="AG315" s="3"/>
      <c r="AH315" s="4"/>
      <c r="AI315" s="3"/>
      <c r="AJ315" s="3"/>
      <c r="AK315" s="3"/>
    </row>
    <row r="316" spans="1:37" ht="12.75" customHeight="1" x14ac:dyDescent="0.2">
      <c r="A316" s="14">
        <v>307</v>
      </c>
      <c r="B316" s="4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4"/>
      <c r="Y316" s="23"/>
      <c r="Z316" s="4" t="str">
        <f t="shared" si="6"/>
        <v/>
      </c>
      <c r="AA316" s="4" t="str">
        <f t="shared" si="7"/>
        <v/>
      </c>
      <c r="AB316" s="4" t="str">
        <f t="shared" si="8"/>
        <v/>
      </c>
      <c r="AC316" s="4">
        <v>0.55048871557193202</v>
      </c>
      <c r="AD316" s="4">
        <f t="shared" si="9"/>
        <v>-0.79959432098497607</v>
      </c>
      <c r="AE316" s="4" t="e">
        <f t="shared" si="10"/>
        <v>#VALUE!</v>
      </c>
      <c r="AF316" s="3" t="e">
        <f t="shared" si="11"/>
        <v>#VALUE!</v>
      </c>
      <c r="AG316" s="3"/>
      <c r="AH316" s="4"/>
      <c r="AI316" s="3"/>
      <c r="AJ316" s="3"/>
      <c r="AK316" s="3"/>
    </row>
    <row r="317" spans="1:37" ht="12.75" customHeight="1" x14ac:dyDescent="0.2">
      <c r="A317" s="14">
        <v>308</v>
      </c>
      <c r="B317" s="4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4"/>
      <c r="Y317" s="23"/>
      <c r="Z317" s="4" t="str">
        <f t="shared" si="6"/>
        <v/>
      </c>
      <c r="AA317" s="4" t="str">
        <f t="shared" si="7"/>
        <v/>
      </c>
      <c r="AB317" s="4" t="str">
        <f t="shared" si="8"/>
        <v/>
      </c>
      <c r="AC317" s="4">
        <v>0.55048871557193202</v>
      </c>
      <c r="AD317" s="4">
        <f t="shared" si="9"/>
        <v>-0.79959432098497607</v>
      </c>
      <c r="AE317" s="4" t="e">
        <f t="shared" si="10"/>
        <v>#VALUE!</v>
      </c>
      <c r="AF317" s="3" t="e">
        <f t="shared" si="11"/>
        <v>#VALUE!</v>
      </c>
      <c r="AG317" s="3"/>
      <c r="AH317" s="4"/>
      <c r="AI317" s="3"/>
      <c r="AJ317" s="3"/>
      <c r="AK317" s="3"/>
    </row>
    <row r="318" spans="1:37" ht="12.75" customHeight="1" x14ac:dyDescent="0.2">
      <c r="A318" s="14">
        <v>309</v>
      </c>
      <c r="B318" s="4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4"/>
      <c r="Y318" s="23"/>
      <c r="Z318" s="4" t="str">
        <f t="shared" si="6"/>
        <v/>
      </c>
      <c r="AA318" s="4" t="str">
        <f t="shared" si="7"/>
        <v/>
      </c>
      <c r="AB318" s="4" t="str">
        <f t="shared" si="8"/>
        <v/>
      </c>
      <c r="AC318" s="4">
        <v>0.55048871557193202</v>
      </c>
      <c r="AD318" s="4">
        <f t="shared" si="9"/>
        <v>-0.79959432098497607</v>
      </c>
      <c r="AE318" s="4" t="e">
        <f t="shared" si="10"/>
        <v>#VALUE!</v>
      </c>
      <c r="AF318" s="3" t="e">
        <f t="shared" si="11"/>
        <v>#VALUE!</v>
      </c>
      <c r="AG318" s="3"/>
      <c r="AH318" s="4"/>
      <c r="AI318" s="3"/>
      <c r="AJ318" s="3"/>
      <c r="AK318" s="3"/>
    </row>
    <row r="319" spans="1:37" ht="12.75" customHeight="1" x14ac:dyDescent="0.2">
      <c r="A319" s="14">
        <v>310</v>
      </c>
      <c r="B319" s="4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4"/>
      <c r="Y319" s="23"/>
      <c r="Z319" s="4" t="str">
        <f t="shared" si="6"/>
        <v/>
      </c>
      <c r="AA319" s="4" t="str">
        <f t="shared" si="7"/>
        <v/>
      </c>
      <c r="AB319" s="4" t="str">
        <f t="shared" si="8"/>
        <v/>
      </c>
      <c r="AC319" s="4">
        <v>0.55048871557193202</v>
      </c>
      <c r="AD319" s="4">
        <f t="shared" si="9"/>
        <v>-0.79959432098497607</v>
      </c>
      <c r="AE319" s="4" t="e">
        <f t="shared" si="10"/>
        <v>#VALUE!</v>
      </c>
      <c r="AF319" s="3" t="e">
        <f t="shared" si="11"/>
        <v>#VALUE!</v>
      </c>
      <c r="AG319" s="3"/>
      <c r="AH319" s="4"/>
      <c r="AI319" s="3"/>
      <c r="AJ319" s="3"/>
      <c r="AK319" s="3"/>
    </row>
    <row r="320" spans="1:37" ht="12.75" customHeight="1" x14ac:dyDescent="0.2">
      <c r="A320" s="14">
        <v>311</v>
      </c>
      <c r="B320" s="4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4"/>
      <c r="Y320" s="23"/>
      <c r="Z320" s="4" t="str">
        <f t="shared" si="6"/>
        <v/>
      </c>
      <c r="AA320" s="4" t="str">
        <f t="shared" si="7"/>
        <v/>
      </c>
      <c r="AB320" s="4" t="str">
        <f t="shared" si="8"/>
        <v/>
      </c>
      <c r="AC320" s="4">
        <v>0.55048871557193202</v>
      </c>
      <c r="AD320" s="4">
        <f t="shared" si="9"/>
        <v>-0.79959432098497607</v>
      </c>
      <c r="AE320" s="4" t="e">
        <f t="shared" si="10"/>
        <v>#VALUE!</v>
      </c>
      <c r="AF320" s="3" t="e">
        <f t="shared" si="11"/>
        <v>#VALUE!</v>
      </c>
      <c r="AG320" s="3"/>
      <c r="AH320" s="4"/>
      <c r="AI320" s="3"/>
      <c r="AJ320" s="3"/>
      <c r="AK320" s="3"/>
    </row>
    <row r="321" spans="1:37" ht="12.75" customHeight="1" x14ac:dyDescent="0.2">
      <c r="A321" s="14">
        <v>312</v>
      </c>
      <c r="B321" s="4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4"/>
      <c r="Y321" s="23"/>
      <c r="Z321" s="4" t="str">
        <f t="shared" si="6"/>
        <v/>
      </c>
      <c r="AA321" s="4" t="str">
        <f t="shared" si="7"/>
        <v/>
      </c>
      <c r="AB321" s="4" t="str">
        <f t="shared" si="8"/>
        <v/>
      </c>
      <c r="AC321" s="4">
        <v>0.5410237881378005</v>
      </c>
      <c r="AD321" s="4">
        <f t="shared" si="9"/>
        <v>-0.7787568962728858</v>
      </c>
      <c r="AE321" s="4" t="e">
        <f t="shared" si="10"/>
        <v>#VALUE!</v>
      </c>
      <c r="AF321" s="3" t="e">
        <f t="shared" si="11"/>
        <v>#VALUE!</v>
      </c>
      <c r="AG321" s="3"/>
      <c r="AH321" s="4"/>
      <c r="AI321" s="3"/>
      <c r="AJ321" s="3"/>
      <c r="AK321" s="3"/>
    </row>
    <row r="322" spans="1:37" ht="12.75" customHeight="1" x14ac:dyDescent="0.2">
      <c r="A322" s="14">
        <v>313</v>
      </c>
      <c r="B322" s="4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4"/>
      <c r="Y322" s="23"/>
      <c r="Z322" s="4" t="str">
        <f t="shared" si="6"/>
        <v/>
      </c>
      <c r="AA322" s="4" t="str">
        <f t="shared" si="7"/>
        <v/>
      </c>
      <c r="AB322" s="4" t="str">
        <f t="shared" si="8"/>
        <v/>
      </c>
      <c r="AC322" s="4">
        <v>0.5410237881378005</v>
      </c>
      <c r="AD322" s="4">
        <f t="shared" si="9"/>
        <v>-0.7787568962728858</v>
      </c>
      <c r="AE322" s="4" t="e">
        <f t="shared" si="10"/>
        <v>#VALUE!</v>
      </c>
      <c r="AF322" s="3" t="e">
        <f t="shared" si="11"/>
        <v>#VALUE!</v>
      </c>
      <c r="AG322" s="3"/>
      <c r="AH322" s="4"/>
      <c r="AI322" s="3"/>
      <c r="AJ322" s="3"/>
      <c r="AK322" s="3"/>
    </row>
    <row r="323" spans="1:37" ht="12.75" customHeight="1" x14ac:dyDescent="0.2">
      <c r="A323" s="14">
        <v>314</v>
      </c>
      <c r="B323" s="4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4"/>
      <c r="Y323" s="23"/>
      <c r="Z323" s="4" t="str">
        <f t="shared" si="6"/>
        <v/>
      </c>
      <c r="AA323" s="4" t="str">
        <f t="shared" si="7"/>
        <v/>
      </c>
      <c r="AB323" s="4" t="str">
        <f t="shared" si="8"/>
        <v/>
      </c>
      <c r="AC323" s="4">
        <v>0.5410237881378005</v>
      </c>
      <c r="AD323" s="4">
        <f t="shared" si="9"/>
        <v>-0.7787568962728858</v>
      </c>
      <c r="AE323" s="4" t="e">
        <f t="shared" si="10"/>
        <v>#VALUE!</v>
      </c>
      <c r="AF323" s="3" t="e">
        <f t="shared" si="11"/>
        <v>#VALUE!</v>
      </c>
      <c r="AG323" s="3"/>
      <c r="AH323" s="4"/>
      <c r="AI323" s="3"/>
      <c r="AJ323" s="3"/>
      <c r="AK323" s="3"/>
    </row>
    <row r="324" spans="1:37" ht="12.75" customHeight="1" x14ac:dyDescent="0.2">
      <c r="A324" s="14">
        <v>315</v>
      </c>
      <c r="B324" s="4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4"/>
      <c r="Y324" s="23"/>
      <c r="Z324" s="4" t="str">
        <f t="shared" si="6"/>
        <v/>
      </c>
      <c r="AA324" s="4" t="str">
        <f t="shared" si="7"/>
        <v/>
      </c>
      <c r="AB324" s="4" t="str">
        <f t="shared" si="8"/>
        <v/>
      </c>
      <c r="AC324" s="4">
        <v>0.5410237881378005</v>
      </c>
      <c r="AD324" s="4">
        <f t="shared" si="9"/>
        <v>-0.7787568962728858</v>
      </c>
      <c r="AE324" s="4" t="e">
        <f t="shared" si="10"/>
        <v>#VALUE!</v>
      </c>
      <c r="AF324" s="3" t="e">
        <f t="shared" si="11"/>
        <v>#VALUE!</v>
      </c>
      <c r="AG324" s="3"/>
      <c r="AH324" s="4"/>
      <c r="AI324" s="3"/>
      <c r="AJ324" s="3"/>
      <c r="AK324" s="3"/>
    </row>
    <row r="325" spans="1:37" ht="12.75" customHeight="1" x14ac:dyDescent="0.2">
      <c r="A325" s="14">
        <v>316</v>
      </c>
      <c r="B325" s="4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4"/>
      <c r="Y325" s="23"/>
      <c r="Z325" s="4" t="str">
        <f t="shared" si="6"/>
        <v/>
      </c>
      <c r="AA325" s="4" t="str">
        <f t="shared" si="7"/>
        <v/>
      </c>
      <c r="AB325" s="4" t="str">
        <f t="shared" si="8"/>
        <v/>
      </c>
      <c r="AC325" s="4">
        <v>0.5410237881378005</v>
      </c>
      <c r="AD325" s="4">
        <f t="shared" si="9"/>
        <v>-0.7787568962728858</v>
      </c>
      <c r="AE325" s="4" t="e">
        <f t="shared" si="10"/>
        <v>#VALUE!</v>
      </c>
      <c r="AF325" s="3" t="e">
        <f t="shared" si="11"/>
        <v>#VALUE!</v>
      </c>
      <c r="AG325" s="3"/>
      <c r="AH325" s="4"/>
      <c r="AI325" s="3"/>
      <c r="AJ325" s="3"/>
      <c r="AK325" s="3"/>
    </row>
    <row r="326" spans="1:37" ht="12.75" customHeight="1" x14ac:dyDescent="0.2">
      <c r="A326" s="14">
        <v>317</v>
      </c>
      <c r="B326" s="4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4"/>
      <c r="Y326" s="23"/>
      <c r="Z326" s="4" t="str">
        <f t="shared" si="6"/>
        <v/>
      </c>
      <c r="AA326" s="4" t="str">
        <f t="shared" si="7"/>
        <v/>
      </c>
      <c r="AB326" s="4" t="str">
        <f t="shared" si="8"/>
        <v/>
      </c>
      <c r="AC326" s="4">
        <v>0.5410237881378005</v>
      </c>
      <c r="AD326" s="4">
        <f t="shared" si="9"/>
        <v>-0.7787568962728858</v>
      </c>
      <c r="AE326" s="4" t="e">
        <f t="shared" si="10"/>
        <v>#VALUE!</v>
      </c>
      <c r="AF326" s="3" t="e">
        <f t="shared" si="11"/>
        <v>#VALUE!</v>
      </c>
      <c r="AG326" s="3"/>
      <c r="AH326" s="4"/>
      <c r="AI326" s="3"/>
      <c r="AJ326" s="3"/>
      <c r="AK326" s="3"/>
    </row>
    <row r="327" spans="1:37" ht="12.75" customHeight="1" x14ac:dyDescent="0.2">
      <c r="A327" s="14">
        <v>318</v>
      </c>
      <c r="B327" s="4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4"/>
      <c r="Y327" s="23"/>
      <c r="Z327" s="4" t="str">
        <f t="shared" si="6"/>
        <v/>
      </c>
      <c r="AA327" s="4" t="str">
        <f t="shared" si="7"/>
        <v/>
      </c>
      <c r="AB327" s="4" t="str">
        <f t="shared" si="8"/>
        <v/>
      </c>
      <c r="AC327" s="4">
        <v>0.5410237881378005</v>
      </c>
      <c r="AD327" s="4">
        <f t="shared" si="9"/>
        <v>-0.7787568962728858</v>
      </c>
      <c r="AE327" s="4" t="e">
        <f t="shared" si="10"/>
        <v>#VALUE!</v>
      </c>
      <c r="AF327" s="3" t="e">
        <f t="shared" si="11"/>
        <v>#VALUE!</v>
      </c>
      <c r="AG327" s="3"/>
      <c r="AH327" s="4"/>
      <c r="AI327" s="3"/>
      <c r="AJ327" s="3"/>
      <c r="AK327" s="3"/>
    </row>
    <row r="328" spans="1:37" ht="12.75" customHeight="1" x14ac:dyDescent="0.2">
      <c r="A328" s="14">
        <v>319</v>
      </c>
      <c r="B328" s="4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4"/>
      <c r="Y328" s="23"/>
      <c r="Z328" s="4" t="str">
        <f t="shared" si="6"/>
        <v/>
      </c>
      <c r="AA328" s="4" t="str">
        <f t="shared" si="7"/>
        <v/>
      </c>
      <c r="AB328" s="4" t="str">
        <f t="shared" si="8"/>
        <v/>
      </c>
      <c r="AC328" s="4">
        <v>0.5410237881378005</v>
      </c>
      <c r="AD328" s="4">
        <f t="shared" si="9"/>
        <v>-0.7787568962728858</v>
      </c>
      <c r="AE328" s="4" t="e">
        <f t="shared" si="10"/>
        <v>#VALUE!</v>
      </c>
      <c r="AF328" s="3" t="e">
        <f t="shared" si="11"/>
        <v>#VALUE!</v>
      </c>
      <c r="AG328" s="3"/>
      <c r="AH328" s="4"/>
      <c r="AI328" s="3"/>
      <c r="AJ328" s="3"/>
      <c r="AK328" s="3"/>
    </row>
    <row r="329" spans="1:37" ht="12.75" customHeight="1" x14ac:dyDescent="0.2">
      <c r="A329" s="14">
        <v>320</v>
      </c>
      <c r="B329" s="4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4"/>
      <c r="Y329" s="23"/>
      <c r="Z329" s="4" t="str">
        <f t="shared" si="6"/>
        <v/>
      </c>
      <c r="AA329" s="4" t="str">
        <f t="shared" si="7"/>
        <v/>
      </c>
      <c r="AB329" s="4" t="str">
        <f t="shared" si="8"/>
        <v/>
      </c>
      <c r="AC329" s="4">
        <v>0.5410237881378005</v>
      </c>
      <c r="AD329" s="4">
        <f t="shared" si="9"/>
        <v>-0.7787568962728858</v>
      </c>
      <c r="AE329" s="4" t="e">
        <f t="shared" si="10"/>
        <v>#VALUE!</v>
      </c>
      <c r="AF329" s="3" t="e">
        <f t="shared" si="11"/>
        <v>#VALUE!</v>
      </c>
      <c r="AG329" s="3"/>
      <c r="AH329" s="4"/>
      <c r="AI329" s="3"/>
      <c r="AJ329" s="3"/>
      <c r="AK329" s="3"/>
    </row>
    <row r="330" spans="1:37" ht="12.75" customHeight="1" x14ac:dyDescent="0.2">
      <c r="A330" s="14">
        <v>321</v>
      </c>
      <c r="B330" s="4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4"/>
      <c r="Y330" s="23"/>
      <c r="Z330" s="4" t="str">
        <f t="shared" si="6"/>
        <v/>
      </c>
      <c r="AA330" s="4" t="str">
        <f t="shared" si="7"/>
        <v/>
      </c>
      <c r="AB330" s="4" t="str">
        <f t="shared" si="8"/>
        <v/>
      </c>
      <c r="AC330" s="4">
        <v>0.5410237881378005</v>
      </c>
      <c r="AD330" s="4">
        <f t="shared" si="9"/>
        <v>-0.7787568962728858</v>
      </c>
      <c r="AE330" s="4" t="e">
        <f t="shared" si="10"/>
        <v>#VALUE!</v>
      </c>
      <c r="AF330" s="3" t="e">
        <f t="shared" si="11"/>
        <v>#VALUE!</v>
      </c>
      <c r="AG330" s="3"/>
      <c r="AH330" s="4"/>
      <c r="AI330" s="3"/>
      <c r="AJ330" s="3"/>
      <c r="AK330" s="3"/>
    </row>
    <row r="331" spans="1:37" ht="12.75" customHeight="1" x14ac:dyDescent="0.2">
      <c r="A331" s="14">
        <v>322</v>
      </c>
      <c r="B331" s="4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4"/>
      <c r="Y331" s="23"/>
      <c r="Z331" s="4" t="str">
        <f t="shared" si="6"/>
        <v/>
      </c>
      <c r="AA331" s="4" t="str">
        <f t="shared" si="7"/>
        <v/>
      </c>
      <c r="AB331" s="4" t="str">
        <f t="shared" si="8"/>
        <v/>
      </c>
      <c r="AC331" s="4">
        <v>0.53153554090032085</v>
      </c>
      <c r="AD331" s="4">
        <f t="shared" si="9"/>
        <v>-0.75829504122783087</v>
      </c>
      <c r="AE331" s="4" t="e">
        <f t="shared" si="10"/>
        <v>#VALUE!</v>
      </c>
      <c r="AF331" s="3" t="e">
        <f t="shared" si="11"/>
        <v>#VALUE!</v>
      </c>
      <c r="AG331" s="3"/>
      <c r="AH331" s="4"/>
      <c r="AI331" s="3"/>
      <c r="AJ331" s="3"/>
      <c r="AK331" s="3"/>
    </row>
    <row r="332" spans="1:37" ht="12.75" customHeight="1" x14ac:dyDescent="0.2">
      <c r="A332" s="14">
        <v>323</v>
      </c>
      <c r="B332" s="4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4"/>
      <c r="Y332" s="23"/>
      <c r="Z332" s="4" t="str">
        <f t="shared" si="6"/>
        <v/>
      </c>
      <c r="AA332" s="4" t="str">
        <f t="shared" si="7"/>
        <v/>
      </c>
      <c r="AB332" s="4" t="str">
        <f t="shared" si="8"/>
        <v/>
      </c>
      <c r="AC332" s="4">
        <v>0.53153554090032085</v>
      </c>
      <c r="AD332" s="4">
        <f t="shared" si="9"/>
        <v>-0.75829504122783087</v>
      </c>
      <c r="AE332" s="4" t="e">
        <f t="shared" si="10"/>
        <v>#VALUE!</v>
      </c>
      <c r="AF332" s="3" t="e">
        <f t="shared" si="11"/>
        <v>#VALUE!</v>
      </c>
      <c r="AG332" s="3"/>
      <c r="AH332" s="4"/>
      <c r="AI332" s="3"/>
      <c r="AJ332" s="3"/>
      <c r="AK332" s="3"/>
    </row>
    <row r="333" spans="1:37" ht="12.75" customHeight="1" x14ac:dyDescent="0.2">
      <c r="A333" s="14">
        <v>324</v>
      </c>
      <c r="B333" s="4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4"/>
      <c r="Y333" s="23"/>
      <c r="Z333" s="4" t="str">
        <f t="shared" si="6"/>
        <v/>
      </c>
      <c r="AA333" s="4" t="str">
        <f t="shared" si="7"/>
        <v/>
      </c>
      <c r="AB333" s="4" t="str">
        <f t="shared" si="8"/>
        <v/>
      </c>
      <c r="AC333" s="4">
        <v>0.53153554090032085</v>
      </c>
      <c r="AD333" s="4">
        <f t="shared" si="9"/>
        <v>-0.75829504122783087</v>
      </c>
      <c r="AE333" s="4" t="e">
        <f t="shared" si="10"/>
        <v>#VALUE!</v>
      </c>
      <c r="AF333" s="3" t="e">
        <f t="shared" si="11"/>
        <v>#VALUE!</v>
      </c>
      <c r="AG333" s="3"/>
      <c r="AH333" s="4"/>
      <c r="AI333" s="3"/>
      <c r="AJ333" s="3"/>
      <c r="AK333" s="3"/>
    </row>
    <row r="334" spans="1:37" ht="12.75" customHeight="1" x14ac:dyDescent="0.2">
      <c r="A334" s="14">
        <v>325</v>
      </c>
      <c r="B334" s="4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4"/>
      <c r="Y334" s="23"/>
      <c r="Z334" s="4" t="str">
        <f t="shared" si="6"/>
        <v/>
      </c>
      <c r="AA334" s="4" t="str">
        <f t="shared" si="7"/>
        <v/>
      </c>
      <c r="AB334" s="4" t="str">
        <f t="shared" si="8"/>
        <v/>
      </c>
      <c r="AC334" s="4">
        <v>0.53153554090032085</v>
      </c>
      <c r="AD334" s="4">
        <f t="shared" si="9"/>
        <v>-0.75829504122783087</v>
      </c>
      <c r="AE334" s="4" t="e">
        <f t="shared" si="10"/>
        <v>#VALUE!</v>
      </c>
      <c r="AF334" s="3" t="e">
        <f t="shared" si="11"/>
        <v>#VALUE!</v>
      </c>
      <c r="AG334" s="3"/>
      <c r="AH334" s="4"/>
      <c r="AI334" s="3"/>
      <c r="AJ334" s="3"/>
      <c r="AK334" s="3"/>
    </row>
    <row r="335" spans="1:37" ht="12.75" customHeight="1" x14ac:dyDescent="0.2">
      <c r="A335" s="14">
        <v>326</v>
      </c>
      <c r="B335" s="4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4"/>
      <c r="Y335" s="23"/>
      <c r="Z335" s="4" t="str">
        <f t="shared" si="6"/>
        <v/>
      </c>
      <c r="AA335" s="4" t="str">
        <f t="shared" si="7"/>
        <v/>
      </c>
      <c r="AB335" s="4" t="str">
        <f t="shared" si="8"/>
        <v/>
      </c>
      <c r="AC335" s="4">
        <v>0.53153554090032085</v>
      </c>
      <c r="AD335" s="4">
        <f t="shared" si="9"/>
        <v>-0.75829504122783087</v>
      </c>
      <c r="AE335" s="4" t="e">
        <f t="shared" si="10"/>
        <v>#VALUE!</v>
      </c>
      <c r="AF335" s="3" t="e">
        <f t="shared" si="11"/>
        <v>#VALUE!</v>
      </c>
      <c r="AG335" s="3"/>
      <c r="AH335" s="4"/>
      <c r="AI335" s="3"/>
      <c r="AJ335" s="3"/>
      <c r="AK335" s="3"/>
    </row>
    <row r="336" spans="1:37" ht="12.75" customHeight="1" x14ac:dyDescent="0.2">
      <c r="A336" s="14">
        <v>327</v>
      </c>
      <c r="B336" s="4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4"/>
      <c r="Y336" s="23"/>
      <c r="Z336" s="4" t="str">
        <f t="shared" si="6"/>
        <v/>
      </c>
      <c r="AA336" s="4" t="str">
        <f t="shared" si="7"/>
        <v/>
      </c>
      <c r="AB336" s="4" t="str">
        <f t="shared" si="8"/>
        <v/>
      </c>
      <c r="AC336" s="4">
        <v>0.53153554090032085</v>
      </c>
      <c r="AD336" s="4">
        <f t="shared" si="9"/>
        <v>-0.75829504122783087</v>
      </c>
      <c r="AE336" s="4" t="e">
        <f t="shared" si="10"/>
        <v>#VALUE!</v>
      </c>
      <c r="AF336" s="3" t="e">
        <f t="shared" si="11"/>
        <v>#VALUE!</v>
      </c>
      <c r="AG336" s="3"/>
      <c r="AH336" s="4"/>
      <c r="AI336" s="3"/>
      <c r="AJ336" s="3"/>
      <c r="AK336" s="3"/>
    </row>
    <row r="337" spans="1:37" ht="12.75" customHeight="1" x14ac:dyDescent="0.2">
      <c r="A337" s="14">
        <v>328</v>
      </c>
      <c r="B337" s="4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4"/>
      <c r="Y337" s="23"/>
      <c r="Z337" s="4" t="str">
        <f t="shared" si="6"/>
        <v/>
      </c>
      <c r="AA337" s="4" t="str">
        <f t="shared" si="7"/>
        <v/>
      </c>
      <c r="AB337" s="4" t="str">
        <f t="shared" si="8"/>
        <v/>
      </c>
      <c r="AC337" s="4">
        <v>0.53153554090032085</v>
      </c>
      <c r="AD337" s="4">
        <f t="shared" si="9"/>
        <v>-0.75829504122783087</v>
      </c>
      <c r="AE337" s="4" t="e">
        <f t="shared" si="10"/>
        <v>#VALUE!</v>
      </c>
      <c r="AF337" s="3" t="e">
        <f t="shared" si="11"/>
        <v>#VALUE!</v>
      </c>
      <c r="AG337" s="3"/>
      <c r="AH337" s="4"/>
      <c r="AI337" s="3"/>
      <c r="AJ337" s="3"/>
      <c r="AK337" s="3"/>
    </row>
    <row r="338" spans="1:37" ht="12.75" customHeight="1" x14ac:dyDescent="0.2">
      <c r="A338" s="14">
        <v>329</v>
      </c>
      <c r="B338" s="4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4"/>
      <c r="Y338" s="23"/>
      <c r="Z338" s="4" t="str">
        <f t="shared" si="6"/>
        <v/>
      </c>
      <c r="AA338" s="4" t="str">
        <f t="shared" si="7"/>
        <v/>
      </c>
      <c r="AB338" s="4" t="str">
        <f t="shared" si="8"/>
        <v/>
      </c>
      <c r="AC338" s="4">
        <v>0.53153554090032085</v>
      </c>
      <c r="AD338" s="4">
        <f t="shared" si="9"/>
        <v>-0.75829504122783087</v>
      </c>
      <c r="AE338" s="4" t="e">
        <f t="shared" si="10"/>
        <v>#VALUE!</v>
      </c>
      <c r="AF338" s="3" t="e">
        <f t="shared" si="11"/>
        <v>#VALUE!</v>
      </c>
      <c r="AG338" s="3"/>
      <c r="AH338" s="4"/>
      <c r="AI338" s="3"/>
      <c r="AJ338" s="3"/>
      <c r="AK338" s="3"/>
    </row>
    <row r="339" spans="1:37" ht="12.75" customHeight="1" x14ac:dyDescent="0.2">
      <c r="A339" s="14">
        <v>330</v>
      </c>
      <c r="B339" s="4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4"/>
      <c r="Y339" s="23"/>
      <c r="Z339" s="4" t="str">
        <f t="shared" si="6"/>
        <v/>
      </c>
      <c r="AA339" s="4" t="str">
        <f t="shared" si="7"/>
        <v/>
      </c>
      <c r="AB339" s="4" t="str">
        <f t="shared" si="8"/>
        <v/>
      </c>
      <c r="AC339" s="4">
        <v>0.53153554090032085</v>
      </c>
      <c r="AD339" s="4">
        <f t="shared" si="9"/>
        <v>-0.75829504122783087</v>
      </c>
      <c r="AE339" s="4" t="e">
        <f t="shared" si="10"/>
        <v>#VALUE!</v>
      </c>
      <c r="AF339" s="3" t="e">
        <f t="shared" si="11"/>
        <v>#VALUE!</v>
      </c>
      <c r="AG339" s="3"/>
      <c r="AH339" s="4"/>
      <c r="AI339" s="3"/>
      <c r="AJ339" s="3"/>
      <c r="AK339" s="3"/>
    </row>
    <row r="340" spans="1:37" ht="12.75" customHeight="1" x14ac:dyDescent="0.2">
      <c r="A340" s="14">
        <v>331</v>
      </c>
      <c r="B340" s="4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4"/>
      <c r="Y340" s="23"/>
      <c r="Z340" s="4" t="str">
        <f t="shared" si="6"/>
        <v/>
      </c>
      <c r="AA340" s="4" t="str">
        <f t="shared" si="7"/>
        <v/>
      </c>
      <c r="AB340" s="4" t="str">
        <f t="shared" si="8"/>
        <v/>
      </c>
      <c r="AC340" s="4">
        <v>0.53153554090032085</v>
      </c>
      <c r="AD340" s="4">
        <f t="shared" si="9"/>
        <v>-0.75829504122783087</v>
      </c>
      <c r="AE340" s="4" t="e">
        <f t="shared" si="10"/>
        <v>#VALUE!</v>
      </c>
      <c r="AF340" s="3" t="e">
        <f t="shared" si="11"/>
        <v>#VALUE!</v>
      </c>
      <c r="AG340" s="3"/>
      <c r="AH340" s="4"/>
      <c r="AI340" s="3"/>
      <c r="AJ340" s="3"/>
      <c r="AK340" s="3"/>
    </row>
    <row r="341" spans="1:37" ht="12.75" customHeight="1" x14ac:dyDescent="0.2">
      <c r="A341" s="14">
        <v>332</v>
      </c>
      <c r="B341" s="4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4"/>
      <c r="Y341" s="23"/>
      <c r="Z341" s="4" t="str">
        <f t="shared" si="6"/>
        <v/>
      </c>
      <c r="AA341" s="4" t="str">
        <f t="shared" si="7"/>
        <v/>
      </c>
      <c r="AB341" s="4" t="str">
        <f t="shared" si="8"/>
        <v/>
      </c>
      <c r="AC341" s="4">
        <v>0.53153554090032085</v>
      </c>
      <c r="AD341" s="4">
        <f t="shared" si="9"/>
        <v>-0.75829504122783087</v>
      </c>
      <c r="AE341" s="4" t="e">
        <f t="shared" si="10"/>
        <v>#VALUE!</v>
      </c>
      <c r="AF341" s="3" t="e">
        <f t="shared" si="11"/>
        <v>#VALUE!</v>
      </c>
      <c r="AG341" s="3"/>
      <c r="AH341" s="4"/>
      <c r="AI341" s="3"/>
      <c r="AJ341" s="3"/>
      <c r="AK341" s="3"/>
    </row>
    <row r="342" spans="1:37" ht="12.75" customHeight="1" x14ac:dyDescent="0.2">
      <c r="A342" s="14">
        <v>333</v>
      </c>
      <c r="B342" s="4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4"/>
      <c r="Y342" s="23"/>
      <c r="Z342" s="4" t="str">
        <f t="shared" si="6"/>
        <v/>
      </c>
      <c r="AA342" s="4" t="str">
        <f t="shared" si="7"/>
        <v/>
      </c>
      <c r="AB342" s="4" t="str">
        <f t="shared" si="8"/>
        <v/>
      </c>
      <c r="AC342" s="4">
        <v>0.53153554090032085</v>
      </c>
      <c r="AD342" s="4">
        <f t="shared" si="9"/>
        <v>-0.75829504122783087</v>
      </c>
      <c r="AE342" s="4" t="e">
        <f t="shared" si="10"/>
        <v>#VALUE!</v>
      </c>
      <c r="AF342" s="3" t="e">
        <f t="shared" si="11"/>
        <v>#VALUE!</v>
      </c>
      <c r="AG342" s="3"/>
      <c r="AH342" s="4"/>
      <c r="AI342" s="3"/>
      <c r="AJ342" s="3"/>
      <c r="AK342" s="3"/>
    </row>
    <row r="343" spans="1:37" ht="12.75" customHeight="1" x14ac:dyDescent="0.2">
      <c r="A343" s="14">
        <v>334</v>
      </c>
      <c r="B343" s="4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4"/>
      <c r="Y343" s="23"/>
      <c r="Z343" s="4" t="str">
        <f t="shared" si="6"/>
        <v/>
      </c>
      <c r="AA343" s="4" t="str">
        <f t="shared" si="7"/>
        <v/>
      </c>
      <c r="AB343" s="4" t="str">
        <f t="shared" si="8"/>
        <v/>
      </c>
      <c r="AC343" s="4">
        <v>0.53153554090032085</v>
      </c>
      <c r="AD343" s="4">
        <f t="shared" si="9"/>
        <v>-0.75829504122783087</v>
      </c>
      <c r="AE343" s="4" t="e">
        <f t="shared" si="10"/>
        <v>#VALUE!</v>
      </c>
      <c r="AF343" s="3" t="e">
        <f t="shared" si="11"/>
        <v>#VALUE!</v>
      </c>
      <c r="AG343" s="3"/>
      <c r="AH343" s="4"/>
      <c r="AI343" s="3"/>
      <c r="AJ343" s="3"/>
      <c r="AK343" s="3"/>
    </row>
    <row r="344" spans="1:37" ht="12.75" customHeight="1" x14ac:dyDescent="0.2">
      <c r="A344" s="14">
        <v>335</v>
      </c>
      <c r="B344" s="4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4"/>
      <c r="Y344" s="23"/>
      <c r="Z344" s="4" t="str">
        <f t="shared" si="6"/>
        <v/>
      </c>
      <c r="AA344" s="4" t="str">
        <f t="shared" si="7"/>
        <v/>
      </c>
      <c r="AB344" s="4" t="str">
        <f t="shared" si="8"/>
        <v/>
      </c>
      <c r="AC344" s="4">
        <v>0.53153554090032085</v>
      </c>
      <c r="AD344" s="4">
        <f t="shared" si="9"/>
        <v>-0.75829504122783087</v>
      </c>
      <c r="AE344" s="4" t="e">
        <f t="shared" si="10"/>
        <v>#VALUE!</v>
      </c>
      <c r="AF344" s="3" t="e">
        <f t="shared" si="11"/>
        <v>#VALUE!</v>
      </c>
      <c r="AG344" s="3"/>
      <c r="AH344" s="4"/>
      <c r="AI344" s="3"/>
      <c r="AJ344" s="3"/>
      <c r="AK344" s="3"/>
    </row>
    <row r="345" spans="1:37" ht="12.75" customHeight="1" x14ac:dyDescent="0.2">
      <c r="A345" s="14">
        <v>336</v>
      </c>
      <c r="B345" s="4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4"/>
      <c r="Y345" s="23"/>
      <c r="Z345" s="4" t="str">
        <f t="shared" si="6"/>
        <v/>
      </c>
      <c r="AA345" s="4" t="str">
        <f t="shared" si="7"/>
        <v/>
      </c>
      <c r="AB345" s="4" t="str">
        <f t="shared" si="8"/>
        <v/>
      </c>
      <c r="AC345" s="4">
        <v>0.53153554090032085</v>
      </c>
      <c r="AD345" s="4">
        <f t="shared" si="9"/>
        <v>-0.75829504122783087</v>
      </c>
      <c r="AE345" s="4" t="e">
        <f t="shared" si="10"/>
        <v>#VALUE!</v>
      </c>
      <c r="AF345" s="3" t="e">
        <f t="shared" si="11"/>
        <v>#VALUE!</v>
      </c>
      <c r="AG345" s="3"/>
      <c r="AH345" s="4"/>
      <c r="AI345" s="3"/>
      <c r="AJ345" s="3"/>
      <c r="AK345" s="3"/>
    </row>
    <row r="346" spans="1:37" ht="12.75" customHeight="1" x14ac:dyDescent="0.2">
      <c r="A346" s="14">
        <v>337</v>
      </c>
      <c r="B346" s="4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4"/>
      <c r="Y346" s="23"/>
      <c r="Z346" s="4" t="str">
        <f t="shared" si="6"/>
        <v/>
      </c>
      <c r="AA346" s="4" t="str">
        <f t="shared" si="7"/>
        <v/>
      </c>
      <c r="AB346" s="4" t="str">
        <f t="shared" si="8"/>
        <v/>
      </c>
      <c r="AC346" s="4">
        <v>0.53153554090032085</v>
      </c>
      <c r="AD346" s="4">
        <f t="shared" si="9"/>
        <v>-0.75829504122783087</v>
      </c>
      <c r="AE346" s="4" t="e">
        <f t="shared" si="10"/>
        <v>#VALUE!</v>
      </c>
      <c r="AF346" s="3" t="e">
        <f t="shared" si="11"/>
        <v>#VALUE!</v>
      </c>
      <c r="AG346" s="3"/>
      <c r="AH346" s="4"/>
      <c r="AI346" s="3"/>
      <c r="AJ346" s="3"/>
      <c r="AK346" s="3"/>
    </row>
    <row r="347" spans="1:37" ht="12.75" customHeight="1" x14ac:dyDescent="0.2">
      <c r="A347" s="14">
        <v>338</v>
      </c>
      <c r="B347" s="4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4"/>
      <c r="Y347" s="23"/>
      <c r="Z347" s="4" t="str">
        <f t="shared" si="6"/>
        <v/>
      </c>
      <c r="AA347" s="4" t="str">
        <f t="shared" si="7"/>
        <v/>
      </c>
      <c r="AB347" s="4" t="str">
        <f t="shared" si="8"/>
        <v/>
      </c>
      <c r="AC347" s="4">
        <v>0.53153554090032085</v>
      </c>
      <c r="AD347" s="4">
        <f t="shared" si="9"/>
        <v>-0.75829504122783087</v>
      </c>
      <c r="AE347" s="4" t="e">
        <f t="shared" si="10"/>
        <v>#VALUE!</v>
      </c>
      <c r="AF347" s="3" t="e">
        <f t="shared" si="11"/>
        <v>#VALUE!</v>
      </c>
      <c r="AG347" s="3"/>
      <c r="AH347" s="4"/>
      <c r="AI347" s="3"/>
      <c r="AJ347" s="3"/>
      <c r="AK347" s="3"/>
    </row>
    <row r="348" spans="1:37" ht="12.75" customHeight="1" x14ac:dyDescent="0.2">
      <c r="A348" s="14">
        <v>339</v>
      </c>
      <c r="B348" s="4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4"/>
      <c r="Y348" s="23"/>
      <c r="Z348" s="4" t="str">
        <f t="shared" si="6"/>
        <v/>
      </c>
      <c r="AA348" s="4" t="str">
        <f t="shared" si="7"/>
        <v/>
      </c>
      <c r="AB348" s="4" t="str">
        <f t="shared" si="8"/>
        <v/>
      </c>
      <c r="AC348" s="4">
        <v>0.53153554090032085</v>
      </c>
      <c r="AD348" s="4">
        <f t="shared" si="9"/>
        <v>-0.75829504122783087</v>
      </c>
      <c r="AE348" s="4" t="e">
        <f t="shared" si="10"/>
        <v>#VALUE!</v>
      </c>
      <c r="AF348" s="3" t="e">
        <f t="shared" si="11"/>
        <v>#VALUE!</v>
      </c>
      <c r="AG348" s="3"/>
      <c r="AH348" s="4"/>
      <c r="AI348" s="3"/>
      <c r="AJ348" s="3"/>
      <c r="AK348" s="3"/>
    </row>
    <row r="349" spans="1:37" ht="12.75" customHeight="1" x14ac:dyDescent="0.2">
      <c r="A349" s="14">
        <v>340</v>
      </c>
      <c r="B349" s="4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4"/>
      <c r="Y349" s="23"/>
      <c r="Z349" s="4" t="str">
        <f t="shared" si="6"/>
        <v/>
      </c>
      <c r="AA349" s="4" t="str">
        <f t="shared" si="7"/>
        <v/>
      </c>
      <c r="AB349" s="4" t="str">
        <f t="shared" si="8"/>
        <v/>
      </c>
      <c r="AC349" s="4">
        <v>0.53153554090032085</v>
      </c>
      <c r="AD349" s="4">
        <f t="shared" si="9"/>
        <v>-0.75829504122783087</v>
      </c>
      <c r="AE349" s="4" t="e">
        <f t="shared" si="10"/>
        <v>#VALUE!</v>
      </c>
      <c r="AF349" s="3" t="e">
        <f t="shared" si="11"/>
        <v>#VALUE!</v>
      </c>
      <c r="AG349" s="3"/>
      <c r="AH349" s="4"/>
      <c r="AI349" s="3"/>
      <c r="AJ349" s="3"/>
      <c r="AK349" s="3"/>
    </row>
    <row r="350" spans="1:37" ht="12.75" customHeight="1" x14ac:dyDescent="0.2">
      <c r="A350" s="14">
        <v>341</v>
      </c>
      <c r="B350" s="4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4"/>
      <c r="Y350" s="23"/>
      <c r="Z350" s="4" t="str">
        <f t="shared" si="6"/>
        <v/>
      </c>
      <c r="AA350" s="4" t="str">
        <f t="shared" si="7"/>
        <v/>
      </c>
      <c r="AB350" s="4" t="str">
        <f t="shared" si="8"/>
        <v/>
      </c>
      <c r="AC350" s="4">
        <v>0.53153554090032085</v>
      </c>
      <c r="AD350" s="4">
        <f t="shared" si="9"/>
        <v>-0.75829504122783087</v>
      </c>
      <c r="AE350" s="4" t="e">
        <f t="shared" si="10"/>
        <v>#VALUE!</v>
      </c>
      <c r="AF350" s="3" t="e">
        <f t="shared" si="11"/>
        <v>#VALUE!</v>
      </c>
      <c r="AG350" s="3"/>
      <c r="AH350" s="4"/>
      <c r="AI350" s="3"/>
      <c r="AJ350" s="3"/>
      <c r="AK350" s="3"/>
    </row>
    <row r="351" spans="1:37" ht="12.75" customHeight="1" x14ac:dyDescent="0.2">
      <c r="A351" s="14">
        <v>342</v>
      </c>
      <c r="B351" s="4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4"/>
      <c r="Y351" s="23"/>
      <c r="Z351" s="4" t="str">
        <f t="shared" si="6"/>
        <v/>
      </c>
      <c r="AA351" s="4" t="str">
        <f t="shared" si="7"/>
        <v/>
      </c>
      <c r="AB351" s="4" t="str">
        <f t="shared" si="8"/>
        <v/>
      </c>
      <c r="AC351" s="4">
        <v>0.53153554090032085</v>
      </c>
      <c r="AD351" s="4">
        <f t="shared" si="9"/>
        <v>-0.75829504122783087</v>
      </c>
      <c r="AE351" s="4" t="e">
        <f t="shared" si="10"/>
        <v>#VALUE!</v>
      </c>
      <c r="AF351" s="3" t="e">
        <f t="shared" si="11"/>
        <v>#VALUE!</v>
      </c>
      <c r="AG351" s="3"/>
      <c r="AH351" s="4"/>
      <c r="AI351" s="3"/>
      <c r="AJ351" s="3"/>
      <c r="AK351" s="3"/>
    </row>
    <row r="352" spans="1:37" ht="12.75" customHeight="1" x14ac:dyDescent="0.2">
      <c r="A352" s="14">
        <v>343</v>
      </c>
      <c r="B352" s="4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4"/>
      <c r="Y352" s="23"/>
      <c r="Z352" s="4" t="str">
        <f t="shared" si="6"/>
        <v/>
      </c>
      <c r="AA352" s="4" t="str">
        <f t="shared" si="7"/>
        <v/>
      </c>
      <c r="AB352" s="4" t="str">
        <f t="shared" si="8"/>
        <v/>
      </c>
      <c r="AC352" s="4">
        <v>0.53153554090032085</v>
      </c>
      <c r="AD352" s="4">
        <f t="shared" si="9"/>
        <v>-0.75829504122783087</v>
      </c>
      <c r="AE352" s="4" t="e">
        <f t="shared" si="10"/>
        <v>#VALUE!</v>
      </c>
      <c r="AF352" s="3" t="e">
        <f t="shared" si="11"/>
        <v>#VALUE!</v>
      </c>
      <c r="AG352" s="3"/>
      <c r="AH352" s="4"/>
      <c r="AI352" s="3"/>
      <c r="AJ352" s="3"/>
      <c r="AK352" s="3"/>
    </row>
    <row r="353" spans="1:37" ht="12.75" customHeight="1" x14ac:dyDescent="0.2">
      <c r="A353" s="14">
        <v>344</v>
      </c>
      <c r="B353" s="4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4"/>
      <c r="Y353" s="23"/>
      <c r="Z353" s="4" t="str">
        <f t="shared" si="6"/>
        <v/>
      </c>
      <c r="AA353" s="4" t="str">
        <f t="shared" si="7"/>
        <v/>
      </c>
      <c r="AB353" s="4" t="str">
        <f t="shared" si="8"/>
        <v/>
      </c>
      <c r="AC353" s="4">
        <v>0.53153554090032085</v>
      </c>
      <c r="AD353" s="4">
        <f t="shared" si="9"/>
        <v>-0.75829504122783087</v>
      </c>
      <c r="AE353" s="4" t="e">
        <f t="shared" si="10"/>
        <v>#VALUE!</v>
      </c>
      <c r="AF353" s="3" t="e">
        <f t="shared" si="11"/>
        <v>#VALUE!</v>
      </c>
      <c r="AG353" s="3"/>
      <c r="AH353" s="4"/>
      <c r="AI353" s="3"/>
      <c r="AJ353" s="3"/>
      <c r="AK353" s="3"/>
    </row>
    <row r="354" spans="1:37" ht="12.75" customHeight="1" x14ac:dyDescent="0.2">
      <c r="A354" s="14">
        <v>345</v>
      </c>
      <c r="B354" s="4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4"/>
      <c r="Y354" s="23"/>
      <c r="Z354" s="4" t="str">
        <f t="shared" si="6"/>
        <v/>
      </c>
      <c r="AA354" s="4" t="str">
        <f t="shared" si="7"/>
        <v/>
      </c>
      <c r="AB354" s="4" t="str">
        <f t="shared" si="8"/>
        <v/>
      </c>
      <c r="AC354" s="4">
        <v>0.53153554090032085</v>
      </c>
      <c r="AD354" s="4">
        <f t="shared" si="9"/>
        <v>-0.75829504122783087</v>
      </c>
      <c r="AE354" s="4" t="e">
        <f t="shared" si="10"/>
        <v>#VALUE!</v>
      </c>
      <c r="AF354" s="3" t="e">
        <f t="shared" si="11"/>
        <v>#VALUE!</v>
      </c>
      <c r="AG354" s="3"/>
      <c r="AH354" s="4"/>
      <c r="AI354" s="3"/>
      <c r="AJ354" s="3"/>
      <c r="AK354" s="3"/>
    </row>
    <row r="355" spans="1:37" ht="12.75" customHeight="1" x14ac:dyDescent="0.2">
      <c r="A355" s="14">
        <v>346</v>
      </c>
      <c r="B355" s="4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4"/>
      <c r="Y355" s="23"/>
      <c r="Z355" s="4" t="str">
        <f t="shared" si="6"/>
        <v/>
      </c>
      <c r="AA355" s="4" t="str">
        <f t="shared" si="7"/>
        <v/>
      </c>
      <c r="AB355" s="4" t="str">
        <f t="shared" si="8"/>
        <v/>
      </c>
      <c r="AC355" s="4">
        <v>0.53153554090032085</v>
      </c>
      <c r="AD355" s="4">
        <f t="shared" si="9"/>
        <v>-0.75829504122783087</v>
      </c>
      <c r="AE355" s="4" t="e">
        <f t="shared" si="10"/>
        <v>#VALUE!</v>
      </c>
      <c r="AF355" s="3" t="e">
        <f t="shared" si="11"/>
        <v>#VALUE!</v>
      </c>
      <c r="AG355" s="3"/>
      <c r="AH355" s="4"/>
      <c r="AI355" s="3"/>
      <c r="AJ355" s="3"/>
      <c r="AK355" s="3"/>
    </row>
    <row r="356" spans="1:37" ht="12.75" customHeight="1" x14ac:dyDescent="0.2">
      <c r="A356" s="14">
        <v>347</v>
      </c>
      <c r="B356" s="4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4"/>
      <c r="Y356" s="23"/>
      <c r="Z356" s="4" t="str">
        <f t="shared" si="6"/>
        <v/>
      </c>
      <c r="AA356" s="4" t="str">
        <f t="shared" si="7"/>
        <v/>
      </c>
      <c r="AB356" s="4" t="str">
        <f t="shared" si="8"/>
        <v/>
      </c>
      <c r="AC356" s="4">
        <v>0.53153554090032085</v>
      </c>
      <c r="AD356" s="4">
        <f t="shared" si="9"/>
        <v>-0.75829504122783087</v>
      </c>
      <c r="AE356" s="4" t="e">
        <f t="shared" si="10"/>
        <v>#VALUE!</v>
      </c>
      <c r="AF356" s="3" t="e">
        <f t="shared" si="11"/>
        <v>#VALUE!</v>
      </c>
      <c r="AG356" s="3"/>
      <c r="AH356" s="4"/>
      <c r="AI356" s="3"/>
      <c r="AJ356" s="3"/>
      <c r="AK356" s="3"/>
    </row>
    <row r="357" spans="1:37" ht="12.75" customHeight="1" x14ac:dyDescent="0.2">
      <c r="A357" s="14">
        <v>348</v>
      </c>
      <c r="B357" s="4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4"/>
      <c r="Y357" s="23"/>
      <c r="Z357" s="4" t="str">
        <f t="shared" si="6"/>
        <v/>
      </c>
      <c r="AA357" s="4" t="str">
        <f t="shared" si="7"/>
        <v/>
      </c>
      <c r="AB357" s="4" t="str">
        <f t="shared" si="8"/>
        <v/>
      </c>
      <c r="AC357" s="4">
        <v>0.53153554090032085</v>
      </c>
      <c r="AD357" s="4">
        <f t="shared" si="9"/>
        <v>-0.75829504122783087</v>
      </c>
      <c r="AE357" s="4" t="e">
        <f t="shared" si="10"/>
        <v>#VALUE!</v>
      </c>
      <c r="AF357" s="3" t="e">
        <f t="shared" si="11"/>
        <v>#VALUE!</v>
      </c>
      <c r="AG357" s="3"/>
      <c r="AH357" s="4"/>
      <c r="AI357" s="3"/>
      <c r="AJ357" s="3"/>
      <c r="AK357" s="3"/>
    </row>
    <row r="358" spans="1:37" ht="12.75" customHeight="1" x14ac:dyDescent="0.2">
      <c r="A358" s="14">
        <v>349</v>
      </c>
      <c r="B358" s="4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4"/>
      <c r="Y358" s="23"/>
      <c r="Z358" s="4" t="str">
        <f t="shared" si="6"/>
        <v/>
      </c>
      <c r="AA358" s="4" t="str">
        <f t="shared" si="7"/>
        <v/>
      </c>
      <c r="AB358" s="4" t="str">
        <f t="shared" si="8"/>
        <v/>
      </c>
      <c r="AC358" s="4">
        <v>0.53153554090032085</v>
      </c>
      <c r="AD358" s="4">
        <f t="shared" si="9"/>
        <v>-0.75829504122783087</v>
      </c>
      <c r="AE358" s="4" t="e">
        <f t="shared" si="10"/>
        <v>#VALUE!</v>
      </c>
      <c r="AF358" s="3" t="e">
        <f t="shared" si="11"/>
        <v>#VALUE!</v>
      </c>
      <c r="AG358" s="3"/>
      <c r="AH358" s="4"/>
      <c r="AI358" s="3"/>
      <c r="AJ358" s="3"/>
      <c r="AK358" s="3"/>
    </row>
    <row r="359" spans="1:37" ht="12.75" customHeight="1" x14ac:dyDescent="0.2">
      <c r="A359" s="14">
        <v>350</v>
      </c>
      <c r="B359" s="4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4"/>
      <c r="Y359" s="23"/>
      <c r="Z359" s="4" t="str">
        <f t="shared" si="6"/>
        <v/>
      </c>
      <c r="AA359" s="4" t="str">
        <f t="shared" si="7"/>
        <v/>
      </c>
      <c r="AB359" s="4" t="str">
        <f t="shared" si="8"/>
        <v/>
      </c>
      <c r="AC359" s="4">
        <v>0.53153554090032085</v>
      </c>
      <c r="AD359" s="4">
        <f t="shared" si="9"/>
        <v>-0.75829504122783087</v>
      </c>
      <c r="AE359" s="4" t="e">
        <f t="shared" si="10"/>
        <v>#VALUE!</v>
      </c>
      <c r="AF359" s="3" t="e">
        <f t="shared" si="11"/>
        <v>#VALUE!</v>
      </c>
      <c r="AG359" s="3"/>
      <c r="AH359" s="4"/>
      <c r="AI359" s="3"/>
      <c r="AJ359" s="3"/>
      <c r="AK359" s="3"/>
    </row>
    <row r="360" spans="1:37" ht="12.75" customHeight="1" x14ac:dyDescent="0.2">
      <c r="A360" s="14">
        <v>351</v>
      </c>
      <c r="B360" s="4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4"/>
      <c r="Y360" s="23"/>
      <c r="Z360" s="4" t="str">
        <f t="shared" si="6"/>
        <v/>
      </c>
      <c r="AA360" s="4" t="str">
        <f t="shared" si="7"/>
        <v/>
      </c>
      <c r="AB360" s="4" t="str">
        <f t="shared" si="8"/>
        <v/>
      </c>
      <c r="AC360" s="4">
        <v>0.53153554090032085</v>
      </c>
      <c r="AD360" s="4">
        <f t="shared" si="9"/>
        <v>-0.75829504122783087</v>
      </c>
      <c r="AE360" s="4" t="e">
        <f t="shared" si="10"/>
        <v>#VALUE!</v>
      </c>
      <c r="AF360" s="3" t="e">
        <f t="shared" si="11"/>
        <v>#VALUE!</v>
      </c>
      <c r="AG360" s="3"/>
      <c r="AH360" s="4"/>
      <c r="AI360" s="3"/>
      <c r="AJ360" s="3"/>
      <c r="AK360" s="3"/>
    </row>
    <row r="361" spans="1:37" ht="12.75" customHeight="1" x14ac:dyDescent="0.2">
      <c r="A361" s="14">
        <v>352</v>
      </c>
      <c r="B361" s="4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4"/>
      <c r="Y361" s="23"/>
      <c r="Z361" s="4" t="str">
        <f t="shared" si="6"/>
        <v/>
      </c>
      <c r="AA361" s="4" t="str">
        <f t="shared" si="7"/>
        <v/>
      </c>
      <c r="AB361" s="4" t="str">
        <f t="shared" si="8"/>
        <v/>
      </c>
      <c r="AC361" s="4">
        <v>0.53153554090032085</v>
      </c>
      <c r="AD361" s="4">
        <f t="shared" si="9"/>
        <v>-0.75829504122783087</v>
      </c>
      <c r="AE361" s="4" t="e">
        <f t="shared" si="10"/>
        <v>#VALUE!</v>
      </c>
      <c r="AF361" s="3" t="e">
        <f t="shared" si="11"/>
        <v>#VALUE!</v>
      </c>
      <c r="AG361" s="3"/>
      <c r="AH361" s="4"/>
      <c r="AI361" s="3"/>
      <c r="AJ361" s="3"/>
      <c r="AK361" s="3"/>
    </row>
    <row r="362" spans="1:37" ht="12.75" customHeight="1" x14ac:dyDescent="0.2">
      <c r="A362" s="14">
        <v>353</v>
      </c>
      <c r="B362" s="4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4"/>
      <c r="Y362" s="23"/>
      <c r="Z362" s="4" t="str">
        <f t="shared" si="6"/>
        <v/>
      </c>
      <c r="AA362" s="4" t="str">
        <f t="shared" si="7"/>
        <v/>
      </c>
      <c r="AB362" s="4" t="str">
        <f t="shared" si="8"/>
        <v/>
      </c>
      <c r="AC362" s="4">
        <v>0.53153554090032085</v>
      </c>
      <c r="AD362" s="4">
        <f t="shared" si="9"/>
        <v>-0.75829504122783087</v>
      </c>
      <c r="AE362" s="4" t="e">
        <f t="shared" si="10"/>
        <v>#VALUE!</v>
      </c>
      <c r="AF362" s="3" t="e">
        <f t="shared" si="11"/>
        <v>#VALUE!</v>
      </c>
      <c r="AG362" s="3"/>
      <c r="AH362" s="4"/>
      <c r="AI362" s="3"/>
      <c r="AJ362" s="3"/>
      <c r="AK362" s="3"/>
    </row>
    <row r="363" spans="1:37" ht="12.75" customHeight="1" x14ac:dyDescent="0.2">
      <c r="A363" s="14">
        <v>354</v>
      </c>
      <c r="B363" s="4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4"/>
      <c r="Y363" s="23"/>
      <c r="Z363" s="4" t="str">
        <f t="shared" si="6"/>
        <v/>
      </c>
      <c r="AA363" s="4" t="str">
        <f t="shared" si="7"/>
        <v/>
      </c>
      <c r="AB363" s="4" t="str">
        <f t="shared" si="8"/>
        <v/>
      </c>
      <c r="AC363" s="4">
        <v>0.53153554090032085</v>
      </c>
      <c r="AD363" s="4">
        <f t="shared" si="9"/>
        <v>-0.75829504122783087</v>
      </c>
      <c r="AE363" s="4" t="e">
        <f t="shared" si="10"/>
        <v>#VALUE!</v>
      </c>
      <c r="AF363" s="3" t="e">
        <f t="shared" si="11"/>
        <v>#VALUE!</v>
      </c>
      <c r="AG363" s="3"/>
      <c r="AH363" s="4"/>
      <c r="AI363" s="3"/>
      <c r="AJ363" s="3"/>
      <c r="AK363" s="3"/>
    </row>
    <row r="364" spans="1:37" ht="12.75" customHeight="1" x14ac:dyDescent="0.2">
      <c r="A364" s="14">
        <v>355</v>
      </c>
      <c r="B364" s="4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4"/>
      <c r="Y364" s="23"/>
      <c r="Z364" s="4" t="str">
        <f t="shared" si="6"/>
        <v/>
      </c>
      <c r="AA364" s="4" t="str">
        <f t="shared" si="7"/>
        <v/>
      </c>
      <c r="AB364" s="4" t="str">
        <f t="shared" si="8"/>
        <v/>
      </c>
      <c r="AC364" s="4">
        <v>0.53153554090032085</v>
      </c>
      <c r="AD364" s="4">
        <f t="shared" si="9"/>
        <v>-0.75829504122783087</v>
      </c>
      <c r="AE364" s="4" t="e">
        <f t="shared" si="10"/>
        <v>#VALUE!</v>
      </c>
      <c r="AF364" s="3" t="e">
        <f t="shared" si="11"/>
        <v>#VALUE!</v>
      </c>
      <c r="AG364" s="3"/>
      <c r="AH364" s="4"/>
      <c r="AI364" s="3"/>
      <c r="AJ364" s="3"/>
      <c r="AK364" s="3"/>
    </row>
    <row r="365" spans="1:37" ht="12.75" customHeight="1" x14ac:dyDescent="0.2">
      <c r="A365" s="14">
        <v>356</v>
      </c>
      <c r="B365" s="4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4"/>
      <c r="Y365" s="23"/>
      <c r="Z365" s="4" t="str">
        <f t="shared" si="6"/>
        <v/>
      </c>
      <c r="AA365" s="4" t="str">
        <f t="shared" si="7"/>
        <v/>
      </c>
      <c r="AB365" s="4" t="str">
        <f t="shared" si="8"/>
        <v/>
      </c>
      <c r="AC365" s="4">
        <v>0.53153554090032085</v>
      </c>
      <c r="AD365" s="4">
        <f t="shared" si="9"/>
        <v>-0.75829504122783087</v>
      </c>
      <c r="AE365" s="4" t="e">
        <f t="shared" si="10"/>
        <v>#VALUE!</v>
      </c>
      <c r="AF365" s="3" t="e">
        <f t="shared" si="11"/>
        <v>#VALUE!</v>
      </c>
      <c r="AG365" s="3"/>
      <c r="AH365" s="4"/>
      <c r="AI365" s="3"/>
      <c r="AJ365" s="3"/>
      <c r="AK365" s="3"/>
    </row>
    <row r="366" spans="1:37" ht="12.75" customHeight="1" x14ac:dyDescent="0.2">
      <c r="A366" s="14">
        <v>357</v>
      </c>
      <c r="B366" s="4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4"/>
      <c r="Y366" s="23"/>
      <c r="Z366" s="4" t="str">
        <f t="shared" si="6"/>
        <v/>
      </c>
      <c r="AA366" s="4" t="str">
        <f t="shared" si="7"/>
        <v/>
      </c>
      <c r="AB366" s="4" t="str">
        <f t="shared" si="8"/>
        <v/>
      </c>
      <c r="AC366" s="4">
        <v>0.53153554090032085</v>
      </c>
      <c r="AD366" s="4">
        <f t="shared" si="9"/>
        <v>-0.75829504122783087</v>
      </c>
      <c r="AE366" s="4" t="e">
        <f t="shared" si="10"/>
        <v>#VALUE!</v>
      </c>
      <c r="AF366" s="3" t="e">
        <f t="shared" si="11"/>
        <v>#VALUE!</v>
      </c>
      <c r="AG366" s="3"/>
      <c r="AH366" s="4"/>
      <c r="AI366" s="3"/>
      <c r="AJ366" s="3"/>
      <c r="AK366" s="3"/>
    </row>
    <row r="367" spans="1:37" ht="12.75" customHeight="1" x14ac:dyDescent="0.2">
      <c r="A367" s="14">
        <v>358</v>
      </c>
      <c r="B367" s="4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4"/>
      <c r="Y367" s="23"/>
      <c r="Z367" s="4" t="str">
        <f t="shared" si="6"/>
        <v/>
      </c>
      <c r="AA367" s="4" t="str">
        <f t="shared" si="7"/>
        <v/>
      </c>
      <c r="AB367" s="4" t="str">
        <f t="shared" si="8"/>
        <v/>
      </c>
      <c r="AC367" s="4">
        <v>0.53153554090032085</v>
      </c>
      <c r="AD367" s="4">
        <f t="shared" si="9"/>
        <v>-0.75829504122783087</v>
      </c>
      <c r="AE367" s="4" t="e">
        <f t="shared" si="10"/>
        <v>#VALUE!</v>
      </c>
      <c r="AF367" s="3" t="e">
        <f t="shared" si="11"/>
        <v>#VALUE!</v>
      </c>
      <c r="AG367" s="3"/>
      <c r="AH367" s="4"/>
      <c r="AI367" s="3"/>
      <c r="AJ367" s="3"/>
      <c r="AK367" s="3"/>
    </row>
    <row r="368" spans="1:37" ht="12.75" customHeight="1" x14ac:dyDescent="0.2">
      <c r="A368" s="14">
        <v>359</v>
      </c>
      <c r="B368" s="4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4"/>
      <c r="Y368" s="23"/>
      <c r="Z368" s="4" t="str">
        <f t="shared" si="6"/>
        <v/>
      </c>
      <c r="AA368" s="4" t="str">
        <f t="shared" si="7"/>
        <v/>
      </c>
      <c r="AB368" s="4" t="str">
        <f t="shared" si="8"/>
        <v/>
      </c>
      <c r="AC368" s="4">
        <v>0.53153554090032085</v>
      </c>
      <c r="AD368" s="4">
        <f t="shared" si="9"/>
        <v>-0.75829504122783087</v>
      </c>
      <c r="AE368" s="4" t="e">
        <f t="shared" si="10"/>
        <v>#VALUE!</v>
      </c>
      <c r="AF368" s="3" t="e">
        <f t="shared" si="11"/>
        <v>#VALUE!</v>
      </c>
      <c r="AG368" s="3"/>
      <c r="AH368" s="4"/>
      <c r="AI368" s="3"/>
      <c r="AJ368" s="3"/>
      <c r="AK368" s="3"/>
    </row>
    <row r="369" spans="1:37" ht="12.75" customHeight="1" x14ac:dyDescent="0.2">
      <c r="A369" s="14">
        <v>360</v>
      </c>
      <c r="B369" s="4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4"/>
      <c r="Y369" s="23"/>
      <c r="Z369" s="4" t="str">
        <f t="shared" si="6"/>
        <v/>
      </c>
      <c r="AA369" s="4" t="str">
        <f t="shared" si="7"/>
        <v/>
      </c>
      <c r="AB369" s="4" t="str">
        <f t="shared" si="8"/>
        <v/>
      </c>
      <c r="AC369" s="4">
        <v>0.53153554090032085</v>
      </c>
      <c r="AD369" s="4">
        <f t="shared" si="9"/>
        <v>-0.75829504122783087</v>
      </c>
      <c r="AE369" s="4" t="e">
        <f t="shared" si="10"/>
        <v>#VALUE!</v>
      </c>
      <c r="AF369" s="3" t="e">
        <f t="shared" si="11"/>
        <v>#VALUE!</v>
      </c>
      <c r="AG369" s="3"/>
      <c r="AH369" s="4"/>
      <c r="AI369" s="3"/>
      <c r="AJ369" s="3"/>
      <c r="AK369" s="3"/>
    </row>
    <row r="370" spans="1:37" ht="12.75" customHeight="1" x14ac:dyDescent="0.2">
      <c r="A370" s="14">
        <v>361</v>
      </c>
      <c r="B370" s="4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4"/>
      <c r="Y370" s="23"/>
      <c r="Z370" s="4" t="str">
        <f t="shared" si="6"/>
        <v/>
      </c>
      <c r="AA370" s="4" t="str">
        <f t="shared" si="7"/>
        <v/>
      </c>
      <c r="AB370" s="4" t="str">
        <f t="shared" si="8"/>
        <v/>
      </c>
      <c r="AC370" s="4">
        <v>0.53153554090032085</v>
      </c>
      <c r="AD370" s="4">
        <f t="shared" si="9"/>
        <v>-0.75829504122783087</v>
      </c>
      <c r="AE370" s="4" t="e">
        <f t="shared" si="10"/>
        <v>#VALUE!</v>
      </c>
      <c r="AF370" s="3" t="e">
        <f t="shared" si="11"/>
        <v>#VALUE!</v>
      </c>
      <c r="AG370" s="3"/>
      <c r="AH370" s="4"/>
      <c r="AI370" s="3"/>
      <c r="AJ370" s="3"/>
      <c r="AK370" s="3"/>
    </row>
    <row r="371" spans="1:37" ht="12.75" customHeight="1" x14ac:dyDescent="0.2">
      <c r="A371" s="14">
        <v>362</v>
      </c>
      <c r="B371" s="4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4"/>
      <c r="Y371" s="23"/>
      <c r="Z371" s="4" t="str">
        <f t="shared" si="6"/>
        <v/>
      </c>
      <c r="AA371" s="4" t="str">
        <f t="shared" si="7"/>
        <v/>
      </c>
      <c r="AB371" s="4" t="str">
        <f t="shared" si="8"/>
        <v/>
      </c>
      <c r="AC371" s="4">
        <v>0.53153554090032085</v>
      </c>
      <c r="AD371" s="4">
        <f t="shared" si="9"/>
        <v>-0.75829504122783087</v>
      </c>
      <c r="AE371" s="4" t="e">
        <f t="shared" si="10"/>
        <v>#VALUE!</v>
      </c>
      <c r="AF371" s="3" t="e">
        <f t="shared" si="11"/>
        <v>#VALUE!</v>
      </c>
      <c r="AG371" s="3"/>
      <c r="AH371" s="4"/>
      <c r="AI371" s="3"/>
      <c r="AJ371" s="3"/>
      <c r="AK371" s="3"/>
    </row>
    <row r="372" spans="1:37" ht="12.75" customHeight="1" x14ac:dyDescent="0.2">
      <c r="A372" s="14">
        <v>363</v>
      </c>
      <c r="B372" s="4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4"/>
      <c r="Y372" s="23"/>
      <c r="Z372" s="4" t="str">
        <f t="shared" si="6"/>
        <v/>
      </c>
      <c r="AA372" s="4" t="str">
        <f t="shared" si="7"/>
        <v/>
      </c>
      <c r="AB372" s="4" t="str">
        <f t="shared" si="8"/>
        <v/>
      </c>
      <c r="AC372" s="4">
        <v>0.53153554090032085</v>
      </c>
      <c r="AD372" s="4">
        <f t="shared" si="9"/>
        <v>-0.75829504122783087</v>
      </c>
      <c r="AE372" s="4" t="e">
        <f t="shared" si="10"/>
        <v>#VALUE!</v>
      </c>
      <c r="AF372" s="3" t="e">
        <f t="shared" si="11"/>
        <v>#VALUE!</v>
      </c>
      <c r="AG372" s="3"/>
      <c r="AH372" s="4"/>
      <c r="AI372" s="3"/>
      <c r="AJ372" s="3"/>
      <c r="AK372" s="3"/>
    </row>
    <row r="373" spans="1:37" ht="12.75" customHeight="1" x14ac:dyDescent="0.2">
      <c r="A373" s="14">
        <v>364</v>
      </c>
      <c r="B373" s="4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4"/>
      <c r="Y373" s="23"/>
      <c r="Z373" s="4" t="str">
        <f t="shared" si="6"/>
        <v/>
      </c>
      <c r="AA373" s="4" t="str">
        <f t="shared" si="7"/>
        <v/>
      </c>
      <c r="AB373" s="4" t="str">
        <f t="shared" si="8"/>
        <v/>
      </c>
      <c r="AC373" s="4">
        <v>0.53153554090032085</v>
      </c>
      <c r="AD373" s="4">
        <f t="shared" si="9"/>
        <v>-0.75829504122783087</v>
      </c>
      <c r="AE373" s="4" t="e">
        <f t="shared" si="10"/>
        <v>#VALUE!</v>
      </c>
      <c r="AF373" s="3" t="e">
        <f t="shared" si="11"/>
        <v>#VALUE!</v>
      </c>
      <c r="AG373" s="3"/>
      <c r="AH373" s="4"/>
      <c r="AI373" s="3"/>
      <c r="AJ373" s="3"/>
      <c r="AK373" s="3"/>
    </row>
    <row r="374" spans="1:37" ht="12.75" customHeight="1" x14ac:dyDescent="0.2">
      <c r="A374" s="14">
        <v>365</v>
      </c>
      <c r="B374" s="4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4"/>
      <c r="Y374" s="23"/>
      <c r="Z374" s="4" t="str">
        <f t="shared" si="6"/>
        <v/>
      </c>
      <c r="AA374" s="4" t="str">
        <f t="shared" si="7"/>
        <v/>
      </c>
      <c r="AB374" s="4" t="str">
        <f t="shared" si="8"/>
        <v/>
      </c>
      <c r="AC374" s="4">
        <v>0.53153554090032085</v>
      </c>
      <c r="AD374" s="4">
        <f t="shared" si="9"/>
        <v>-0.75829504122783087</v>
      </c>
      <c r="AE374" s="4" t="e">
        <f t="shared" si="10"/>
        <v>#VALUE!</v>
      </c>
      <c r="AF374" s="3" t="e">
        <f t="shared" si="11"/>
        <v>#VALUE!</v>
      </c>
      <c r="AG374" s="3"/>
      <c r="AH374" s="4"/>
      <c r="AI374" s="3"/>
      <c r="AJ374" s="3"/>
      <c r="AK374" s="3"/>
    </row>
    <row r="375" spans="1:37" ht="12.75" customHeight="1" x14ac:dyDescent="0.2">
      <c r="A375" s="14">
        <v>366</v>
      </c>
      <c r="B375" s="4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4"/>
      <c r="Y375" s="23"/>
      <c r="Z375" s="4" t="str">
        <f t="shared" si="6"/>
        <v/>
      </c>
      <c r="AA375" s="4" t="str">
        <f t="shared" si="7"/>
        <v/>
      </c>
      <c r="AB375" s="4" t="str">
        <f t="shared" si="8"/>
        <v/>
      </c>
      <c r="AC375" s="4">
        <v>0.53153554090032085</v>
      </c>
      <c r="AD375" s="4">
        <f t="shared" si="9"/>
        <v>-0.75829504122783087</v>
      </c>
      <c r="AE375" s="4" t="e">
        <f t="shared" si="10"/>
        <v>#VALUE!</v>
      </c>
      <c r="AF375" s="3" t="e">
        <f t="shared" si="11"/>
        <v>#VALUE!</v>
      </c>
      <c r="AG375" s="3"/>
      <c r="AH375" s="4"/>
      <c r="AI375" s="3"/>
      <c r="AJ375" s="3"/>
      <c r="AK375" s="3"/>
    </row>
    <row r="376" spans="1:37" ht="12.75" customHeight="1" x14ac:dyDescent="0.2">
      <c r="A376" s="14">
        <v>367</v>
      </c>
      <c r="B376" s="4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4"/>
      <c r="Y376" s="23"/>
      <c r="Z376" s="4" t="str">
        <f t="shared" si="6"/>
        <v/>
      </c>
      <c r="AA376" s="4" t="str">
        <f t="shared" si="7"/>
        <v/>
      </c>
      <c r="AB376" s="4" t="str">
        <f t="shared" si="8"/>
        <v/>
      </c>
      <c r="AC376" s="4">
        <v>0.53153554090032085</v>
      </c>
      <c r="AD376" s="4">
        <f t="shared" si="9"/>
        <v>-0.75829504122783087</v>
      </c>
      <c r="AE376" s="4" t="e">
        <f t="shared" si="10"/>
        <v>#VALUE!</v>
      </c>
      <c r="AF376" s="3" t="e">
        <f t="shared" si="11"/>
        <v>#VALUE!</v>
      </c>
      <c r="AG376" s="3"/>
      <c r="AH376" s="4"/>
      <c r="AI376" s="3"/>
      <c r="AJ376" s="3"/>
      <c r="AK376" s="3"/>
    </row>
    <row r="377" spans="1:37" ht="12.75" customHeight="1" x14ac:dyDescent="0.2">
      <c r="A377" s="14">
        <v>368</v>
      </c>
      <c r="B377" s="4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4"/>
      <c r="Y377" s="23"/>
      <c r="Z377" s="4" t="str">
        <f t="shared" si="6"/>
        <v/>
      </c>
      <c r="AA377" s="4" t="str">
        <f t="shared" si="7"/>
        <v/>
      </c>
      <c r="AB377" s="4" t="str">
        <f t="shared" si="8"/>
        <v/>
      </c>
      <c r="AC377" s="4">
        <v>0.53153554090032085</v>
      </c>
      <c r="AD377" s="4">
        <f t="shared" si="9"/>
        <v>-0.75829504122783087</v>
      </c>
      <c r="AE377" s="4" t="e">
        <f t="shared" si="10"/>
        <v>#VALUE!</v>
      </c>
      <c r="AF377" s="3" t="e">
        <f t="shared" si="11"/>
        <v>#VALUE!</v>
      </c>
      <c r="AG377" s="3"/>
      <c r="AH377" s="4"/>
      <c r="AI377" s="3"/>
      <c r="AJ377" s="3"/>
      <c r="AK377" s="3"/>
    </row>
    <row r="378" spans="1:37" ht="12.75" customHeight="1" x14ac:dyDescent="0.2">
      <c r="A378" s="14">
        <v>369</v>
      </c>
      <c r="B378" s="4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4"/>
      <c r="Y378" s="23"/>
      <c r="Z378" s="4" t="str">
        <f t="shared" si="6"/>
        <v/>
      </c>
      <c r="AA378" s="4" t="str">
        <f t="shared" si="7"/>
        <v/>
      </c>
      <c r="AB378" s="4" t="str">
        <f t="shared" si="8"/>
        <v/>
      </c>
      <c r="AC378" s="4">
        <v>0.53153554090032085</v>
      </c>
      <c r="AD378" s="4">
        <f t="shared" si="9"/>
        <v>-0.75829504122783087</v>
      </c>
      <c r="AE378" s="4" t="e">
        <f t="shared" si="10"/>
        <v>#VALUE!</v>
      </c>
      <c r="AF378" s="3" t="e">
        <f t="shared" si="11"/>
        <v>#VALUE!</v>
      </c>
      <c r="AG378" s="3"/>
      <c r="AH378" s="4"/>
      <c r="AI378" s="3"/>
      <c r="AJ378" s="3"/>
      <c r="AK378" s="3"/>
    </row>
    <row r="379" spans="1:37" ht="12.75" customHeight="1" x14ac:dyDescent="0.2">
      <c r="A379" s="14">
        <v>370</v>
      </c>
      <c r="B379" s="4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4"/>
      <c r="Y379" s="23"/>
      <c r="Z379" s="4" t="str">
        <f t="shared" si="6"/>
        <v/>
      </c>
      <c r="AA379" s="4" t="str">
        <f t="shared" si="7"/>
        <v/>
      </c>
      <c r="AB379" s="4" t="str">
        <f t="shared" si="8"/>
        <v/>
      </c>
      <c r="AC379" s="4">
        <v>0.53153554090032085</v>
      </c>
      <c r="AD379" s="4">
        <f t="shared" si="9"/>
        <v>-0.75829504122783087</v>
      </c>
      <c r="AE379" s="4" t="e">
        <f t="shared" si="10"/>
        <v>#VALUE!</v>
      </c>
      <c r="AF379" s="3" t="e">
        <f t="shared" si="11"/>
        <v>#VALUE!</v>
      </c>
      <c r="AG379" s="3"/>
      <c r="AH379" s="4"/>
      <c r="AI379" s="3"/>
      <c r="AJ379" s="3"/>
      <c r="AK379" s="3"/>
    </row>
    <row r="380" spans="1:37" ht="12.75" customHeight="1" x14ac:dyDescent="0.2">
      <c r="A380" s="14">
        <v>371</v>
      </c>
      <c r="B380" s="4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4"/>
      <c r="Y380" s="23"/>
      <c r="Z380" s="4" t="str">
        <f t="shared" si="6"/>
        <v/>
      </c>
      <c r="AA380" s="4" t="str">
        <f t="shared" si="7"/>
        <v/>
      </c>
      <c r="AB380" s="4" t="str">
        <f t="shared" si="8"/>
        <v/>
      </c>
      <c r="AC380" s="4">
        <v>0.53153554090032085</v>
      </c>
      <c r="AD380" s="4">
        <f t="shared" si="9"/>
        <v>-0.75829504122783087</v>
      </c>
      <c r="AE380" s="4" t="e">
        <f t="shared" si="10"/>
        <v>#VALUE!</v>
      </c>
      <c r="AF380" s="3" t="e">
        <f t="shared" si="11"/>
        <v>#VALUE!</v>
      </c>
      <c r="AG380" s="3"/>
      <c r="AH380" s="4"/>
      <c r="AI380" s="3"/>
      <c r="AJ380" s="3"/>
      <c r="AK380" s="3"/>
    </row>
    <row r="381" spans="1:37" ht="12.75" customHeight="1" x14ac:dyDescent="0.2">
      <c r="A381" s="14">
        <v>372</v>
      </c>
      <c r="B381" s="4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4"/>
      <c r="Y381" s="23"/>
      <c r="Z381" s="4" t="str">
        <f t="shared" si="6"/>
        <v/>
      </c>
      <c r="AA381" s="4" t="str">
        <f t="shared" si="7"/>
        <v/>
      </c>
      <c r="AB381" s="4" t="str">
        <f t="shared" si="8"/>
        <v/>
      </c>
      <c r="AC381" s="4">
        <v>0.53153554090032085</v>
      </c>
      <c r="AD381" s="4">
        <f t="shared" si="9"/>
        <v>-0.75829504122783087</v>
      </c>
      <c r="AE381" s="4" t="e">
        <f t="shared" si="10"/>
        <v>#VALUE!</v>
      </c>
      <c r="AF381" s="3" t="e">
        <f t="shared" si="11"/>
        <v>#VALUE!</v>
      </c>
      <c r="AG381" s="3"/>
      <c r="AH381" s="4"/>
      <c r="AI381" s="3"/>
      <c r="AJ381" s="3"/>
      <c r="AK381" s="3"/>
    </row>
    <row r="382" spans="1:37" ht="12.75" customHeight="1" x14ac:dyDescent="0.2">
      <c r="A382" s="14">
        <v>373</v>
      </c>
      <c r="B382" s="4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4"/>
      <c r="Y382" s="23"/>
      <c r="Z382" s="4" t="str">
        <f t="shared" si="6"/>
        <v/>
      </c>
      <c r="AA382" s="4" t="str">
        <f t="shared" si="7"/>
        <v/>
      </c>
      <c r="AB382" s="4" t="str">
        <f t="shared" si="8"/>
        <v/>
      </c>
      <c r="AC382" s="4">
        <v>0.53153554090032085</v>
      </c>
      <c r="AD382" s="4">
        <f t="shared" si="9"/>
        <v>-0.75829504122783087</v>
      </c>
      <c r="AE382" s="4" t="e">
        <f t="shared" si="10"/>
        <v>#VALUE!</v>
      </c>
      <c r="AF382" s="3" t="e">
        <f t="shared" si="11"/>
        <v>#VALUE!</v>
      </c>
      <c r="AG382" s="3"/>
      <c r="AH382" s="4"/>
      <c r="AI382" s="3"/>
      <c r="AJ382" s="3"/>
      <c r="AK382" s="3"/>
    </row>
    <row r="383" spans="1:37" ht="12.75" customHeight="1" x14ac:dyDescent="0.2">
      <c r="A383" s="14">
        <v>374</v>
      </c>
      <c r="B383" s="4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4"/>
      <c r="Y383" s="23"/>
      <c r="Z383" s="4" t="str">
        <f t="shared" si="6"/>
        <v/>
      </c>
      <c r="AA383" s="4" t="str">
        <f t="shared" si="7"/>
        <v/>
      </c>
      <c r="AB383" s="4" t="str">
        <f t="shared" si="8"/>
        <v/>
      </c>
      <c r="AC383" s="4">
        <v>0.53153554090032085</v>
      </c>
      <c r="AD383" s="4">
        <f t="shared" si="9"/>
        <v>-0.75829504122783087</v>
      </c>
      <c r="AE383" s="4" t="e">
        <f t="shared" si="10"/>
        <v>#VALUE!</v>
      </c>
      <c r="AF383" s="3" t="e">
        <f t="shared" si="11"/>
        <v>#VALUE!</v>
      </c>
      <c r="AG383" s="3"/>
      <c r="AH383" s="4"/>
      <c r="AI383" s="3"/>
      <c r="AJ383" s="3"/>
      <c r="AK383" s="3"/>
    </row>
    <row r="384" spans="1:37" ht="12.75" customHeight="1" x14ac:dyDescent="0.2">
      <c r="A384" s="14">
        <v>375</v>
      </c>
      <c r="B384" s="4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4"/>
      <c r="Y384" s="23"/>
      <c r="Z384" s="4" t="str">
        <f t="shared" si="6"/>
        <v/>
      </c>
      <c r="AA384" s="4" t="str">
        <f t="shared" si="7"/>
        <v/>
      </c>
      <c r="AB384" s="4" t="str">
        <f t="shared" si="8"/>
        <v/>
      </c>
      <c r="AC384" s="4">
        <v>0.53153554090032085</v>
      </c>
      <c r="AD384" s="4">
        <f t="shared" si="9"/>
        <v>-0.75829504122783087</v>
      </c>
      <c r="AE384" s="4" t="e">
        <f t="shared" si="10"/>
        <v>#VALUE!</v>
      </c>
      <c r="AF384" s="3" t="e">
        <f t="shared" si="11"/>
        <v>#VALUE!</v>
      </c>
      <c r="AG384" s="3"/>
      <c r="AH384" s="4"/>
      <c r="AI384" s="3"/>
      <c r="AJ384" s="3"/>
      <c r="AK384" s="3"/>
    </row>
    <row r="385" spans="1:37" ht="12.75" customHeight="1" x14ac:dyDescent="0.2">
      <c r="A385" s="14">
        <v>376</v>
      </c>
      <c r="B385" s="4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4"/>
      <c r="Y385" s="23"/>
      <c r="Z385" s="4" t="str">
        <f t="shared" si="6"/>
        <v/>
      </c>
      <c r="AA385" s="4" t="str">
        <f t="shared" si="7"/>
        <v/>
      </c>
      <c r="AB385" s="4" t="str">
        <f t="shared" si="8"/>
        <v/>
      </c>
      <c r="AC385" s="4">
        <v>0.53153554090032085</v>
      </c>
      <c r="AD385" s="4">
        <f t="shared" si="9"/>
        <v>-0.75829504122783087</v>
      </c>
      <c r="AE385" s="4" t="e">
        <f t="shared" si="10"/>
        <v>#VALUE!</v>
      </c>
      <c r="AF385" s="3" t="e">
        <f t="shared" si="11"/>
        <v>#VALUE!</v>
      </c>
      <c r="AG385" s="3"/>
      <c r="AH385" s="4"/>
      <c r="AI385" s="3"/>
      <c r="AJ385" s="3"/>
      <c r="AK385" s="3"/>
    </row>
    <row r="386" spans="1:37" ht="12.75" customHeight="1" x14ac:dyDescent="0.2">
      <c r="A386" s="14">
        <v>377</v>
      </c>
      <c r="B386" s="4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4"/>
      <c r="Y386" s="23"/>
      <c r="Z386" s="4" t="str">
        <f t="shared" si="6"/>
        <v/>
      </c>
      <c r="AA386" s="4" t="str">
        <f t="shared" si="7"/>
        <v/>
      </c>
      <c r="AB386" s="4" t="str">
        <f t="shared" si="8"/>
        <v/>
      </c>
      <c r="AC386" s="4">
        <v>0.53153554090032085</v>
      </c>
      <c r="AD386" s="4">
        <f t="shared" si="9"/>
        <v>-0.75829504122783087</v>
      </c>
      <c r="AE386" s="4" t="e">
        <f t="shared" si="10"/>
        <v>#VALUE!</v>
      </c>
      <c r="AF386" s="3" t="e">
        <f t="shared" si="11"/>
        <v>#VALUE!</v>
      </c>
      <c r="AG386" s="3"/>
      <c r="AH386" s="4"/>
      <c r="AI386" s="3"/>
      <c r="AJ386" s="3"/>
      <c r="AK386" s="3"/>
    </row>
    <row r="387" spans="1:37" ht="12.75" customHeight="1" x14ac:dyDescent="0.2">
      <c r="A387" s="14">
        <v>378</v>
      </c>
      <c r="B387" s="4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4"/>
      <c r="Y387" s="23"/>
      <c r="Z387" s="4" t="str">
        <f t="shared" si="6"/>
        <v/>
      </c>
      <c r="AA387" s="4" t="str">
        <f t="shared" si="7"/>
        <v/>
      </c>
      <c r="AB387" s="4" t="str">
        <f t="shared" si="8"/>
        <v/>
      </c>
      <c r="AC387" s="4">
        <v>0.53153554090032085</v>
      </c>
      <c r="AD387" s="4">
        <f t="shared" si="9"/>
        <v>-0.75829504122783087</v>
      </c>
      <c r="AE387" s="4" t="e">
        <f t="shared" si="10"/>
        <v>#VALUE!</v>
      </c>
      <c r="AF387" s="3" t="e">
        <f t="shared" si="11"/>
        <v>#VALUE!</v>
      </c>
      <c r="AG387" s="3"/>
      <c r="AH387" s="4"/>
      <c r="AI387" s="3"/>
      <c r="AJ387" s="3"/>
      <c r="AK387" s="3"/>
    </row>
    <row r="388" spans="1:37" ht="12.75" customHeight="1" x14ac:dyDescent="0.2">
      <c r="A388" s="14">
        <v>379</v>
      </c>
      <c r="B388" s="4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4"/>
      <c r="Y388" s="23"/>
      <c r="Z388" s="4" t="str">
        <f t="shared" si="6"/>
        <v/>
      </c>
      <c r="AA388" s="4" t="str">
        <f t="shared" si="7"/>
        <v/>
      </c>
      <c r="AB388" s="4" t="str">
        <f t="shared" si="8"/>
        <v/>
      </c>
      <c r="AC388" s="4">
        <v>0.53153554090032085</v>
      </c>
      <c r="AD388" s="4">
        <f t="shared" si="9"/>
        <v>-0.75829504122783087</v>
      </c>
      <c r="AE388" s="4" t="e">
        <f t="shared" si="10"/>
        <v>#VALUE!</v>
      </c>
      <c r="AF388" s="3" t="e">
        <f t="shared" si="11"/>
        <v>#VALUE!</v>
      </c>
      <c r="AG388" s="3"/>
      <c r="AH388" s="4"/>
      <c r="AI388" s="3"/>
      <c r="AJ388" s="3"/>
      <c r="AK388" s="3"/>
    </row>
    <row r="389" spans="1:37" ht="12.75" customHeight="1" x14ac:dyDescent="0.2">
      <c r="A389" s="14">
        <v>380</v>
      </c>
      <c r="B389" s="4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4"/>
      <c r="Y389" s="23"/>
      <c r="Z389" s="4" t="str">
        <f t="shared" si="6"/>
        <v/>
      </c>
      <c r="AA389" s="4" t="str">
        <f t="shared" si="7"/>
        <v/>
      </c>
      <c r="AB389" s="4" t="str">
        <f t="shared" si="8"/>
        <v/>
      </c>
      <c r="AC389" s="4">
        <v>0.53153554090032085</v>
      </c>
      <c r="AD389" s="4">
        <f t="shared" si="9"/>
        <v>-0.75829504122783087</v>
      </c>
      <c r="AE389" s="4" t="e">
        <f t="shared" si="10"/>
        <v>#VALUE!</v>
      </c>
      <c r="AF389" s="3" t="e">
        <f t="shared" si="11"/>
        <v>#VALUE!</v>
      </c>
      <c r="AG389" s="3"/>
      <c r="AH389" s="4"/>
      <c r="AI389" s="3"/>
      <c r="AJ389" s="3"/>
      <c r="AK389" s="3"/>
    </row>
    <row r="390" spans="1:37" ht="12.75" customHeight="1" x14ac:dyDescent="0.2">
      <c r="A390" s="14">
        <v>381</v>
      </c>
      <c r="B390" s="4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4"/>
      <c r="Y390" s="23"/>
      <c r="Z390" s="4" t="str">
        <f t="shared" si="6"/>
        <v/>
      </c>
      <c r="AA390" s="4" t="str">
        <f t="shared" si="7"/>
        <v/>
      </c>
      <c r="AB390" s="4" t="str">
        <f t="shared" si="8"/>
        <v/>
      </c>
      <c r="AC390" s="4">
        <v>0.53153554090032085</v>
      </c>
      <c r="AD390" s="4">
        <f t="shared" si="9"/>
        <v>-0.75829504122783087</v>
      </c>
      <c r="AE390" s="4" t="e">
        <f t="shared" si="10"/>
        <v>#VALUE!</v>
      </c>
      <c r="AF390" s="3" t="e">
        <f t="shared" si="11"/>
        <v>#VALUE!</v>
      </c>
      <c r="AG390" s="3"/>
      <c r="AH390" s="4"/>
      <c r="AI390" s="3"/>
      <c r="AJ390" s="3"/>
      <c r="AK390" s="3"/>
    </row>
    <row r="391" spans="1:37" ht="12.75" customHeight="1" x14ac:dyDescent="0.2">
      <c r="A391" s="14">
        <v>382</v>
      </c>
      <c r="B391" s="4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4"/>
      <c r="Y391" s="23"/>
      <c r="Z391" s="4" t="str">
        <f t="shared" si="6"/>
        <v/>
      </c>
      <c r="AA391" s="4" t="str">
        <f t="shared" si="7"/>
        <v/>
      </c>
      <c r="AB391" s="4" t="str">
        <f t="shared" si="8"/>
        <v/>
      </c>
      <c r="AC391" s="4">
        <v>0.53153554090032085</v>
      </c>
      <c r="AD391" s="4">
        <f t="shared" si="9"/>
        <v>-0.75829504122783087</v>
      </c>
      <c r="AE391" s="4" t="e">
        <f t="shared" si="10"/>
        <v>#VALUE!</v>
      </c>
      <c r="AF391" s="3" t="e">
        <f t="shared" si="11"/>
        <v>#VALUE!</v>
      </c>
      <c r="AG391" s="3"/>
      <c r="AH391" s="4"/>
      <c r="AI391" s="3"/>
      <c r="AJ391" s="3"/>
      <c r="AK391" s="3"/>
    </row>
    <row r="392" spans="1:37" ht="12.75" customHeight="1" x14ac:dyDescent="0.2">
      <c r="A392" s="14">
        <v>383</v>
      </c>
      <c r="B392" s="4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4"/>
      <c r="Y392" s="23"/>
      <c r="Z392" s="4" t="str">
        <f t="shared" si="6"/>
        <v/>
      </c>
      <c r="AA392" s="4" t="str">
        <f t="shared" si="7"/>
        <v/>
      </c>
      <c r="AB392" s="4" t="str">
        <f t="shared" si="8"/>
        <v/>
      </c>
      <c r="AC392" s="4">
        <v>0.53153554090032085</v>
      </c>
      <c r="AD392" s="4">
        <f t="shared" si="9"/>
        <v>-0.75829504122783087</v>
      </c>
      <c r="AE392" s="4" t="e">
        <f t="shared" si="10"/>
        <v>#VALUE!</v>
      </c>
      <c r="AF392" s="3" t="e">
        <f t="shared" si="11"/>
        <v>#VALUE!</v>
      </c>
      <c r="AG392" s="3"/>
      <c r="AH392" s="4"/>
      <c r="AI392" s="3"/>
      <c r="AJ392" s="3"/>
      <c r="AK392" s="3"/>
    </row>
    <row r="393" spans="1:37" ht="12.75" customHeight="1" x14ac:dyDescent="0.2">
      <c r="A393" s="14">
        <v>384</v>
      </c>
      <c r="B393" s="4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4"/>
      <c r="Y393" s="23"/>
      <c r="Z393" s="4" t="str">
        <f t="shared" si="6"/>
        <v/>
      </c>
      <c r="AA393" s="4" t="str">
        <f t="shared" si="7"/>
        <v/>
      </c>
      <c r="AB393" s="4" t="str">
        <f t="shared" si="8"/>
        <v/>
      </c>
      <c r="AC393" s="4">
        <v>0.53153554090032085</v>
      </c>
      <c r="AD393" s="4">
        <f t="shared" si="9"/>
        <v>-0.75829504122783087</v>
      </c>
      <c r="AE393" s="4" t="e">
        <f t="shared" si="10"/>
        <v>#VALUE!</v>
      </c>
      <c r="AF393" s="3" t="e">
        <f t="shared" si="11"/>
        <v>#VALUE!</v>
      </c>
      <c r="AG393" s="3"/>
      <c r="AH393" s="4"/>
      <c r="AI393" s="3"/>
      <c r="AJ393" s="3"/>
      <c r="AK393" s="3"/>
    </row>
    <row r="394" spans="1:37" ht="12.75" customHeight="1" x14ac:dyDescent="0.2">
      <c r="A394" s="14">
        <v>385</v>
      </c>
      <c r="B394" s="4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4"/>
      <c r="Y394" s="23"/>
      <c r="Z394" s="4" t="str">
        <f t="shared" si="6"/>
        <v/>
      </c>
      <c r="AA394" s="4" t="str">
        <f t="shared" si="7"/>
        <v/>
      </c>
      <c r="AB394" s="4" t="str">
        <f t="shared" si="8"/>
        <v/>
      </c>
      <c r="AC394" s="4">
        <v>0.53153554090032085</v>
      </c>
      <c r="AD394" s="4">
        <f t="shared" si="9"/>
        <v>-0.75829504122783087</v>
      </c>
      <c r="AE394" s="4" t="e">
        <f t="shared" si="10"/>
        <v>#VALUE!</v>
      </c>
      <c r="AF394" s="3" t="e">
        <f t="shared" si="11"/>
        <v>#VALUE!</v>
      </c>
      <c r="AG394" s="3"/>
      <c r="AH394" s="4"/>
      <c r="AI394" s="3"/>
      <c r="AJ394" s="3"/>
      <c r="AK394" s="3"/>
    </row>
    <row r="395" spans="1:37" ht="12.75" customHeight="1" x14ac:dyDescent="0.2">
      <c r="A395" s="14">
        <v>386</v>
      </c>
      <c r="B395" s="4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4"/>
      <c r="Y395" s="23"/>
      <c r="Z395" s="4" t="str">
        <f t="shared" si="6"/>
        <v/>
      </c>
      <c r="AA395" s="4" t="str">
        <f t="shared" si="7"/>
        <v/>
      </c>
      <c r="AB395" s="4" t="str">
        <f t="shared" si="8"/>
        <v/>
      </c>
      <c r="AC395" s="4">
        <v>0.53153554090032085</v>
      </c>
      <c r="AD395" s="4">
        <f t="shared" si="9"/>
        <v>-0.75829504122783087</v>
      </c>
      <c r="AE395" s="4" t="e">
        <f t="shared" si="10"/>
        <v>#VALUE!</v>
      </c>
      <c r="AF395" s="3" t="e">
        <f t="shared" si="11"/>
        <v>#VALUE!</v>
      </c>
      <c r="AG395" s="3"/>
      <c r="AH395" s="4"/>
      <c r="AI395" s="3"/>
      <c r="AJ395" s="3"/>
      <c r="AK395" s="3"/>
    </row>
    <row r="396" spans="1:37" ht="12.75" customHeight="1" x14ac:dyDescent="0.2">
      <c r="A396" s="14">
        <v>387</v>
      </c>
      <c r="B396" s="4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4"/>
      <c r="Y396" s="23"/>
      <c r="Z396" s="4" t="str">
        <f t="shared" si="6"/>
        <v/>
      </c>
      <c r="AA396" s="4" t="str">
        <f t="shared" si="7"/>
        <v/>
      </c>
      <c r="AB396" s="4" t="str">
        <f t="shared" si="8"/>
        <v/>
      </c>
      <c r="AC396" s="4">
        <v>0.53153554090032085</v>
      </c>
      <c r="AD396" s="4">
        <f t="shared" si="9"/>
        <v>-0.75829504122783087</v>
      </c>
      <c r="AE396" s="4" t="e">
        <f t="shared" si="10"/>
        <v>#VALUE!</v>
      </c>
      <c r="AF396" s="3" t="e">
        <f t="shared" si="11"/>
        <v>#VALUE!</v>
      </c>
      <c r="AG396" s="3"/>
      <c r="AH396" s="4"/>
      <c r="AI396" s="3"/>
      <c r="AJ396" s="3"/>
      <c r="AK396" s="3"/>
    </row>
    <row r="397" spans="1:37" ht="12.75" customHeight="1" x14ac:dyDescent="0.2">
      <c r="A397" s="14">
        <v>388</v>
      </c>
      <c r="B397" s="4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4"/>
      <c r="Y397" s="23"/>
      <c r="Z397" s="4" t="str">
        <f t="shared" si="6"/>
        <v/>
      </c>
      <c r="AA397" s="4" t="str">
        <f t="shared" si="7"/>
        <v/>
      </c>
      <c r="AB397" s="4" t="str">
        <f t="shared" si="8"/>
        <v/>
      </c>
      <c r="AC397" s="4">
        <v>0.53153554090032085</v>
      </c>
      <c r="AD397" s="4">
        <f t="shared" si="9"/>
        <v>-0.75829504122783087</v>
      </c>
      <c r="AE397" s="4" t="e">
        <f t="shared" si="10"/>
        <v>#VALUE!</v>
      </c>
      <c r="AF397" s="3" t="e">
        <f t="shared" si="11"/>
        <v>#VALUE!</v>
      </c>
      <c r="AG397" s="3"/>
      <c r="AH397" s="4"/>
      <c r="AI397" s="3"/>
      <c r="AJ397" s="3"/>
      <c r="AK397" s="3"/>
    </row>
    <row r="398" spans="1:37" ht="12.75" customHeight="1" x14ac:dyDescent="0.2">
      <c r="A398" s="14">
        <v>389</v>
      </c>
      <c r="B398" s="4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4"/>
      <c r="Y398" s="23"/>
      <c r="Z398" s="4" t="str">
        <f t="shared" si="6"/>
        <v/>
      </c>
      <c r="AA398" s="4" t="str">
        <f t="shared" si="7"/>
        <v/>
      </c>
      <c r="AB398" s="4" t="str">
        <f t="shared" si="8"/>
        <v/>
      </c>
      <c r="AC398" s="4">
        <v>0.53153554090032085</v>
      </c>
      <c r="AD398" s="4">
        <f t="shared" si="9"/>
        <v>-0.75829504122783087</v>
      </c>
      <c r="AE398" s="4" t="e">
        <f t="shared" si="10"/>
        <v>#VALUE!</v>
      </c>
      <c r="AF398" s="3" t="e">
        <f t="shared" si="11"/>
        <v>#VALUE!</v>
      </c>
      <c r="AG398" s="3"/>
      <c r="AH398" s="4"/>
      <c r="AI398" s="3"/>
      <c r="AJ398" s="3"/>
      <c r="AK398" s="3"/>
    </row>
    <row r="399" spans="1:37" ht="12.75" customHeight="1" x14ac:dyDescent="0.2">
      <c r="A399" s="14">
        <v>390</v>
      </c>
      <c r="B399" s="4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4"/>
      <c r="Y399" s="23"/>
      <c r="Z399" s="4" t="str">
        <f t="shared" si="6"/>
        <v/>
      </c>
      <c r="AA399" s="4" t="str">
        <f t="shared" si="7"/>
        <v/>
      </c>
      <c r="AB399" s="4" t="str">
        <f t="shared" si="8"/>
        <v/>
      </c>
      <c r="AC399" s="4">
        <v>0.53153554090032085</v>
      </c>
      <c r="AD399" s="4">
        <f t="shared" si="9"/>
        <v>-0.75829504122783087</v>
      </c>
      <c r="AE399" s="4" t="e">
        <f t="shared" si="10"/>
        <v>#VALUE!</v>
      </c>
      <c r="AF399" s="3" t="e">
        <f t="shared" si="11"/>
        <v>#VALUE!</v>
      </c>
      <c r="AG399" s="3"/>
      <c r="AH399" s="4"/>
      <c r="AI399" s="3"/>
      <c r="AJ399" s="3"/>
      <c r="AK399" s="3"/>
    </row>
    <row r="400" spans="1:37" ht="12.75" customHeight="1" x14ac:dyDescent="0.2">
      <c r="A400" s="14">
        <v>391</v>
      </c>
      <c r="B400" s="4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4"/>
      <c r="Y400" s="23"/>
      <c r="Z400" s="4" t="str">
        <f t="shared" si="6"/>
        <v/>
      </c>
      <c r="AA400" s="4" t="str">
        <f t="shared" si="7"/>
        <v/>
      </c>
      <c r="AB400" s="4" t="str">
        <f t="shared" si="8"/>
        <v/>
      </c>
      <c r="AC400" s="4">
        <v>0.53153554090032085</v>
      </c>
      <c r="AD400" s="4">
        <f t="shared" si="9"/>
        <v>-0.75829504122783087</v>
      </c>
      <c r="AE400" s="4" t="e">
        <f t="shared" si="10"/>
        <v>#VALUE!</v>
      </c>
      <c r="AF400" s="3" t="e">
        <f t="shared" si="11"/>
        <v>#VALUE!</v>
      </c>
      <c r="AG400" s="3"/>
      <c r="AH400" s="4"/>
      <c r="AI400" s="3"/>
      <c r="AJ400" s="3"/>
      <c r="AK400" s="3"/>
    </row>
    <row r="401" spans="1:37" ht="12.75" customHeight="1" x14ac:dyDescent="0.2">
      <c r="A401" s="14">
        <v>392</v>
      </c>
      <c r="B401" s="4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4"/>
      <c r="Y401" s="23"/>
      <c r="Z401" s="4" t="str">
        <f t="shared" si="6"/>
        <v/>
      </c>
      <c r="AA401" s="4" t="str">
        <f t="shared" si="7"/>
        <v/>
      </c>
      <c r="AB401" s="4" t="str">
        <f t="shared" si="8"/>
        <v/>
      </c>
      <c r="AC401" s="4">
        <v>0.53153554090032085</v>
      </c>
      <c r="AD401" s="4">
        <f t="shared" si="9"/>
        <v>-0.75829504122783087</v>
      </c>
      <c r="AE401" s="4" t="e">
        <f t="shared" si="10"/>
        <v>#VALUE!</v>
      </c>
      <c r="AF401" s="3" t="e">
        <f t="shared" si="11"/>
        <v>#VALUE!</v>
      </c>
      <c r="AG401" s="3"/>
      <c r="AH401" s="4"/>
      <c r="AI401" s="3"/>
      <c r="AJ401" s="3"/>
      <c r="AK401" s="3"/>
    </row>
    <row r="402" spans="1:37" ht="12.75" customHeight="1" x14ac:dyDescent="0.2">
      <c r="A402" s="14">
        <v>393</v>
      </c>
      <c r="B402" s="4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4"/>
      <c r="Y402" s="23"/>
      <c r="Z402" s="4" t="str">
        <f t="shared" si="6"/>
        <v/>
      </c>
      <c r="AA402" s="4" t="str">
        <f t="shared" si="7"/>
        <v/>
      </c>
      <c r="AB402" s="4" t="str">
        <f t="shared" si="8"/>
        <v/>
      </c>
      <c r="AC402" s="4">
        <v>0.53153554090032085</v>
      </c>
      <c r="AD402" s="4">
        <f t="shared" si="9"/>
        <v>-0.75829504122783087</v>
      </c>
      <c r="AE402" s="4" t="e">
        <f t="shared" si="10"/>
        <v>#VALUE!</v>
      </c>
      <c r="AF402" s="3" t="e">
        <f t="shared" si="11"/>
        <v>#VALUE!</v>
      </c>
      <c r="AG402" s="3"/>
      <c r="AH402" s="4"/>
      <c r="AI402" s="3"/>
      <c r="AJ402" s="3"/>
      <c r="AK402" s="3"/>
    </row>
    <row r="403" spans="1:37" ht="12.75" customHeight="1" x14ac:dyDescent="0.2">
      <c r="A403" s="14">
        <v>394</v>
      </c>
      <c r="B403" s="4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4"/>
      <c r="Y403" s="23"/>
      <c r="Z403" s="4" t="str">
        <f t="shared" si="6"/>
        <v/>
      </c>
      <c r="AA403" s="4" t="str">
        <f t="shared" si="7"/>
        <v/>
      </c>
      <c r="AB403" s="4" t="str">
        <f t="shared" si="8"/>
        <v/>
      </c>
      <c r="AC403" s="4">
        <v>0.53153554090032085</v>
      </c>
      <c r="AD403" s="4">
        <f t="shared" si="9"/>
        <v>-0.75829504122783087</v>
      </c>
      <c r="AE403" s="4" t="e">
        <f t="shared" si="10"/>
        <v>#VALUE!</v>
      </c>
      <c r="AF403" s="3" t="e">
        <f t="shared" si="11"/>
        <v>#VALUE!</v>
      </c>
      <c r="AG403" s="3"/>
      <c r="AH403" s="4"/>
      <c r="AI403" s="3"/>
      <c r="AJ403" s="3"/>
      <c r="AK403" s="3"/>
    </row>
    <row r="404" spans="1:37" ht="12.75" customHeight="1" x14ac:dyDescent="0.2">
      <c r="A404" s="14">
        <v>395</v>
      </c>
      <c r="B404" s="4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4"/>
      <c r="Y404" s="23"/>
      <c r="Z404" s="4" t="str">
        <f t="shared" si="6"/>
        <v/>
      </c>
      <c r="AA404" s="4" t="str">
        <f t="shared" si="7"/>
        <v/>
      </c>
      <c r="AB404" s="4" t="str">
        <f t="shared" si="8"/>
        <v/>
      </c>
      <c r="AC404" s="4">
        <v>0.53153554090032085</v>
      </c>
      <c r="AD404" s="4">
        <f t="shared" si="9"/>
        <v>-0.75829504122783087</v>
      </c>
      <c r="AE404" s="4" t="e">
        <f t="shared" si="10"/>
        <v>#VALUE!</v>
      </c>
      <c r="AF404" s="3" t="e">
        <f t="shared" si="11"/>
        <v>#VALUE!</v>
      </c>
      <c r="AG404" s="3"/>
      <c r="AH404" s="4"/>
      <c r="AI404" s="3"/>
      <c r="AJ404" s="3"/>
      <c r="AK404" s="3"/>
    </row>
    <row r="405" spans="1:37" ht="12.75" customHeight="1" x14ac:dyDescent="0.2">
      <c r="A405" s="14">
        <v>396</v>
      </c>
      <c r="B405" s="4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4"/>
      <c r="Y405" s="23"/>
      <c r="Z405" s="4" t="str">
        <f t="shared" si="6"/>
        <v/>
      </c>
      <c r="AA405" s="4" t="str">
        <f t="shared" si="7"/>
        <v/>
      </c>
      <c r="AB405" s="4" t="str">
        <f t="shared" si="8"/>
        <v/>
      </c>
      <c r="AC405" s="4">
        <v>0.53153554090032085</v>
      </c>
      <c r="AD405" s="4">
        <f t="shared" si="9"/>
        <v>-0.75829504122783087</v>
      </c>
      <c r="AE405" s="4" t="e">
        <f t="shared" si="10"/>
        <v>#VALUE!</v>
      </c>
      <c r="AF405" s="3" t="e">
        <f t="shared" si="11"/>
        <v>#VALUE!</v>
      </c>
      <c r="AG405" s="3"/>
      <c r="AH405" s="4"/>
      <c r="AI405" s="3"/>
      <c r="AJ405" s="3"/>
      <c r="AK405" s="3"/>
    </row>
    <row r="406" spans="1:37" ht="12.75" customHeight="1" x14ac:dyDescent="0.2">
      <c r="A406" s="14">
        <v>397</v>
      </c>
      <c r="B406" s="4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4"/>
      <c r="Y406" s="23"/>
      <c r="Z406" s="4" t="str">
        <f t="shared" si="6"/>
        <v/>
      </c>
      <c r="AA406" s="4" t="str">
        <f t="shared" si="7"/>
        <v/>
      </c>
      <c r="AB406" s="4" t="str">
        <f t="shared" si="8"/>
        <v/>
      </c>
      <c r="AC406" s="4">
        <v>0.53153554090032085</v>
      </c>
      <c r="AD406" s="4">
        <f t="shared" si="9"/>
        <v>-0.75829504122783087</v>
      </c>
      <c r="AE406" s="4" t="e">
        <f t="shared" si="10"/>
        <v>#VALUE!</v>
      </c>
      <c r="AF406" s="3" t="e">
        <f t="shared" si="11"/>
        <v>#VALUE!</v>
      </c>
      <c r="AG406" s="3"/>
      <c r="AH406" s="4"/>
      <c r="AI406" s="3"/>
      <c r="AJ406" s="3"/>
      <c r="AK406" s="3"/>
    </row>
    <row r="407" spans="1:37" ht="12.75" customHeight="1" x14ac:dyDescent="0.2">
      <c r="A407" s="14">
        <v>398</v>
      </c>
      <c r="B407" s="4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4"/>
      <c r="Y407" s="23"/>
      <c r="Z407" s="4" t="str">
        <f t="shared" si="6"/>
        <v/>
      </c>
      <c r="AA407" s="4" t="str">
        <f t="shared" si="7"/>
        <v/>
      </c>
      <c r="AB407" s="4" t="str">
        <f t="shared" si="8"/>
        <v/>
      </c>
      <c r="AC407" s="4">
        <v>0.53153554090032085</v>
      </c>
      <c r="AD407" s="4">
        <f t="shared" si="9"/>
        <v>-0.75829504122783087</v>
      </c>
      <c r="AE407" s="4" t="e">
        <f t="shared" si="10"/>
        <v>#VALUE!</v>
      </c>
      <c r="AF407" s="3" t="e">
        <f t="shared" si="11"/>
        <v>#VALUE!</v>
      </c>
      <c r="AG407" s="3"/>
      <c r="AH407" s="4"/>
      <c r="AI407" s="3"/>
      <c r="AJ407" s="3"/>
      <c r="AK407" s="3"/>
    </row>
    <row r="408" spans="1:37" ht="12.75" customHeight="1" x14ac:dyDescent="0.2">
      <c r="A408" s="14">
        <v>399</v>
      </c>
      <c r="B408" s="4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4"/>
      <c r="Y408" s="23"/>
      <c r="Z408" s="4" t="str">
        <f t="shared" si="6"/>
        <v/>
      </c>
      <c r="AA408" s="4" t="str">
        <f t="shared" si="7"/>
        <v/>
      </c>
      <c r="AB408" s="4" t="str">
        <f t="shared" si="8"/>
        <v/>
      </c>
      <c r="AC408" s="4">
        <v>0.53153554090032085</v>
      </c>
      <c r="AD408" s="4">
        <f t="shared" si="9"/>
        <v>-0.75829504122783087</v>
      </c>
      <c r="AE408" s="4" t="e">
        <f t="shared" si="10"/>
        <v>#VALUE!</v>
      </c>
      <c r="AF408" s="3" t="e">
        <f t="shared" si="11"/>
        <v>#VALUE!</v>
      </c>
      <c r="AG408" s="3"/>
      <c r="AH408" s="4"/>
      <c r="AI408" s="3"/>
      <c r="AJ408" s="3"/>
      <c r="AK408" s="3"/>
    </row>
    <row r="409" spans="1:37" ht="12.75" customHeight="1" x14ac:dyDescent="0.2">
      <c r="A409" s="14">
        <v>400</v>
      </c>
      <c r="B409" s="4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4"/>
      <c r="Y409" s="23"/>
      <c r="Z409" s="4" t="str">
        <f t="shared" si="6"/>
        <v/>
      </c>
      <c r="AA409" s="4" t="str">
        <f t="shared" si="7"/>
        <v/>
      </c>
      <c r="AB409" s="4" t="str">
        <f t="shared" si="8"/>
        <v/>
      </c>
      <c r="AC409" s="4">
        <v>0.53153554090032085</v>
      </c>
      <c r="AD409" s="4">
        <f t="shared" si="9"/>
        <v>-0.75829504122783087</v>
      </c>
      <c r="AE409" s="4" t="e">
        <f t="shared" si="10"/>
        <v>#VALUE!</v>
      </c>
      <c r="AF409" s="3" t="e">
        <f t="shared" si="11"/>
        <v>#VALUE!</v>
      </c>
      <c r="AG409" s="3"/>
      <c r="AH409" s="4"/>
      <c r="AI409" s="3"/>
      <c r="AJ409" s="3"/>
      <c r="AK409" s="3"/>
    </row>
    <row r="410" spans="1:37" ht="12.75" customHeight="1" x14ac:dyDescent="0.2">
      <c r="A410" s="14">
        <v>401</v>
      </c>
      <c r="B410" s="4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4"/>
      <c r="Y410" s="23"/>
      <c r="Z410" s="4" t="str">
        <f t="shared" si="6"/>
        <v/>
      </c>
      <c r="AA410" s="4" t="str">
        <f t="shared" si="7"/>
        <v/>
      </c>
      <c r="AB410" s="4" t="str">
        <f t="shared" si="8"/>
        <v/>
      </c>
      <c r="AC410" s="4">
        <v>0.53153554090032085</v>
      </c>
      <c r="AD410" s="4">
        <f t="shared" si="9"/>
        <v>-0.75829504122783087</v>
      </c>
      <c r="AE410" s="4" t="e">
        <f t="shared" si="10"/>
        <v>#VALUE!</v>
      </c>
      <c r="AF410" s="3" t="e">
        <f t="shared" si="11"/>
        <v>#VALUE!</v>
      </c>
      <c r="AG410" s="3"/>
      <c r="AH410" s="4"/>
      <c r="AI410" s="4"/>
      <c r="AJ410" s="4"/>
      <c r="AK410" s="3"/>
    </row>
    <row r="411" spans="1:37" ht="12.75" customHeight="1" x14ac:dyDescent="0.2">
      <c r="A411" s="14">
        <v>402</v>
      </c>
      <c r="B411" s="4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4"/>
      <c r="Y411" s="23"/>
      <c r="Z411" s="4" t="str">
        <f t="shared" si="6"/>
        <v/>
      </c>
      <c r="AA411" s="4" t="str">
        <f t="shared" si="7"/>
        <v/>
      </c>
      <c r="AB411" s="4" t="str">
        <f t="shared" si="8"/>
        <v/>
      </c>
      <c r="AC411" s="4">
        <v>0.53153554090032085</v>
      </c>
      <c r="AD411" s="4">
        <f t="shared" si="9"/>
        <v>-0.75829504122783087</v>
      </c>
      <c r="AE411" s="4" t="e">
        <f t="shared" si="10"/>
        <v>#VALUE!</v>
      </c>
      <c r="AF411" s="3" t="e">
        <f t="shared" si="11"/>
        <v>#VALUE!</v>
      </c>
      <c r="AG411" s="3"/>
      <c r="AH411" s="4"/>
      <c r="AI411" s="4"/>
      <c r="AJ411" s="4"/>
      <c r="AK411" s="3"/>
    </row>
    <row r="412" spans="1:37" ht="12.75" customHeight="1" x14ac:dyDescent="0.2">
      <c r="A412" s="14">
        <v>403</v>
      </c>
      <c r="B412" s="4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4"/>
      <c r="Y412" s="23"/>
      <c r="Z412" s="4" t="str">
        <f t="shared" si="6"/>
        <v/>
      </c>
      <c r="AA412" s="4" t="str">
        <f t="shared" si="7"/>
        <v/>
      </c>
      <c r="AB412" s="4" t="str">
        <f t="shared" si="8"/>
        <v/>
      </c>
      <c r="AC412" s="4">
        <v>0.53153554090032085</v>
      </c>
      <c r="AD412" s="4">
        <f t="shared" si="9"/>
        <v>-0.75829504122783087</v>
      </c>
      <c r="AE412" s="4" t="e">
        <f t="shared" si="10"/>
        <v>#VALUE!</v>
      </c>
      <c r="AF412" s="3" t="e">
        <f t="shared" si="11"/>
        <v>#VALUE!</v>
      </c>
      <c r="AG412" s="3"/>
      <c r="AH412" s="4"/>
      <c r="AI412" s="4"/>
      <c r="AJ412" s="4"/>
      <c r="AK412" s="3"/>
    </row>
    <row r="413" spans="1:37" ht="12.75" customHeight="1" x14ac:dyDescent="0.2">
      <c r="A413" s="14">
        <v>404</v>
      </c>
      <c r="B413" s="4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4"/>
      <c r="Y413" s="23"/>
      <c r="Z413" s="4" t="str">
        <f t="shared" si="6"/>
        <v/>
      </c>
      <c r="AA413" s="4" t="str">
        <f t="shared" si="7"/>
        <v/>
      </c>
      <c r="AB413" s="4" t="str">
        <f t="shared" si="8"/>
        <v/>
      </c>
      <c r="AC413" s="4">
        <v>0.53153554090032085</v>
      </c>
      <c r="AD413" s="4">
        <f t="shared" si="9"/>
        <v>-0.75829504122783087</v>
      </c>
      <c r="AE413" s="4" t="e">
        <f t="shared" si="10"/>
        <v>#VALUE!</v>
      </c>
      <c r="AF413" s="3" t="e">
        <f t="shared" si="11"/>
        <v>#VALUE!</v>
      </c>
      <c r="AG413" s="3"/>
      <c r="AH413" s="4"/>
      <c r="AI413" s="4"/>
      <c r="AJ413" s="4"/>
      <c r="AK413" s="3"/>
    </row>
    <row r="414" spans="1:37" ht="12.75" customHeight="1" x14ac:dyDescent="0.2">
      <c r="A414" s="14">
        <v>405</v>
      </c>
      <c r="B414" s="4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4"/>
      <c r="Y414" s="23"/>
      <c r="Z414" s="4" t="str">
        <f t="shared" si="6"/>
        <v/>
      </c>
      <c r="AA414" s="4" t="str">
        <f t="shared" si="7"/>
        <v/>
      </c>
      <c r="AB414" s="4" t="str">
        <f t="shared" si="8"/>
        <v/>
      </c>
      <c r="AC414" s="4">
        <v>0.53153554090032085</v>
      </c>
      <c r="AD414" s="4">
        <f t="shared" si="9"/>
        <v>-0.75829504122783087</v>
      </c>
      <c r="AE414" s="4" t="e">
        <f t="shared" si="10"/>
        <v>#VALUE!</v>
      </c>
      <c r="AF414" s="3" t="e">
        <f t="shared" si="11"/>
        <v>#VALUE!</v>
      </c>
      <c r="AG414" s="3"/>
      <c r="AH414" s="4"/>
      <c r="AI414" s="4"/>
      <c r="AJ414" s="4"/>
      <c r="AK414" s="3"/>
    </row>
    <row r="415" spans="1:37" ht="12.75" customHeight="1" x14ac:dyDescent="0.2">
      <c r="A415" s="14">
        <v>406</v>
      </c>
      <c r="B415" s="4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4"/>
      <c r="Y415" s="23"/>
      <c r="Z415" s="4" t="str">
        <f t="shared" si="6"/>
        <v/>
      </c>
      <c r="AA415" s="4" t="str">
        <f t="shared" si="7"/>
        <v/>
      </c>
      <c r="AB415" s="4" t="str">
        <f t="shared" si="8"/>
        <v/>
      </c>
      <c r="AC415" s="4">
        <v>0.53153554090032085</v>
      </c>
      <c r="AD415" s="4">
        <f t="shared" si="9"/>
        <v>-0.75829504122783087</v>
      </c>
      <c r="AE415" s="4" t="e">
        <f t="shared" si="10"/>
        <v>#VALUE!</v>
      </c>
      <c r="AF415" s="3" t="e">
        <f t="shared" si="11"/>
        <v>#VALUE!</v>
      </c>
      <c r="AG415" s="3"/>
      <c r="AH415" s="4"/>
      <c r="AI415" s="4"/>
      <c r="AJ415" s="4"/>
      <c r="AK415" s="3"/>
    </row>
    <row r="416" spans="1:37" ht="12.75" customHeight="1" x14ac:dyDescent="0.2">
      <c r="A416" s="14">
        <v>407</v>
      </c>
      <c r="B416" s="4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4"/>
      <c r="Y416" s="23"/>
      <c r="Z416" s="4" t="str">
        <f t="shared" si="6"/>
        <v/>
      </c>
      <c r="AA416" s="4" t="str">
        <f t="shared" si="7"/>
        <v/>
      </c>
      <c r="AB416" s="4" t="str">
        <f t="shared" si="8"/>
        <v/>
      </c>
      <c r="AC416" s="4">
        <v>0.53153554090032085</v>
      </c>
      <c r="AD416" s="4">
        <f t="shared" si="9"/>
        <v>-0.75829504122783087</v>
      </c>
      <c r="AE416" s="4" t="e">
        <f t="shared" si="10"/>
        <v>#VALUE!</v>
      </c>
      <c r="AF416" s="3" t="e">
        <f t="shared" si="11"/>
        <v>#VALUE!</v>
      </c>
      <c r="AG416" s="3"/>
      <c r="AH416" s="4"/>
      <c r="AI416" s="4"/>
      <c r="AJ416" s="4"/>
      <c r="AK416" s="3"/>
    </row>
    <row r="417" spans="1:37" ht="12.75" customHeight="1" x14ac:dyDescent="0.2">
      <c r="A417" s="14">
        <v>408</v>
      </c>
      <c r="B417" s="4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4"/>
      <c r="Y417" s="23"/>
      <c r="Z417" s="4" t="str">
        <f t="shared" si="6"/>
        <v/>
      </c>
      <c r="AA417" s="4" t="str">
        <f t="shared" si="7"/>
        <v/>
      </c>
      <c r="AB417" s="4" t="str">
        <f t="shared" si="8"/>
        <v/>
      </c>
      <c r="AC417" s="4">
        <v>0.53153554090032085</v>
      </c>
      <c r="AD417" s="4">
        <f t="shared" si="9"/>
        <v>-0.75829504122783087</v>
      </c>
      <c r="AE417" s="4" t="e">
        <f t="shared" si="10"/>
        <v>#VALUE!</v>
      </c>
      <c r="AF417" s="3" t="e">
        <f t="shared" si="11"/>
        <v>#VALUE!</v>
      </c>
      <c r="AG417" s="3"/>
      <c r="AH417" s="4"/>
      <c r="AI417" s="4"/>
      <c r="AJ417" s="4"/>
      <c r="AK417" s="3"/>
    </row>
    <row r="418" spans="1:37" ht="12.75" customHeight="1" x14ac:dyDescent="0.2">
      <c r="A418" s="14">
        <v>409</v>
      </c>
      <c r="B418" s="4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4"/>
      <c r="Y418" s="23"/>
      <c r="Z418" s="4" t="str">
        <f t="shared" si="6"/>
        <v/>
      </c>
      <c r="AA418" s="4" t="str">
        <f t="shared" si="7"/>
        <v/>
      </c>
      <c r="AB418" s="4" t="str">
        <f t="shared" si="8"/>
        <v/>
      </c>
      <c r="AC418" s="4">
        <v>0.53153554090032085</v>
      </c>
      <c r="AD418" s="4">
        <f t="shared" si="9"/>
        <v>-0.75829504122783087</v>
      </c>
      <c r="AE418" s="4" t="e">
        <f t="shared" si="10"/>
        <v>#VALUE!</v>
      </c>
      <c r="AF418" s="3" t="e">
        <f t="shared" si="11"/>
        <v>#VALUE!</v>
      </c>
      <c r="AG418" s="3"/>
      <c r="AH418" s="4"/>
      <c r="AI418" s="4"/>
      <c r="AJ418" s="4"/>
      <c r="AK418" s="3"/>
    </row>
    <row r="419" spans="1:37" ht="12.75" customHeight="1" x14ac:dyDescent="0.2">
      <c r="A419" s="14">
        <v>410</v>
      </c>
      <c r="B419" s="4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4"/>
      <c r="Y419" s="23"/>
      <c r="Z419" s="4" t="str">
        <f t="shared" si="6"/>
        <v/>
      </c>
      <c r="AA419" s="4" t="str">
        <f t="shared" si="7"/>
        <v/>
      </c>
      <c r="AB419" s="4" t="str">
        <f t="shared" si="8"/>
        <v/>
      </c>
      <c r="AC419" s="4">
        <v>0.53153554090032085</v>
      </c>
      <c r="AD419" s="4">
        <f t="shared" si="9"/>
        <v>-0.75829504122783087</v>
      </c>
      <c r="AE419" s="4" t="e">
        <f t="shared" si="10"/>
        <v>#VALUE!</v>
      </c>
      <c r="AF419" s="3" t="e">
        <f t="shared" si="11"/>
        <v>#VALUE!</v>
      </c>
      <c r="AG419" s="3"/>
      <c r="AH419" s="4"/>
      <c r="AI419" s="4"/>
      <c r="AJ419" s="4"/>
      <c r="AK419" s="3"/>
    </row>
    <row r="420" spans="1:37" ht="12.75" customHeight="1" x14ac:dyDescent="0.2">
      <c r="A420" s="14">
        <v>411</v>
      </c>
      <c r="B420" s="4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4"/>
      <c r="Y420" s="23"/>
      <c r="Z420" s="4" t="str">
        <f t="shared" si="6"/>
        <v/>
      </c>
      <c r="AA420" s="4" t="str">
        <f t="shared" si="7"/>
        <v/>
      </c>
      <c r="AB420" s="4" t="str">
        <f t="shared" si="8"/>
        <v/>
      </c>
      <c r="AC420" s="4">
        <v>0.53153554090032085</v>
      </c>
      <c r="AD420" s="4">
        <f t="shared" si="9"/>
        <v>-0.75829504122783087</v>
      </c>
      <c r="AE420" s="4" t="e">
        <f t="shared" si="10"/>
        <v>#VALUE!</v>
      </c>
      <c r="AF420" s="3" t="e">
        <f t="shared" si="11"/>
        <v>#VALUE!</v>
      </c>
      <c r="AG420" s="3"/>
      <c r="AH420" s="3"/>
      <c r="AI420" s="3"/>
      <c r="AJ420" s="3"/>
      <c r="AK420" s="3"/>
    </row>
    <row r="421" spans="1:37" ht="12.75" customHeight="1" x14ac:dyDescent="0.2">
      <c r="A421" s="14">
        <v>412</v>
      </c>
      <c r="B421" s="4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4"/>
      <c r="Y421" s="23"/>
      <c r="Z421" s="4" t="str">
        <f t="shared" si="6"/>
        <v/>
      </c>
      <c r="AA421" s="4" t="str">
        <f t="shared" si="7"/>
        <v/>
      </c>
      <c r="AB421" s="4" t="str">
        <f t="shared" si="8"/>
        <v/>
      </c>
      <c r="AC421" s="4">
        <v>0.53153554090032085</v>
      </c>
      <c r="AD421" s="4">
        <f t="shared" si="9"/>
        <v>-0.75829504122783087</v>
      </c>
      <c r="AE421" s="4" t="e">
        <f t="shared" si="10"/>
        <v>#VALUE!</v>
      </c>
      <c r="AF421" s="3" t="e">
        <f t="shared" si="11"/>
        <v>#VALUE!</v>
      </c>
      <c r="AG421" s="3"/>
      <c r="AH421" s="3"/>
      <c r="AI421" s="3"/>
      <c r="AJ421" s="3"/>
      <c r="AK421" s="3"/>
    </row>
    <row r="422" spans="1:37" ht="12.75" customHeight="1" x14ac:dyDescent="0.2">
      <c r="A422" s="14">
        <v>413</v>
      </c>
      <c r="B422" s="4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4"/>
      <c r="Y422" s="23"/>
      <c r="Z422" s="4" t="str">
        <f t="shared" si="6"/>
        <v/>
      </c>
      <c r="AA422" s="4" t="str">
        <f t="shared" si="7"/>
        <v/>
      </c>
      <c r="AB422" s="4" t="str">
        <f t="shared" si="8"/>
        <v/>
      </c>
      <c r="AC422" s="4">
        <v>0.53153554090032085</v>
      </c>
      <c r="AD422" s="4">
        <f t="shared" si="9"/>
        <v>-0.75829504122783087</v>
      </c>
      <c r="AE422" s="4" t="e">
        <f t="shared" si="10"/>
        <v>#VALUE!</v>
      </c>
      <c r="AF422" s="3" t="e">
        <f t="shared" si="11"/>
        <v>#VALUE!</v>
      </c>
      <c r="AG422" s="3"/>
      <c r="AH422" s="3"/>
      <c r="AI422" s="3"/>
      <c r="AJ422" s="3"/>
      <c r="AK422" s="3"/>
    </row>
    <row r="423" spans="1:37" ht="12.75" customHeight="1" x14ac:dyDescent="0.2">
      <c r="A423" s="14">
        <v>414</v>
      </c>
      <c r="B423" s="4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4"/>
      <c r="Y423" s="23"/>
      <c r="Z423" s="4" t="str">
        <f t="shared" si="6"/>
        <v/>
      </c>
      <c r="AA423" s="4" t="str">
        <f t="shared" si="7"/>
        <v/>
      </c>
      <c r="AB423" s="4" t="str">
        <f t="shared" si="8"/>
        <v/>
      </c>
      <c r="AC423" s="4">
        <v>0.53153554090032085</v>
      </c>
      <c r="AD423" s="4">
        <f t="shared" si="9"/>
        <v>-0.75829504122783087</v>
      </c>
      <c r="AE423" s="4" t="e">
        <f t="shared" si="10"/>
        <v>#VALUE!</v>
      </c>
      <c r="AF423" s="3" t="e">
        <f t="shared" si="11"/>
        <v>#VALUE!</v>
      </c>
      <c r="AG423" s="3"/>
      <c r="AH423" s="3"/>
      <c r="AI423" s="3"/>
      <c r="AJ423" s="3"/>
      <c r="AK423" s="3"/>
    </row>
    <row r="424" spans="1:37" ht="12.75" customHeight="1" x14ac:dyDescent="0.2">
      <c r="A424" s="14">
        <v>415</v>
      </c>
      <c r="B424" s="4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4"/>
      <c r="Y424" s="23"/>
      <c r="Z424" s="4" t="str">
        <f t="shared" si="6"/>
        <v/>
      </c>
      <c r="AA424" s="4" t="str">
        <f t="shared" si="7"/>
        <v/>
      </c>
      <c r="AB424" s="4" t="str">
        <f t="shared" si="8"/>
        <v/>
      </c>
      <c r="AC424" s="4">
        <v>0.53153554090032085</v>
      </c>
      <c r="AD424" s="4">
        <f t="shared" si="9"/>
        <v>-0.75829504122783087</v>
      </c>
      <c r="AE424" s="4" t="e">
        <f t="shared" si="10"/>
        <v>#VALUE!</v>
      </c>
      <c r="AF424" s="3" t="e">
        <f t="shared" si="11"/>
        <v>#VALUE!</v>
      </c>
      <c r="AG424" s="3"/>
      <c r="AH424" s="3"/>
      <c r="AI424" s="3"/>
      <c r="AJ424" s="3"/>
      <c r="AK424" s="3"/>
    </row>
    <row r="425" spans="1:37" ht="12.75" customHeight="1" x14ac:dyDescent="0.2">
      <c r="A425" s="14">
        <v>416</v>
      </c>
      <c r="B425" s="4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4"/>
      <c r="Y425" s="23"/>
      <c r="Z425" s="4" t="str">
        <f t="shared" si="6"/>
        <v/>
      </c>
      <c r="AA425" s="4" t="str">
        <f t="shared" si="7"/>
        <v/>
      </c>
      <c r="AB425" s="4" t="str">
        <f t="shared" si="8"/>
        <v/>
      </c>
      <c r="AC425" s="4">
        <v>0.53153554090032085</v>
      </c>
      <c r="AD425" s="4">
        <f t="shared" si="9"/>
        <v>-0.75829504122783087</v>
      </c>
      <c r="AE425" s="4" t="e">
        <f t="shared" si="10"/>
        <v>#VALUE!</v>
      </c>
      <c r="AF425" s="3" t="e">
        <f t="shared" si="11"/>
        <v>#VALUE!</v>
      </c>
      <c r="AG425" s="3"/>
      <c r="AH425" s="3"/>
      <c r="AI425" s="3"/>
      <c r="AJ425" s="3"/>
      <c r="AK425" s="3"/>
    </row>
    <row r="426" spans="1:37" ht="12.75" customHeight="1" x14ac:dyDescent="0.2">
      <c r="A426" s="14">
        <v>417</v>
      </c>
      <c r="B426" s="4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4"/>
      <c r="Y426" s="23"/>
      <c r="Z426" s="4" t="str">
        <f t="shared" si="6"/>
        <v/>
      </c>
      <c r="AA426" s="4" t="str">
        <f t="shared" si="7"/>
        <v/>
      </c>
      <c r="AB426" s="4" t="str">
        <f t="shared" si="8"/>
        <v/>
      </c>
      <c r="AC426" s="4">
        <v>0.53153554090032085</v>
      </c>
      <c r="AD426" s="4">
        <f t="shared" si="9"/>
        <v>-0.75829504122783087</v>
      </c>
      <c r="AE426" s="4" t="e">
        <f t="shared" si="10"/>
        <v>#VALUE!</v>
      </c>
      <c r="AF426" s="3" t="e">
        <f t="shared" si="11"/>
        <v>#VALUE!</v>
      </c>
      <c r="AG426" s="3"/>
      <c r="AH426" s="3"/>
      <c r="AI426" s="3"/>
      <c r="AJ426" s="3"/>
      <c r="AK426" s="3"/>
    </row>
    <row r="427" spans="1:37" ht="12.75" customHeight="1" x14ac:dyDescent="0.2">
      <c r="A427" s="14">
        <v>418</v>
      </c>
      <c r="B427" s="4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4"/>
      <c r="Y427" s="23"/>
      <c r="Z427" s="4" t="str">
        <f t="shared" si="6"/>
        <v/>
      </c>
      <c r="AA427" s="4" t="str">
        <f t="shared" si="7"/>
        <v/>
      </c>
      <c r="AB427" s="4" t="str">
        <f t="shared" si="8"/>
        <v/>
      </c>
      <c r="AC427" s="4">
        <v>0.53153554090032085</v>
      </c>
      <c r="AD427" s="4">
        <f t="shared" si="9"/>
        <v>-0.75829504122783087</v>
      </c>
      <c r="AE427" s="4" t="e">
        <f t="shared" si="10"/>
        <v>#VALUE!</v>
      </c>
      <c r="AF427" s="3" t="e">
        <f t="shared" si="11"/>
        <v>#VALUE!</v>
      </c>
      <c r="AG427" s="3"/>
      <c r="AH427" s="3"/>
      <c r="AI427" s="3"/>
      <c r="AJ427" s="3"/>
      <c r="AK427" s="3"/>
    </row>
    <row r="428" spans="1:37" ht="12.75" customHeight="1" x14ac:dyDescent="0.2">
      <c r="A428" s="14">
        <v>419</v>
      </c>
      <c r="B428" s="4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4"/>
      <c r="Y428" s="23"/>
      <c r="Z428" s="4" t="str">
        <f t="shared" si="6"/>
        <v/>
      </c>
      <c r="AA428" s="4" t="str">
        <f t="shared" si="7"/>
        <v/>
      </c>
      <c r="AB428" s="4" t="str">
        <f t="shared" si="8"/>
        <v/>
      </c>
      <c r="AC428" s="4">
        <v>0.53153554090032085</v>
      </c>
      <c r="AD428" s="4">
        <f t="shared" si="9"/>
        <v>-0.75829504122783087</v>
      </c>
      <c r="AE428" s="4" t="e">
        <f t="shared" si="10"/>
        <v>#VALUE!</v>
      </c>
      <c r="AF428" s="3" t="e">
        <f t="shared" si="11"/>
        <v>#VALUE!</v>
      </c>
      <c r="AG428" s="3"/>
      <c r="AH428" s="3"/>
      <c r="AI428" s="3"/>
      <c r="AJ428" s="3"/>
      <c r="AK428" s="3"/>
    </row>
    <row r="429" spans="1:37" ht="12.75" customHeight="1" x14ac:dyDescent="0.2">
      <c r="A429" s="14">
        <v>420</v>
      </c>
      <c r="B429" s="4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4"/>
      <c r="Y429" s="23"/>
      <c r="Z429" s="4" t="str">
        <f t="shared" si="6"/>
        <v/>
      </c>
      <c r="AA429" s="4" t="str">
        <f t="shared" si="7"/>
        <v/>
      </c>
      <c r="AB429" s="4" t="str">
        <f t="shared" si="8"/>
        <v/>
      </c>
      <c r="AC429" s="4">
        <v>0.53153554090032085</v>
      </c>
      <c r="AD429" s="4">
        <f t="shared" si="9"/>
        <v>-0.75829504122783087</v>
      </c>
      <c r="AE429" s="4" t="e">
        <f t="shared" si="10"/>
        <v>#VALUE!</v>
      </c>
      <c r="AF429" s="3" t="e">
        <f t="shared" si="11"/>
        <v>#VALUE!</v>
      </c>
      <c r="AG429" s="3"/>
      <c r="AH429" s="3"/>
      <c r="AI429" s="3"/>
      <c r="AJ429" s="3"/>
      <c r="AK429" s="3"/>
    </row>
    <row r="430" spans="1:37" ht="12.75" customHeight="1" x14ac:dyDescent="0.2">
      <c r="A430" s="14">
        <v>421</v>
      </c>
      <c r="B430" s="4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4"/>
      <c r="Y430" s="23"/>
      <c r="Z430" s="4" t="str">
        <f t="shared" si="6"/>
        <v/>
      </c>
      <c r="AA430" s="4" t="str">
        <f t="shared" si="7"/>
        <v/>
      </c>
      <c r="AB430" s="4" t="str">
        <f t="shared" si="8"/>
        <v/>
      </c>
      <c r="AC430" s="4">
        <v>0.53153554090032085</v>
      </c>
      <c r="AD430" s="4">
        <f t="shared" si="9"/>
        <v>-0.75829504122783087</v>
      </c>
      <c r="AE430" s="4" t="e">
        <f t="shared" si="10"/>
        <v>#VALUE!</v>
      </c>
      <c r="AF430" s="3" t="e">
        <f t="shared" si="11"/>
        <v>#VALUE!</v>
      </c>
      <c r="AG430" s="3"/>
      <c r="AH430" s="3"/>
      <c r="AI430" s="3"/>
      <c r="AJ430" s="3"/>
      <c r="AK430" s="3"/>
    </row>
    <row r="431" spans="1:37" ht="12.75" customHeight="1" x14ac:dyDescent="0.2">
      <c r="A431" s="14">
        <v>422</v>
      </c>
      <c r="B431" s="4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4"/>
      <c r="Y431" s="23"/>
      <c r="Z431" s="4" t="str">
        <f t="shared" si="6"/>
        <v/>
      </c>
      <c r="AA431" s="4" t="str">
        <f t="shared" si="7"/>
        <v/>
      </c>
      <c r="AB431" s="4" t="str">
        <f t="shared" si="8"/>
        <v/>
      </c>
      <c r="AC431" s="4">
        <v>0.53153554090032085</v>
      </c>
      <c r="AD431" s="4">
        <f t="shared" si="9"/>
        <v>-0.75829504122783087</v>
      </c>
      <c r="AE431" s="4" t="e">
        <f t="shared" si="10"/>
        <v>#VALUE!</v>
      </c>
      <c r="AF431" s="3" t="e">
        <f t="shared" si="11"/>
        <v>#VALUE!</v>
      </c>
      <c r="AG431" s="3"/>
      <c r="AH431" s="3"/>
      <c r="AI431" s="3"/>
      <c r="AJ431" s="3"/>
      <c r="AK431" s="3"/>
    </row>
    <row r="432" spans="1:37" ht="12.75" customHeight="1" x14ac:dyDescent="0.2">
      <c r="A432" s="14">
        <v>423</v>
      </c>
      <c r="B432" s="4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4"/>
      <c r="Y432" s="23"/>
      <c r="Z432" s="4" t="str">
        <f t="shared" si="6"/>
        <v/>
      </c>
      <c r="AA432" s="4" t="str">
        <f t="shared" si="7"/>
        <v/>
      </c>
      <c r="AB432" s="4" t="str">
        <f t="shared" si="8"/>
        <v/>
      </c>
      <c r="AC432" s="4">
        <v>0.53153554090032085</v>
      </c>
      <c r="AD432" s="4">
        <f t="shared" si="9"/>
        <v>-0.75829504122783087</v>
      </c>
      <c r="AE432" s="4" t="e">
        <f t="shared" si="10"/>
        <v>#VALUE!</v>
      </c>
      <c r="AF432" s="3" t="e">
        <f t="shared" si="11"/>
        <v>#VALUE!</v>
      </c>
      <c r="AG432" s="3"/>
      <c r="AH432" s="3"/>
      <c r="AI432" s="3"/>
      <c r="AJ432" s="3"/>
      <c r="AK432" s="3"/>
    </row>
    <row r="433" spans="1:37" ht="12.75" customHeight="1" x14ac:dyDescent="0.2">
      <c r="A433" s="14">
        <v>424</v>
      </c>
      <c r="B433" s="4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4"/>
      <c r="Y433" s="23"/>
      <c r="Z433" s="4" t="str">
        <f t="shared" si="6"/>
        <v/>
      </c>
      <c r="AA433" s="4" t="str">
        <f t="shared" si="7"/>
        <v/>
      </c>
      <c r="AB433" s="4" t="str">
        <f t="shared" si="8"/>
        <v/>
      </c>
      <c r="AC433" s="4">
        <v>0.53153554090032085</v>
      </c>
      <c r="AD433" s="4">
        <f t="shared" si="9"/>
        <v>-0.75829504122783087</v>
      </c>
      <c r="AE433" s="4" t="e">
        <f t="shared" si="10"/>
        <v>#VALUE!</v>
      </c>
      <c r="AF433" s="3" t="e">
        <f t="shared" si="11"/>
        <v>#VALUE!</v>
      </c>
      <c r="AG433" s="3"/>
      <c r="AH433" s="3"/>
      <c r="AI433" s="3"/>
      <c r="AJ433" s="3"/>
      <c r="AK433" s="3"/>
    </row>
    <row r="434" spans="1:37" ht="12.75" customHeight="1" x14ac:dyDescent="0.2">
      <c r="A434" s="14">
        <v>425</v>
      </c>
      <c r="B434" s="4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4"/>
      <c r="Y434" s="23"/>
      <c r="Z434" s="4" t="str">
        <f t="shared" si="6"/>
        <v/>
      </c>
      <c r="AA434" s="4" t="str">
        <f t="shared" si="7"/>
        <v/>
      </c>
      <c r="AB434" s="4" t="str">
        <f t="shared" si="8"/>
        <v/>
      </c>
      <c r="AC434" s="4">
        <v>0.53153554090032085</v>
      </c>
      <c r="AD434" s="4">
        <f t="shared" si="9"/>
        <v>-0.75829504122783087</v>
      </c>
      <c r="AE434" s="4" t="e">
        <f t="shared" si="10"/>
        <v>#VALUE!</v>
      </c>
      <c r="AF434" s="3" t="e">
        <f t="shared" si="11"/>
        <v>#VALUE!</v>
      </c>
      <c r="AG434" s="3"/>
      <c r="AH434" s="3"/>
      <c r="AI434" s="3"/>
      <c r="AJ434" s="3"/>
      <c r="AK434" s="3"/>
    </row>
    <row r="435" spans="1:37" ht="12.75" customHeight="1" x14ac:dyDescent="0.2">
      <c r="A435" s="14">
        <v>426</v>
      </c>
      <c r="B435" s="4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4"/>
      <c r="Y435" s="23"/>
      <c r="Z435" s="4" t="str">
        <f t="shared" si="6"/>
        <v/>
      </c>
      <c r="AA435" s="4" t="str">
        <f t="shared" si="7"/>
        <v/>
      </c>
      <c r="AB435" s="4" t="str">
        <f t="shared" si="8"/>
        <v/>
      </c>
      <c r="AC435" s="4">
        <v>0.53153554090032085</v>
      </c>
      <c r="AD435" s="4">
        <f t="shared" si="9"/>
        <v>-0.75829504122783087</v>
      </c>
      <c r="AE435" s="4" t="e">
        <f t="shared" si="10"/>
        <v>#VALUE!</v>
      </c>
      <c r="AF435" s="3" t="e">
        <f t="shared" si="11"/>
        <v>#VALUE!</v>
      </c>
      <c r="AG435" s="3"/>
      <c r="AH435" s="3"/>
      <c r="AI435" s="3"/>
      <c r="AJ435" s="3"/>
      <c r="AK435" s="3"/>
    </row>
    <row r="436" spans="1:37" ht="12.75" customHeight="1" x14ac:dyDescent="0.2">
      <c r="A436" s="14">
        <v>427</v>
      </c>
      <c r="B436" s="4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4"/>
      <c r="Y436" s="23"/>
      <c r="Z436" s="4" t="str">
        <f t="shared" si="6"/>
        <v/>
      </c>
      <c r="AA436" s="4" t="str">
        <f t="shared" si="7"/>
        <v/>
      </c>
      <c r="AB436" s="4" t="str">
        <f t="shared" si="8"/>
        <v/>
      </c>
      <c r="AC436" s="4">
        <v>0.53153554090032085</v>
      </c>
      <c r="AD436" s="4">
        <f t="shared" si="9"/>
        <v>-0.75829504122783087</v>
      </c>
      <c r="AE436" s="4" t="e">
        <f t="shared" si="10"/>
        <v>#VALUE!</v>
      </c>
      <c r="AF436" s="3" t="e">
        <f t="shared" si="11"/>
        <v>#VALUE!</v>
      </c>
      <c r="AG436" s="3"/>
      <c r="AH436" s="3"/>
      <c r="AI436" s="3"/>
      <c r="AJ436" s="3"/>
      <c r="AK436" s="3"/>
    </row>
    <row r="437" spans="1:37" ht="12.75" customHeight="1" x14ac:dyDescent="0.2">
      <c r="A437" s="14">
        <v>428</v>
      </c>
      <c r="B437" s="4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4"/>
      <c r="Y437" s="23"/>
      <c r="Z437" s="4" t="str">
        <f t="shared" si="6"/>
        <v/>
      </c>
      <c r="AA437" s="4" t="str">
        <f t="shared" si="7"/>
        <v/>
      </c>
      <c r="AB437" s="4" t="str">
        <f t="shared" si="8"/>
        <v/>
      </c>
      <c r="AC437" s="4">
        <v>0.53153554090032085</v>
      </c>
      <c r="AD437" s="4">
        <f t="shared" si="9"/>
        <v>-0.75829504122783087</v>
      </c>
      <c r="AE437" s="4" t="e">
        <f t="shared" si="10"/>
        <v>#VALUE!</v>
      </c>
      <c r="AF437" s="3" t="e">
        <f t="shared" si="11"/>
        <v>#VALUE!</v>
      </c>
      <c r="AG437" s="3"/>
      <c r="AH437" s="3"/>
      <c r="AI437" s="3"/>
      <c r="AJ437" s="3"/>
      <c r="AK437" s="3"/>
    </row>
    <row r="438" spans="1:37" ht="12.75" customHeight="1" x14ac:dyDescent="0.2">
      <c r="A438" s="14">
        <v>429</v>
      </c>
      <c r="B438" s="4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4"/>
      <c r="Y438" s="23"/>
      <c r="Z438" s="4" t="str">
        <f t="shared" si="6"/>
        <v/>
      </c>
      <c r="AA438" s="4" t="str">
        <f t="shared" si="7"/>
        <v/>
      </c>
      <c r="AB438" s="4" t="str">
        <f t="shared" si="8"/>
        <v/>
      </c>
      <c r="AC438" s="4">
        <v>0.53153554090032085</v>
      </c>
      <c r="AD438" s="4">
        <f t="shared" si="9"/>
        <v>-0.75829504122783087</v>
      </c>
      <c r="AE438" s="4" t="e">
        <f t="shared" si="10"/>
        <v>#VALUE!</v>
      </c>
      <c r="AF438" s="3" t="e">
        <f t="shared" si="11"/>
        <v>#VALUE!</v>
      </c>
      <c r="AG438" s="3"/>
      <c r="AH438" s="3"/>
      <c r="AI438" s="3"/>
      <c r="AJ438" s="3"/>
      <c r="AK438" s="3"/>
    </row>
    <row r="439" spans="1:37" ht="12.75" customHeight="1" x14ac:dyDescent="0.2">
      <c r="A439" s="14">
        <v>430</v>
      </c>
      <c r="B439" s="4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4"/>
      <c r="Y439" s="23"/>
      <c r="Z439" s="4" t="str">
        <f t="shared" si="6"/>
        <v/>
      </c>
      <c r="AA439" s="4" t="str">
        <f t="shared" si="7"/>
        <v/>
      </c>
      <c r="AB439" s="4" t="str">
        <f t="shared" si="8"/>
        <v/>
      </c>
      <c r="AC439" s="4">
        <v>0.53153554090032085</v>
      </c>
      <c r="AD439" s="4">
        <f t="shared" si="9"/>
        <v>-0.75829504122783087</v>
      </c>
      <c r="AE439" s="4" t="e">
        <f t="shared" si="10"/>
        <v>#VALUE!</v>
      </c>
      <c r="AF439" s="3" t="e">
        <f t="shared" si="11"/>
        <v>#VALUE!</v>
      </c>
      <c r="AG439" s="3"/>
      <c r="AH439" s="3"/>
      <c r="AI439" s="3"/>
      <c r="AJ439" s="3"/>
      <c r="AK439" s="3"/>
    </row>
    <row r="440" spans="1:37" ht="12.75" customHeight="1" x14ac:dyDescent="0.2">
      <c r="A440" s="14">
        <v>431</v>
      </c>
      <c r="B440" s="4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4"/>
      <c r="Y440" s="23"/>
      <c r="Z440" s="4" t="str">
        <f t="shared" si="6"/>
        <v/>
      </c>
      <c r="AA440" s="4" t="str">
        <f t="shared" si="7"/>
        <v/>
      </c>
      <c r="AB440" s="4" t="str">
        <f t="shared" si="8"/>
        <v/>
      </c>
      <c r="AC440" s="4">
        <v>0.53153554090032085</v>
      </c>
      <c r="AD440" s="4">
        <f t="shared" si="9"/>
        <v>-0.75829504122783087</v>
      </c>
      <c r="AE440" s="4" t="e">
        <f t="shared" si="10"/>
        <v>#VALUE!</v>
      </c>
      <c r="AF440" s="3" t="e">
        <f t="shared" si="11"/>
        <v>#VALUE!</v>
      </c>
      <c r="AG440" s="3"/>
      <c r="AH440" s="3"/>
      <c r="AI440" s="3"/>
      <c r="AJ440" s="3"/>
      <c r="AK440" s="3"/>
    </row>
    <row r="441" spans="1:37" ht="12.75" customHeight="1" x14ac:dyDescent="0.2">
      <c r="A441" s="14">
        <v>432</v>
      </c>
      <c r="B441" s="4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4"/>
      <c r="Y441" s="23"/>
      <c r="Z441" s="4" t="str">
        <f t="shared" si="6"/>
        <v/>
      </c>
      <c r="AA441" s="4" t="str">
        <f t="shared" si="7"/>
        <v/>
      </c>
      <c r="AB441" s="4" t="str">
        <f t="shared" si="8"/>
        <v/>
      </c>
      <c r="AC441" s="4">
        <v>0.53153554090032085</v>
      </c>
      <c r="AD441" s="4">
        <f t="shared" si="9"/>
        <v>-0.75829504122783087</v>
      </c>
      <c r="AE441" s="4" t="e">
        <f t="shared" si="10"/>
        <v>#VALUE!</v>
      </c>
      <c r="AF441" s="3" t="e">
        <f t="shared" si="11"/>
        <v>#VALUE!</v>
      </c>
      <c r="AG441" s="3"/>
      <c r="AH441" s="3"/>
      <c r="AI441" s="3"/>
      <c r="AJ441" s="3"/>
      <c r="AK441" s="3"/>
    </row>
    <row r="442" spans="1:37" ht="12.75" customHeight="1" x14ac:dyDescent="0.2">
      <c r="A442" s="14">
        <v>433</v>
      </c>
      <c r="B442" s="4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4"/>
      <c r="Y442" s="23"/>
      <c r="Z442" s="4" t="str">
        <f t="shared" si="6"/>
        <v/>
      </c>
      <c r="AA442" s="4" t="str">
        <f t="shared" si="7"/>
        <v/>
      </c>
      <c r="AB442" s="4" t="str">
        <f t="shared" si="8"/>
        <v/>
      </c>
      <c r="AC442" s="4">
        <v>0.53153554090032085</v>
      </c>
      <c r="AD442" s="4">
        <f t="shared" si="9"/>
        <v>-0.75829504122783087</v>
      </c>
      <c r="AE442" s="4" t="e">
        <f t="shared" si="10"/>
        <v>#VALUE!</v>
      </c>
      <c r="AF442" s="3" t="e">
        <f t="shared" si="11"/>
        <v>#VALUE!</v>
      </c>
      <c r="AG442" s="3"/>
      <c r="AH442" s="3"/>
      <c r="AI442" s="3"/>
      <c r="AJ442" s="3"/>
      <c r="AK442" s="3"/>
    </row>
    <row r="443" spans="1:37" ht="12.75" customHeight="1" x14ac:dyDescent="0.2">
      <c r="A443" s="14">
        <v>434</v>
      </c>
      <c r="B443" s="4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4"/>
      <c r="Y443" s="23"/>
      <c r="Z443" s="4" t="str">
        <f t="shared" si="6"/>
        <v/>
      </c>
      <c r="AA443" s="4" t="str">
        <f t="shared" si="7"/>
        <v/>
      </c>
      <c r="AB443" s="4" t="str">
        <f t="shared" si="8"/>
        <v/>
      </c>
      <c r="AC443" s="4">
        <v>0.53153554090032085</v>
      </c>
      <c r="AD443" s="4">
        <f t="shared" si="9"/>
        <v>-0.75829504122783087</v>
      </c>
      <c r="AE443" s="4" t="e">
        <f t="shared" si="10"/>
        <v>#VALUE!</v>
      </c>
      <c r="AF443" s="3" t="e">
        <f t="shared" si="11"/>
        <v>#VALUE!</v>
      </c>
      <c r="AG443" s="3"/>
      <c r="AH443" s="3"/>
      <c r="AI443" s="3"/>
      <c r="AJ443" s="3"/>
      <c r="AK443" s="3"/>
    </row>
    <row r="444" spans="1:37" ht="12.75" customHeight="1" x14ac:dyDescent="0.2">
      <c r="A444" s="14">
        <v>435</v>
      </c>
      <c r="B444" s="4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4"/>
      <c r="Y444" s="23"/>
      <c r="Z444" s="4" t="str">
        <f t="shared" si="6"/>
        <v/>
      </c>
      <c r="AA444" s="4" t="str">
        <f t="shared" si="7"/>
        <v/>
      </c>
      <c r="AB444" s="4" t="str">
        <f t="shared" si="8"/>
        <v/>
      </c>
      <c r="AC444" s="4">
        <v>0.53153554090032085</v>
      </c>
      <c r="AD444" s="4">
        <f t="shared" si="9"/>
        <v>-0.75829504122783087</v>
      </c>
      <c r="AE444" s="4" t="e">
        <f t="shared" si="10"/>
        <v>#VALUE!</v>
      </c>
      <c r="AF444" s="3" t="e">
        <f t="shared" si="11"/>
        <v>#VALUE!</v>
      </c>
      <c r="AG444" s="3"/>
      <c r="AH444" s="3"/>
      <c r="AI444" s="3"/>
      <c r="AJ444" s="3"/>
      <c r="AK444" s="3"/>
    </row>
    <row r="445" spans="1:37" ht="12.75" customHeight="1" x14ac:dyDescent="0.2">
      <c r="A445" s="14">
        <v>436</v>
      </c>
      <c r="B445" s="4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4"/>
      <c r="Y445" s="23"/>
      <c r="Z445" s="4" t="str">
        <f t="shared" si="6"/>
        <v/>
      </c>
      <c r="AA445" s="4" t="str">
        <f t="shared" si="7"/>
        <v/>
      </c>
      <c r="AB445" s="4" t="str">
        <f t="shared" si="8"/>
        <v/>
      </c>
      <c r="AC445" s="4">
        <v>0.53153554090032085</v>
      </c>
      <c r="AD445" s="4">
        <f t="shared" si="9"/>
        <v>-0.75829504122783087</v>
      </c>
      <c r="AE445" s="4" t="e">
        <f t="shared" si="10"/>
        <v>#VALUE!</v>
      </c>
      <c r="AF445" s="3" t="e">
        <f t="shared" si="11"/>
        <v>#VALUE!</v>
      </c>
      <c r="AG445" s="3"/>
      <c r="AH445" s="3"/>
      <c r="AI445" s="3"/>
      <c r="AJ445" s="3"/>
      <c r="AK445" s="3"/>
    </row>
    <row r="446" spans="1:37" ht="12.75" customHeight="1" x14ac:dyDescent="0.2">
      <c r="A446" s="14">
        <v>437</v>
      </c>
      <c r="B446" s="4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4"/>
      <c r="Y446" s="23"/>
      <c r="Z446" s="4" t="str">
        <f t="shared" si="6"/>
        <v/>
      </c>
      <c r="AA446" s="4" t="str">
        <f t="shared" si="7"/>
        <v/>
      </c>
      <c r="AB446" s="4" t="str">
        <f t="shared" si="8"/>
        <v/>
      </c>
      <c r="AC446" s="4">
        <v>0.53153554090032085</v>
      </c>
      <c r="AD446" s="4">
        <f t="shared" si="9"/>
        <v>-0.75829504122783087</v>
      </c>
      <c r="AE446" s="4" t="e">
        <f t="shared" si="10"/>
        <v>#VALUE!</v>
      </c>
      <c r="AF446" s="3" t="e">
        <f t="shared" si="11"/>
        <v>#VALUE!</v>
      </c>
      <c r="AG446" s="3"/>
      <c r="AH446" s="3"/>
      <c r="AI446" s="3"/>
      <c r="AJ446" s="3"/>
      <c r="AK446" s="3"/>
    </row>
    <row r="447" spans="1:37" ht="12.75" customHeight="1" x14ac:dyDescent="0.2">
      <c r="A447" s="14">
        <v>438</v>
      </c>
      <c r="B447" s="4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4"/>
      <c r="Y447" s="23"/>
      <c r="Z447" s="4" t="str">
        <f t="shared" si="6"/>
        <v/>
      </c>
      <c r="AA447" s="4" t="str">
        <f t="shared" si="7"/>
        <v/>
      </c>
      <c r="AB447" s="4" t="str">
        <f t="shared" si="8"/>
        <v/>
      </c>
      <c r="AC447" s="4">
        <v>0.53153554090032085</v>
      </c>
      <c r="AD447" s="4">
        <f t="shared" si="9"/>
        <v>-0.75829504122783087</v>
      </c>
      <c r="AE447" s="4" t="e">
        <f t="shared" si="10"/>
        <v>#VALUE!</v>
      </c>
      <c r="AF447" s="3" t="e">
        <f t="shared" si="11"/>
        <v>#VALUE!</v>
      </c>
      <c r="AG447" s="3"/>
      <c r="AH447" s="3"/>
      <c r="AI447" s="3"/>
      <c r="AJ447" s="3"/>
      <c r="AK447" s="3"/>
    </row>
    <row r="448" spans="1:37" ht="12.75" customHeight="1" x14ac:dyDescent="0.2">
      <c r="A448" s="14">
        <v>439</v>
      </c>
      <c r="B448" s="4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4"/>
      <c r="Y448" s="23"/>
      <c r="Z448" s="4" t="str">
        <f t="shared" si="6"/>
        <v/>
      </c>
      <c r="AA448" s="4" t="str">
        <f t="shared" si="7"/>
        <v/>
      </c>
      <c r="AB448" s="4" t="str">
        <f t="shared" si="8"/>
        <v/>
      </c>
      <c r="AC448" s="4">
        <v>0.53153554090032085</v>
      </c>
      <c r="AD448" s="4">
        <f t="shared" si="9"/>
        <v>-0.75829504122783087</v>
      </c>
      <c r="AE448" s="4" t="e">
        <f t="shared" si="10"/>
        <v>#VALUE!</v>
      </c>
      <c r="AF448" s="3" t="e">
        <f t="shared" si="11"/>
        <v>#VALUE!</v>
      </c>
      <c r="AG448" s="3"/>
      <c r="AH448" s="3"/>
      <c r="AI448" s="3"/>
      <c r="AJ448" s="3"/>
      <c r="AK448" s="3"/>
    </row>
    <row r="449" spans="1:37" ht="12.75" customHeight="1" x14ac:dyDescent="0.2">
      <c r="A449" s="14">
        <v>440</v>
      </c>
      <c r="B449" s="4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4"/>
      <c r="Y449" s="23"/>
      <c r="Z449" s="4" t="str">
        <f t="shared" si="6"/>
        <v/>
      </c>
      <c r="AA449" s="4" t="str">
        <f t="shared" si="7"/>
        <v/>
      </c>
      <c r="AB449" s="4" t="str">
        <f t="shared" si="8"/>
        <v/>
      </c>
      <c r="AC449" s="4">
        <v>0.53153554090032085</v>
      </c>
      <c r="AD449" s="4">
        <f t="shared" si="9"/>
        <v>-0.75829504122783087</v>
      </c>
      <c r="AE449" s="4" t="e">
        <f t="shared" si="10"/>
        <v>#VALUE!</v>
      </c>
      <c r="AF449" s="3" t="e">
        <f t="shared" si="11"/>
        <v>#VALUE!</v>
      </c>
      <c r="AG449" s="3"/>
      <c r="AH449" s="3"/>
      <c r="AI449" s="3"/>
      <c r="AJ449" s="3"/>
      <c r="AK449" s="3"/>
    </row>
    <row r="450" spans="1:37" ht="12.75" customHeight="1" x14ac:dyDescent="0.2">
      <c r="A450" s="14">
        <v>441</v>
      </c>
      <c r="B450" s="4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4"/>
      <c r="Y450" s="23"/>
      <c r="Z450" s="4" t="str">
        <f t="shared" si="6"/>
        <v/>
      </c>
      <c r="AA450" s="4" t="str">
        <f t="shared" si="7"/>
        <v/>
      </c>
      <c r="AB450" s="4" t="str">
        <f t="shared" si="8"/>
        <v/>
      </c>
      <c r="AC450" s="4">
        <v>0.53153554090032085</v>
      </c>
      <c r="AD450" s="4">
        <f t="shared" si="9"/>
        <v>-0.75829504122783087</v>
      </c>
      <c r="AE450" s="4" t="e">
        <f t="shared" si="10"/>
        <v>#VALUE!</v>
      </c>
      <c r="AF450" s="3" t="e">
        <f t="shared" si="11"/>
        <v>#VALUE!</v>
      </c>
      <c r="AG450" s="3"/>
      <c r="AH450" s="3"/>
      <c r="AI450" s="3"/>
      <c r="AJ450" s="3"/>
      <c r="AK450" s="3"/>
    </row>
    <row r="451" spans="1:37" ht="12.75" customHeight="1" x14ac:dyDescent="0.2">
      <c r="A451" s="14">
        <v>442</v>
      </c>
      <c r="B451" s="4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4"/>
      <c r="Y451" s="23"/>
      <c r="Z451" s="4" t="str">
        <f t="shared" si="6"/>
        <v/>
      </c>
      <c r="AA451" s="4" t="str">
        <f t="shared" si="7"/>
        <v/>
      </c>
      <c r="AB451" s="4" t="str">
        <f t="shared" si="8"/>
        <v/>
      </c>
      <c r="AC451" s="4">
        <v>0.53153554090032085</v>
      </c>
      <c r="AD451" s="4">
        <f t="shared" si="9"/>
        <v>-0.75829504122783087</v>
      </c>
      <c r="AE451" s="4" t="e">
        <f t="shared" si="10"/>
        <v>#VALUE!</v>
      </c>
      <c r="AF451" s="3" t="e">
        <f t="shared" si="11"/>
        <v>#VALUE!</v>
      </c>
      <c r="AG451" s="3"/>
      <c r="AH451" s="3"/>
      <c r="AI451" s="3"/>
      <c r="AJ451" s="3"/>
      <c r="AK451" s="3"/>
    </row>
    <row r="452" spans="1:37" ht="12.75" customHeight="1" x14ac:dyDescent="0.2">
      <c r="A452" s="14">
        <v>443</v>
      </c>
      <c r="B452" s="4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4"/>
      <c r="Y452" s="23"/>
      <c r="Z452" s="4" t="str">
        <f t="shared" si="6"/>
        <v/>
      </c>
      <c r="AA452" s="4" t="str">
        <f t="shared" si="7"/>
        <v/>
      </c>
      <c r="AB452" s="4" t="str">
        <f t="shared" si="8"/>
        <v/>
      </c>
      <c r="AC452" s="4">
        <v>0.53153554090032085</v>
      </c>
      <c r="AD452" s="4">
        <f t="shared" si="9"/>
        <v>-0.75829504122783087</v>
      </c>
      <c r="AE452" s="4" t="e">
        <f t="shared" si="10"/>
        <v>#VALUE!</v>
      </c>
      <c r="AF452" s="3" t="e">
        <f t="shared" si="11"/>
        <v>#VALUE!</v>
      </c>
      <c r="AG452" s="3"/>
      <c r="AH452" s="3"/>
      <c r="AI452" s="3"/>
      <c r="AJ452" s="3"/>
      <c r="AK452" s="3"/>
    </row>
    <row r="453" spans="1:37" ht="12.75" customHeight="1" x14ac:dyDescent="0.2">
      <c r="A453" s="14">
        <v>444</v>
      </c>
      <c r="B453" s="4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4"/>
      <c r="Y453" s="23"/>
      <c r="Z453" s="4" t="str">
        <f t="shared" si="6"/>
        <v/>
      </c>
      <c r="AA453" s="4" t="str">
        <f t="shared" si="7"/>
        <v/>
      </c>
      <c r="AB453" s="4" t="str">
        <f t="shared" si="8"/>
        <v/>
      </c>
      <c r="AC453" s="4">
        <v>0.53153554090032085</v>
      </c>
      <c r="AD453" s="4">
        <f t="shared" si="9"/>
        <v>-0.75829504122783087</v>
      </c>
      <c r="AE453" s="4" t="e">
        <f t="shared" si="10"/>
        <v>#VALUE!</v>
      </c>
      <c r="AF453" s="3" t="e">
        <f t="shared" si="11"/>
        <v>#VALUE!</v>
      </c>
      <c r="AG453" s="3"/>
      <c r="AH453" s="3"/>
      <c r="AI453" s="3"/>
      <c r="AJ453" s="3"/>
      <c r="AK453" s="3"/>
    </row>
    <row r="454" spans="1:37" ht="12.75" customHeight="1" x14ac:dyDescent="0.2">
      <c r="A454" s="14">
        <v>445</v>
      </c>
      <c r="B454" s="4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4"/>
      <c r="Y454" s="23"/>
      <c r="Z454" s="4" t="str">
        <f t="shared" si="6"/>
        <v/>
      </c>
      <c r="AA454" s="4" t="str">
        <f t="shared" si="7"/>
        <v/>
      </c>
      <c r="AB454" s="4" t="str">
        <f t="shared" si="8"/>
        <v/>
      </c>
      <c r="AC454" s="4">
        <v>0.53153554090032085</v>
      </c>
      <c r="AD454" s="4">
        <f t="shared" si="9"/>
        <v>-0.75829504122783087</v>
      </c>
      <c r="AE454" s="4" t="e">
        <f t="shared" si="10"/>
        <v>#VALUE!</v>
      </c>
      <c r="AF454" s="3" t="e">
        <f t="shared" si="11"/>
        <v>#VALUE!</v>
      </c>
      <c r="AG454" s="3"/>
      <c r="AH454" s="3"/>
      <c r="AI454" s="3"/>
      <c r="AJ454" s="3"/>
      <c r="AK454" s="3"/>
    </row>
    <row r="455" spans="1:37" ht="12.75" customHeight="1" x14ac:dyDescent="0.2">
      <c r="A455" s="14">
        <v>446</v>
      </c>
      <c r="B455" s="4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4"/>
      <c r="Y455" s="23"/>
      <c r="Z455" s="4" t="str">
        <f t="shared" si="6"/>
        <v/>
      </c>
      <c r="AA455" s="4" t="str">
        <f t="shared" si="7"/>
        <v/>
      </c>
      <c r="AB455" s="4" t="str">
        <f t="shared" si="8"/>
        <v/>
      </c>
      <c r="AC455" s="4">
        <v>0.53153554090032085</v>
      </c>
      <c r="AD455" s="4">
        <f t="shared" si="9"/>
        <v>-0.75829504122783087</v>
      </c>
      <c r="AE455" s="4" t="e">
        <f t="shared" si="10"/>
        <v>#VALUE!</v>
      </c>
      <c r="AF455" s="3" t="e">
        <f t="shared" si="11"/>
        <v>#VALUE!</v>
      </c>
      <c r="AG455" s="3"/>
      <c r="AH455" s="3"/>
      <c r="AI455" s="3"/>
      <c r="AJ455" s="3"/>
      <c r="AK455" s="3"/>
    </row>
    <row r="456" spans="1:37" ht="12.75" customHeight="1" x14ac:dyDescent="0.2">
      <c r="A456" s="14">
        <v>447</v>
      </c>
      <c r="B456" s="4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4"/>
      <c r="Y456" s="23"/>
      <c r="Z456" s="4" t="str">
        <f t="shared" si="6"/>
        <v/>
      </c>
      <c r="AA456" s="4" t="str">
        <f t="shared" si="7"/>
        <v/>
      </c>
      <c r="AB456" s="4" t="str">
        <f t="shared" si="8"/>
        <v/>
      </c>
      <c r="AC456" s="4">
        <v>0.53153554090032085</v>
      </c>
      <c r="AD456" s="4">
        <f t="shared" si="9"/>
        <v>-0.75829504122783087</v>
      </c>
      <c r="AE456" s="4" t="e">
        <f t="shared" si="10"/>
        <v>#VALUE!</v>
      </c>
      <c r="AF456" s="3" t="e">
        <f t="shared" si="11"/>
        <v>#VALUE!</v>
      </c>
      <c r="AG456" s="3"/>
      <c r="AH456" s="3"/>
      <c r="AI456" s="3"/>
      <c r="AJ456" s="3"/>
      <c r="AK456" s="3"/>
    </row>
    <row r="457" spans="1:37" ht="12.75" customHeight="1" x14ac:dyDescent="0.2">
      <c r="A457" s="14">
        <v>448</v>
      </c>
      <c r="B457" s="4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4"/>
      <c r="Y457" s="23"/>
      <c r="Z457" s="4" t="str">
        <f t="shared" si="6"/>
        <v/>
      </c>
      <c r="AA457" s="4" t="str">
        <f t="shared" si="7"/>
        <v/>
      </c>
      <c r="AB457" s="4" t="str">
        <f t="shared" si="8"/>
        <v/>
      </c>
      <c r="AC457" s="4">
        <v>0.53153554090032085</v>
      </c>
      <c r="AD457" s="4">
        <f t="shared" si="9"/>
        <v>-0.75829504122783087</v>
      </c>
      <c r="AE457" s="4" t="e">
        <f t="shared" si="10"/>
        <v>#VALUE!</v>
      </c>
      <c r="AF457" s="3" t="e">
        <f t="shared" si="11"/>
        <v>#VALUE!</v>
      </c>
      <c r="AG457" s="3"/>
      <c r="AH457" s="3"/>
      <c r="AI457" s="3"/>
      <c r="AJ457" s="3"/>
      <c r="AK457" s="3"/>
    </row>
    <row r="458" spans="1:37" ht="12.75" customHeight="1" x14ac:dyDescent="0.2">
      <c r="A458" s="14">
        <v>449</v>
      </c>
      <c r="B458" s="4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4"/>
      <c r="Y458" s="23"/>
      <c r="Z458" s="4" t="str">
        <f t="shared" si="6"/>
        <v/>
      </c>
      <c r="AA458" s="4" t="str">
        <f t="shared" si="7"/>
        <v/>
      </c>
      <c r="AB458" s="4" t="str">
        <f t="shared" si="8"/>
        <v/>
      </c>
      <c r="AC458" s="4">
        <v>0.53153554090032085</v>
      </c>
      <c r="AD458" s="4">
        <f t="shared" si="9"/>
        <v>-0.75829504122783087</v>
      </c>
      <c r="AE458" s="4" t="e">
        <f t="shared" si="10"/>
        <v>#VALUE!</v>
      </c>
      <c r="AF458" s="3" t="e">
        <f t="shared" si="11"/>
        <v>#VALUE!</v>
      </c>
      <c r="AG458" s="3"/>
      <c r="AH458" s="3"/>
      <c r="AI458" s="3"/>
      <c r="AJ458" s="3"/>
      <c r="AK458" s="3"/>
    </row>
    <row r="459" spans="1:37" ht="12.75" customHeight="1" x14ac:dyDescent="0.2">
      <c r="A459" s="14">
        <v>450</v>
      </c>
      <c r="B459" s="4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4"/>
      <c r="Y459" s="23"/>
      <c r="Z459" s="4" t="str">
        <f t="shared" si="6"/>
        <v/>
      </c>
      <c r="AA459" s="4" t="str">
        <f t="shared" si="7"/>
        <v/>
      </c>
      <c r="AB459" s="4" t="str">
        <f t="shared" si="8"/>
        <v/>
      </c>
      <c r="AC459" s="4">
        <v>0.53153554090032085</v>
      </c>
      <c r="AD459" s="4">
        <f t="shared" si="9"/>
        <v>-0.75829504122783087</v>
      </c>
      <c r="AE459" s="4" t="e">
        <f t="shared" si="10"/>
        <v>#VALUE!</v>
      </c>
      <c r="AF459" s="3" t="e">
        <f t="shared" si="11"/>
        <v>#VALUE!</v>
      </c>
      <c r="AG459" s="3"/>
      <c r="AH459" s="3"/>
      <c r="AI459" s="3"/>
      <c r="AJ459" s="3"/>
      <c r="AK459" s="3"/>
    </row>
    <row r="460" spans="1:37" ht="12.75" customHeight="1" x14ac:dyDescent="0.2">
      <c r="A460" s="14">
        <v>451</v>
      </c>
      <c r="B460" s="4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4"/>
      <c r="Y460" s="23"/>
      <c r="Z460" s="4" t="str">
        <f t="shared" si="6"/>
        <v/>
      </c>
      <c r="AA460" s="4" t="str">
        <f t="shared" si="7"/>
        <v/>
      </c>
      <c r="AB460" s="4" t="str">
        <f t="shared" si="8"/>
        <v/>
      </c>
      <c r="AC460" s="4">
        <v>0.53153554090032085</v>
      </c>
      <c r="AD460" s="4">
        <f t="shared" si="9"/>
        <v>-0.75829504122783087</v>
      </c>
      <c r="AE460" s="4" t="e">
        <f t="shared" si="10"/>
        <v>#VALUE!</v>
      </c>
      <c r="AF460" s="3" t="e">
        <f t="shared" si="11"/>
        <v>#VALUE!</v>
      </c>
      <c r="AG460" s="3"/>
      <c r="AH460" s="3"/>
      <c r="AI460" s="3"/>
      <c r="AJ460" s="3"/>
      <c r="AK460" s="3"/>
    </row>
    <row r="461" spans="1:37" ht="12.75" customHeight="1" x14ac:dyDescent="0.2">
      <c r="A461" s="14">
        <v>452</v>
      </c>
      <c r="B461" s="4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4"/>
      <c r="Y461" s="23"/>
      <c r="Z461" s="4" t="str">
        <f t="shared" si="6"/>
        <v/>
      </c>
      <c r="AA461" s="4" t="str">
        <f t="shared" si="7"/>
        <v/>
      </c>
      <c r="AB461" s="4" t="str">
        <f t="shared" si="8"/>
        <v/>
      </c>
      <c r="AC461" s="4">
        <v>0.52202933571712773</v>
      </c>
      <c r="AD461" s="4">
        <f t="shared" si="9"/>
        <v>-0.73820592016716091</v>
      </c>
      <c r="AE461" s="4" t="e">
        <f t="shared" si="10"/>
        <v>#VALUE!</v>
      </c>
      <c r="AF461" s="3" t="e">
        <f t="shared" si="11"/>
        <v>#VALUE!</v>
      </c>
      <c r="AG461" s="3"/>
      <c r="AH461" s="3"/>
      <c r="AI461" s="3"/>
      <c r="AJ461" s="3"/>
      <c r="AK461" s="3"/>
    </row>
    <row r="462" spans="1:37" ht="12.75" customHeight="1" x14ac:dyDescent="0.2">
      <c r="A462" s="14">
        <v>453</v>
      </c>
      <c r="B462" s="4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4"/>
      <c r="Y462" s="23"/>
      <c r="Z462" s="4" t="str">
        <f t="shared" si="6"/>
        <v/>
      </c>
      <c r="AA462" s="4" t="str">
        <f t="shared" si="7"/>
        <v/>
      </c>
      <c r="AB462" s="4" t="str">
        <f t="shared" si="8"/>
        <v/>
      </c>
      <c r="AC462" s="4">
        <v>0.52202933571712773</v>
      </c>
      <c r="AD462" s="4">
        <f t="shared" si="9"/>
        <v>-0.73820592016716091</v>
      </c>
      <c r="AE462" s="4" t="e">
        <f t="shared" si="10"/>
        <v>#VALUE!</v>
      </c>
      <c r="AF462" s="3" t="e">
        <f t="shared" si="11"/>
        <v>#VALUE!</v>
      </c>
      <c r="AG462" s="3"/>
      <c r="AH462" s="3"/>
      <c r="AI462" s="3"/>
      <c r="AJ462" s="3"/>
      <c r="AK462" s="3"/>
    </row>
    <row r="463" spans="1:37" ht="12.75" customHeight="1" x14ac:dyDescent="0.2">
      <c r="A463" s="14">
        <v>454</v>
      </c>
      <c r="B463" s="4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4"/>
      <c r="Y463" s="23"/>
      <c r="Z463" s="4" t="str">
        <f t="shared" si="6"/>
        <v/>
      </c>
      <c r="AA463" s="4" t="str">
        <f t="shared" si="7"/>
        <v/>
      </c>
      <c r="AB463" s="4" t="str">
        <f t="shared" si="8"/>
        <v/>
      </c>
      <c r="AC463" s="4">
        <v>0.52202933571712773</v>
      </c>
      <c r="AD463" s="4">
        <f t="shared" si="9"/>
        <v>-0.73820592016716091</v>
      </c>
      <c r="AE463" s="4" t="e">
        <f t="shared" si="10"/>
        <v>#VALUE!</v>
      </c>
      <c r="AF463" s="3" t="e">
        <f t="shared" si="11"/>
        <v>#VALUE!</v>
      </c>
      <c r="AG463" s="3"/>
      <c r="AH463" s="3"/>
      <c r="AI463" s="3"/>
      <c r="AJ463" s="3"/>
      <c r="AK463" s="3"/>
    </row>
    <row r="464" spans="1:37" ht="12.75" customHeight="1" x14ac:dyDescent="0.2">
      <c r="A464" s="14">
        <v>455</v>
      </c>
      <c r="B464" s="4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4"/>
      <c r="Y464" s="23"/>
      <c r="Z464" s="4" t="str">
        <f t="shared" si="6"/>
        <v/>
      </c>
      <c r="AA464" s="4" t="str">
        <f t="shared" si="7"/>
        <v/>
      </c>
      <c r="AB464" s="4" t="str">
        <f t="shared" si="8"/>
        <v/>
      </c>
      <c r="AC464" s="4">
        <v>0.52202933571712773</v>
      </c>
      <c r="AD464" s="4">
        <f t="shared" si="9"/>
        <v>-0.73820592016716091</v>
      </c>
      <c r="AE464" s="4" t="e">
        <f t="shared" si="10"/>
        <v>#VALUE!</v>
      </c>
      <c r="AF464" s="3" t="e">
        <f t="shared" si="11"/>
        <v>#VALUE!</v>
      </c>
      <c r="AG464" s="3"/>
      <c r="AH464" s="3"/>
      <c r="AI464" s="3"/>
      <c r="AJ464" s="3"/>
      <c r="AK464" s="3"/>
    </row>
    <row r="465" spans="1:37" ht="12.75" customHeight="1" x14ac:dyDescent="0.2">
      <c r="A465" s="14">
        <v>456</v>
      </c>
      <c r="B465" s="4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4"/>
      <c r="Y465" s="23"/>
      <c r="Z465" s="4" t="str">
        <f t="shared" si="6"/>
        <v/>
      </c>
      <c r="AA465" s="4" t="str">
        <f t="shared" si="7"/>
        <v/>
      </c>
      <c r="AB465" s="4" t="str">
        <f t="shared" si="8"/>
        <v/>
      </c>
      <c r="AC465" s="4">
        <v>0.52202933571712773</v>
      </c>
      <c r="AD465" s="4">
        <f t="shared" si="9"/>
        <v>-0.73820592016716091</v>
      </c>
      <c r="AE465" s="4" t="e">
        <f t="shared" si="10"/>
        <v>#VALUE!</v>
      </c>
      <c r="AF465" s="3" t="e">
        <f t="shared" si="11"/>
        <v>#VALUE!</v>
      </c>
      <c r="AG465" s="3"/>
      <c r="AH465" s="3"/>
      <c r="AI465" s="3"/>
      <c r="AJ465" s="3"/>
      <c r="AK465" s="3"/>
    </row>
    <row r="466" spans="1:37" ht="12.75" customHeight="1" x14ac:dyDescent="0.2">
      <c r="A466" s="14">
        <v>457</v>
      </c>
      <c r="B466" s="4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4"/>
      <c r="Y466" s="23"/>
      <c r="Z466" s="4" t="str">
        <f t="shared" si="6"/>
        <v/>
      </c>
      <c r="AA466" s="4" t="str">
        <f t="shared" si="7"/>
        <v/>
      </c>
      <c r="AB466" s="4" t="str">
        <f t="shared" si="8"/>
        <v/>
      </c>
      <c r="AC466" s="4">
        <v>0.51251056393050054</v>
      </c>
      <c r="AD466" s="4">
        <f t="shared" si="9"/>
        <v>-0.7184866583800511</v>
      </c>
      <c r="AE466" s="4" t="e">
        <f t="shared" si="10"/>
        <v>#VALUE!</v>
      </c>
      <c r="AF466" s="3" t="e">
        <f t="shared" si="11"/>
        <v>#VALUE!</v>
      </c>
      <c r="AG466" s="3"/>
      <c r="AH466" s="3"/>
      <c r="AI466" s="3"/>
      <c r="AJ466" s="3"/>
      <c r="AK466" s="3"/>
    </row>
    <row r="467" spans="1:37" ht="12.75" customHeight="1" x14ac:dyDescent="0.2">
      <c r="A467" s="14">
        <v>458</v>
      </c>
      <c r="B467" s="4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4"/>
      <c r="Y467" s="23"/>
      <c r="Z467" s="4" t="str">
        <f t="shared" si="6"/>
        <v/>
      </c>
      <c r="AA467" s="4" t="str">
        <f t="shared" si="7"/>
        <v/>
      </c>
      <c r="AB467" s="4" t="str">
        <f t="shared" si="8"/>
        <v/>
      </c>
      <c r="AC467" s="4">
        <v>0.51251056393050054</v>
      </c>
      <c r="AD467" s="4">
        <f t="shared" si="9"/>
        <v>-0.7184866583800511</v>
      </c>
      <c r="AE467" s="4" t="e">
        <f t="shared" si="10"/>
        <v>#VALUE!</v>
      </c>
      <c r="AF467" s="3" t="e">
        <f t="shared" si="11"/>
        <v>#VALUE!</v>
      </c>
      <c r="AG467" s="3"/>
      <c r="AH467" s="3"/>
      <c r="AI467" s="3"/>
      <c r="AJ467" s="3"/>
      <c r="AK467" s="3"/>
    </row>
    <row r="468" spans="1:37" ht="12.75" customHeight="1" x14ac:dyDescent="0.2">
      <c r="A468" s="14">
        <v>459</v>
      </c>
      <c r="B468" s="4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4"/>
      <c r="Y468" s="23"/>
      <c r="Z468" s="4" t="str">
        <f t="shared" si="6"/>
        <v/>
      </c>
      <c r="AA468" s="4" t="str">
        <f t="shared" si="7"/>
        <v/>
      </c>
      <c r="AB468" s="4" t="str">
        <f t="shared" si="8"/>
        <v/>
      </c>
      <c r="AC468" s="4">
        <v>0.51251056393050054</v>
      </c>
      <c r="AD468" s="4">
        <f t="shared" si="9"/>
        <v>-0.7184866583800511</v>
      </c>
      <c r="AE468" s="4" t="e">
        <f t="shared" si="10"/>
        <v>#VALUE!</v>
      </c>
      <c r="AF468" s="3" t="e">
        <f t="shared" si="11"/>
        <v>#VALUE!</v>
      </c>
      <c r="AG468" s="3"/>
      <c r="AH468" s="3"/>
      <c r="AI468" s="3"/>
      <c r="AJ468" s="3"/>
      <c r="AK468" s="3"/>
    </row>
    <row r="469" spans="1:37" ht="12.75" customHeight="1" x14ac:dyDescent="0.2">
      <c r="A469" s="14">
        <v>460</v>
      </c>
      <c r="B469" s="4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4"/>
      <c r="Y469" s="23"/>
      <c r="Z469" s="4" t="str">
        <f t="shared" si="6"/>
        <v/>
      </c>
      <c r="AA469" s="4" t="str">
        <f t="shared" si="7"/>
        <v/>
      </c>
      <c r="AB469" s="4" t="str">
        <f t="shared" si="8"/>
        <v/>
      </c>
      <c r="AC469" s="4">
        <v>0.51251056393050054</v>
      </c>
      <c r="AD469" s="4">
        <f t="shared" si="9"/>
        <v>-0.7184866583800511</v>
      </c>
      <c r="AE469" s="4" t="e">
        <f t="shared" si="10"/>
        <v>#VALUE!</v>
      </c>
      <c r="AF469" s="3" t="e">
        <f t="shared" si="11"/>
        <v>#VALUE!</v>
      </c>
      <c r="AG469" s="3"/>
      <c r="AH469" s="3"/>
      <c r="AI469" s="3"/>
      <c r="AJ469" s="3"/>
      <c r="AK469" s="3"/>
    </row>
    <row r="470" spans="1:37" ht="12.75" customHeight="1" x14ac:dyDescent="0.2">
      <c r="A470" s="14">
        <v>461</v>
      </c>
      <c r="B470" s="4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4"/>
      <c r="Y470" s="23"/>
      <c r="Z470" s="4" t="str">
        <f t="shared" si="6"/>
        <v/>
      </c>
      <c r="AA470" s="4" t="str">
        <f t="shared" si="7"/>
        <v/>
      </c>
      <c r="AB470" s="4" t="str">
        <f t="shared" si="8"/>
        <v/>
      </c>
      <c r="AC470" s="4">
        <v>0.51251056393050054</v>
      </c>
      <c r="AD470" s="4">
        <f t="shared" si="9"/>
        <v>-0.7184866583800511</v>
      </c>
      <c r="AE470" s="4" t="e">
        <f t="shared" si="10"/>
        <v>#VALUE!</v>
      </c>
      <c r="AF470" s="3" t="e">
        <f t="shared" si="11"/>
        <v>#VALUE!</v>
      </c>
      <c r="AG470" s="3"/>
      <c r="AH470" s="3"/>
      <c r="AI470" s="3"/>
      <c r="AJ470" s="3"/>
      <c r="AK470" s="3"/>
    </row>
    <row r="471" spans="1:37" ht="12.75" customHeight="1" x14ac:dyDescent="0.2">
      <c r="A471" s="14">
        <v>462</v>
      </c>
      <c r="B471" s="4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4"/>
      <c r="Y471" s="23"/>
      <c r="Z471" s="4" t="str">
        <f t="shared" si="6"/>
        <v/>
      </c>
      <c r="AA471" s="4" t="str">
        <f t="shared" si="7"/>
        <v/>
      </c>
      <c r="AB471" s="4" t="str">
        <f t="shared" si="8"/>
        <v/>
      </c>
      <c r="AC471" s="4">
        <v>0.51251056393050054</v>
      </c>
      <c r="AD471" s="4">
        <f t="shared" si="9"/>
        <v>-0.7184866583800511</v>
      </c>
      <c r="AE471" s="4" t="e">
        <f t="shared" si="10"/>
        <v>#VALUE!</v>
      </c>
      <c r="AF471" s="3" t="e">
        <f t="shared" si="11"/>
        <v>#VALUE!</v>
      </c>
      <c r="AG471" s="3"/>
      <c r="AH471" s="3"/>
      <c r="AI471" s="3"/>
      <c r="AJ471" s="3"/>
      <c r="AK471" s="3"/>
    </row>
    <row r="472" spans="1:37" ht="12.75" customHeight="1" x14ac:dyDescent="0.2">
      <c r="A472" s="14">
        <v>463</v>
      </c>
      <c r="B472" s="4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4"/>
      <c r="Y472" s="23"/>
      <c r="Z472" s="4" t="str">
        <f t="shared" si="6"/>
        <v/>
      </c>
      <c r="AA472" s="4" t="str">
        <f t="shared" si="7"/>
        <v/>
      </c>
      <c r="AB472" s="4" t="str">
        <f t="shared" si="8"/>
        <v/>
      </c>
      <c r="AC472" s="4">
        <v>0.51251056393050054</v>
      </c>
      <c r="AD472" s="4">
        <f t="shared" si="9"/>
        <v>-0.7184866583800511</v>
      </c>
      <c r="AE472" s="4" t="e">
        <f t="shared" si="10"/>
        <v>#VALUE!</v>
      </c>
      <c r="AF472" s="3" t="e">
        <f t="shared" si="11"/>
        <v>#VALUE!</v>
      </c>
      <c r="AG472" s="3"/>
      <c r="AH472" s="3"/>
      <c r="AI472" s="3"/>
      <c r="AJ472" s="3"/>
      <c r="AK472" s="3"/>
    </row>
    <row r="473" spans="1:37" ht="12.75" customHeight="1" x14ac:dyDescent="0.2">
      <c r="A473" s="14">
        <v>464</v>
      </c>
      <c r="B473" s="4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4"/>
      <c r="Y473" s="23"/>
      <c r="Z473" s="4" t="str">
        <f t="shared" si="6"/>
        <v/>
      </c>
      <c r="AA473" s="4" t="str">
        <f t="shared" si="7"/>
        <v/>
      </c>
      <c r="AB473" s="4" t="str">
        <f t="shared" si="8"/>
        <v/>
      </c>
      <c r="AC473" s="4">
        <v>0.51251056393050054</v>
      </c>
      <c r="AD473" s="4">
        <f t="shared" si="9"/>
        <v>-0.7184866583800511</v>
      </c>
      <c r="AE473" s="4" t="e">
        <f t="shared" si="10"/>
        <v>#VALUE!</v>
      </c>
      <c r="AF473" s="3" t="e">
        <f t="shared" si="11"/>
        <v>#VALUE!</v>
      </c>
      <c r="AG473" s="3"/>
      <c r="AH473" s="3"/>
      <c r="AI473" s="3"/>
      <c r="AJ473" s="3"/>
      <c r="AK473" s="3"/>
    </row>
    <row r="474" spans="1:37" ht="12.75" customHeight="1" x14ac:dyDescent="0.2">
      <c r="A474" s="14">
        <v>465</v>
      </c>
      <c r="B474" s="4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4"/>
      <c r="Y474" s="23"/>
      <c r="Z474" s="4" t="str">
        <f t="shared" si="6"/>
        <v/>
      </c>
      <c r="AA474" s="4" t="str">
        <f t="shared" si="7"/>
        <v/>
      </c>
      <c r="AB474" s="4" t="str">
        <f t="shared" si="8"/>
        <v/>
      </c>
      <c r="AC474" s="4">
        <v>0.51251056393050054</v>
      </c>
      <c r="AD474" s="4">
        <f t="shared" si="9"/>
        <v>-0.7184866583800511</v>
      </c>
      <c r="AE474" s="4" t="e">
        <f t="shared" si="10"/>
        <v>#VALUE!</v>
      </c>
      <c r="AF474" s="3" t="e">
        <f t="shared" si="11"/>
        <v>#VALUE!</v>
      </c>
      <c r="AG474" s="3"/>
      <c r="AH474" s="3"/>
      <c r="AI474" s="3"/>
      <c r="AJ474" s="3"/>
      <c r="AK474" s="3"/>
    </row>
    <row r="475" spans="1:37" ht="12.75" customHeight="1" x14ac:dyDescent="0.2">
      <c r="A475" s="14">
        <v>466</v>
      </c>
      <c r="B475" s="4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4"/>
      <c r="Y475" s="23"/>
      <c r="Z475" s="4" t="str">
        <f t="shared" si="6"/>
        <v/>
      </c>
      <c r="AA475" s="4" t="str">
        <f t="shared" si="7"/>
        <v/>
      </c>
      <c r="AB475" s="4" t="str">
        <f t="shared" si="8"/>
        <v/>
      </c>
      <c r="AC475" s="4">
        <v>0.51251056393050054</v>
      </c>
      <c r="AD475" s="4">
        <f t="shared" si="9"/>
        <v>-0.7184866583800511</v>
      </c>
      <c r="AE475" s="4" t="e">
        <f t="shared" si="10"/>
        <v>#VALUE!</v>
      </c>
      <c r="AF475" s="3" t="e">
        <f t="shared" si="11"/>
        <v>#VALUE!</v>
      </c>
      <c r="AG475" s="3"/>
      <c r="AH475" s="3"/>
      <c r="AI475" s="3"/>
      <c r="AJ475" s="3"/>
      <c r="AK475" s="3"/>
    </row>
    <row r="476" spans="1:37" ht="12.75" customHeight="1" x14ac:dyDescent="0.2">
      <c r="A476" s="14">
        <v>467</v>
      </c>
      <c r="B476" s="4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4"/>
      <c r="Y476" s="23"/>
      <c r="Z476" s="4" t="str">
        <f t="shared" si="6"/>
        <v/>
      </c>
      <c r="AA476" s="4" t="str">
        <f t="shared" si="7"/>
        <v/>
      </c>
      <c r="AB476" s="4" t="str">
        <f t="shared" si="8"/>
        <v/>
      </c>
      <c r="AC476" s="4">
        <v>0.5029846369863531</v>
      </c>
      <c r="AD476" s="4">
        <f t="shared" si="9"/>
        <v>-0.69913434186698731</v>
      </c>
      <c r="AE476" s="4" t="e">
        <f t="shared" si="10"/>
        <v>#VALUE!</v>
      </c>
      <c r="AF476" s="3" t="e">
        <f t="shared" si="11"/>
        <v>#VALUE!</v>
      </c>
      <c r="AG476" s="3"/>
      <c r="AH476" s="3"/>
      <c r="AI476" s="3"/>
      <c r="AJ476" s="3"/>
      <c r="AK476" s="3"/>
    </row>
    <row r="477" spans="1:37" ht="12.75" customHeight="1" x14ac:dyDescent="0.2">
      <c r="A477" s="14">
        <v>468</v>
      </c>
      <c r="B477" s="4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4"/>
      <c r="Y477" s="23"/>
      <c r="Z477" s="4" t="str">
        <f t="shared" si="6"/>
        <v/>
      </c>
      <c r="AA477" s="4" t="str">
        <f t="shared" si="7"/>
        <v/>
      </c>
      <c r="AB477" s="4" t="str">
        <f t="shared" si="8"/>
        <v/>
      </c>
      <c r="AC477" s="4">
        <v>0.5029846369863531</v>
      </c>
      <c r="AD477" s="4">
        <f t="shared" si="9"/>
        <v>-0.69913434186698731</v>
      </c>
      <c r="AE477" s="4" t="e">
        <f t="shared" si="10"/>
        <v>#VALUE!</v>
      </c>
      <c r="AF477" s="3" t="e">
        <f t="shared" si="11"/>
        <v>#VALUE!</v>
      </c>
      <c r="AG477" s="3"/>
      <c r="AH477" s="3"/>
      <c r="AI477" s="3"/>
      <c r="AJ477" s="3"/>
      <c r="AK477" s="3"/>
    </row>
    <row r="478" spans="1:37" ht="12.75" customHeight="1" x14ac:dyDescent="0.2">
      <c r="A478" s="14">
        <v>469</v>
      </c>
      <c r="B478" s="4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4"/>
      <c r="Y478" s="23"/>
      <c r="Z478" s="4" t="str">
        <f t="shared" si="6"/>
        <v/>
      </c>
      <c r="AA478" s="4" t="str">
        <f t="shared" si="7"/>
        <v/>
      </c>
      <c r="AB478" s="4" t="str">
        <f t="shared" si="8"/>
        <v/>
      </c>
      <c r="AC478" s="4">
        <v>0.5029846369863531</v>
      </c>
      <c r="AD478" s="4">
        <f t="shared" si="9"/>
        <v>-0.69913434186698731</v>
      </c>
      <c r="AE478" s="4" t="e">
        <f t="shared" si="10"/>
        <v>#VALUE!</v>
      </c>
      <c r="AF478" s="3" t="e">
        <f t="shared" si="11"/>
        <v>#VALUE!</v>
      </c>
      <c r="AG478" s="3"/>
      <c r="AH478" s="3"/>
      <c r="AI478" s="3"/>
      <c r="AJ478" s="3"/>
      <c r="AK478" s="3"/>
    </row>
    <row r="479" spans="1:37" ht="12.75" customHeight="1" x14ac:dyDescent="0.2">
      <c r="A479" s="14">
        <v>470</v>
      </c>
      <c r="B479" s="4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4"/>
      <c r="Y479" s="23"/>
      <c r="Z479" s="4" t="str">
        <f t="shared" si="6"/>
        <v/>
      </c>
      <c r="AA479" s="4" t="str">
        <f t="shared" si="7"/>
        <v/>
      </c>
      <c r="AB479" s="4" t="str">
        <f t="shared" si="8"/>
        <v/>
      </c>
      <c r="AC479" s="4">
        <v>0.5029846369863531</v>
      </c>
      <c r="AD479" s="4">
        <f t="shared" si="9"/>
        <v>-0.69913434186698731</v>
      </c>
      <c r="AE479" s="4" t="e">
        <f t="shared" si="10"/>
        <v>#VALUE!</v>
      </c>
      <c r="AF479" s="3" t="e">
        <f t="shared" si="11"/>
        <v>#VALUE!</v>
      </c>
      <c r="AG479" s="3"/>
      <c r="AH479" s="3"/>
      <c r="AI479" s="3"/>
      <c r="AJ479" s="3"/>
      <c r="AK479" s="3"/>
    </row>
    <row r="480" spans="1:37" ht="12.75" customHeight="1" x14ac:dyDescent="0.2">
      <c r="A480" s="14">
        <v>471</v>
      </c>
      <c r="B480" s="4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4"/>
      <c r="Y480" s="23"/>
      <c r="Z480" s="4" t="str">
        <f t="shared" si="6"/>
        <v/>
      </c>
      <c r="AA480" s="4" t="str">
        <f t="shared" si="7"/>
        <v/>
      </c>
      <c r="AB480" s="4" t="str">
        <f t="shared" si="8"/>
        <v/>
      </c>
      <c r="AC480" s="4">
        <v>0.5029846369863531</v>
      </c>
      <c r="AD480" s="4">
        <f t="shared" si="9"/>
        <v>-0.69913434186698731</v>
      </c>
      <c r="AE480" s="4" t="e">
        <f t="shared" si="10"/>
        <v>#VALUE!</v>
      </c>
      <c r="AF480" s="3" t="e">
        <f t="shared" si="11"/>
        <v>#VALUE!</v>
      </c>
      <c r="AG480" s="3"/>
      <c r="AH480" s="3"/>
      <c r="AI480" s="3"/>
      <c r="AJ480" s="3"/>
      <c r="AK480" s="3"/>
    </row>
    <row r="481" spans="1:37" ht="12.75" customHeight="1" x14ac:dyDescent="0.2">
      <c r="A481" s="14">
        <v>472</v>
      </c>
      <c r="B481" s="4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4"/>
      <c r="Y481" s="23"/>
      <c r="Z481" s="4" t="str">
        <f t="shared" si="6"/>
        <v/>
      </c>
      <c r="AA481" s="4" t="str">
        <f t="shared" si="7"/>
        <v/>
      </c>
      <c r="AB481" s="4" t="str">
        <f t="shared" si="8"/>
        <v/>
      </c>
      <c r="AC481" s="4">
        <v>0.5029846369863531</v>
      </c>
      <c r="AD481" s="4">
        <f t="shared" si="9"/>
        <v>-0.69913434186698731</v>
      </c>
      <c r="AE481" s="4" t="e">
        <f t="shared" si="10"/>
        <v>#VALUE!</v>
      </c>
      <c r="AF481" s="3" t="e">
        <f t="shared" si="11"/>
        <v>#VALUE!</v>
      </c>
      <c r="AG481" s="3"/>
      <c r="AH481" s="3"/>
      <c r="AI481" s="3"/>
      <c r="AJ481" s="3"/>
      <c r="AK481" s="3"/>
    </row>
    <row r="482" spans="1:37" ht="12.75" customHeight="1" x14ac:dyDescent="0.2">
      <c r="A482" s="14">
        <v>473</v>
      </c>
      <c r="B482" s="4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4"/>
      <c r="Y482" s="23"/>
      <c r="Z482" s="4" t="str">
        <f t="shared" si="6"/>
        <v/>
      </c>
      <c r="AA482" s="4" t="str">
        <f t="shared" si="7"/>
        <v/>
      </c>
      <c r="AB482" s="4" t="str">
        <f t="shared" si="8"/>
        <v/>
      </c>
      <c r="AC482" s="4">
        <v>0.5029846369863531</v>
      </c>
      <c r="AD482" s="4">
        <f t="shared" si="9"/>
        <v>-0.69913434186698731</v>
      </c>
      <c r="AE482" s="4" t="e">
        <f t="shared" si="10"/>
        <v>#VALUE!</v>
      </c>
      <c r="AF482" s="3" t="e">
        <f t="shared" si="11"/>
        <v>#VALUE!</v>
      </c>
      <c r="AG482" s="3"/>
      <c r="AH482" s="3"/>
      <c r="AI482" s="3"/>
      <c r="AJ482" s="3"/>
      <c r="AK482" s="3"/>
    </row>
    <row r="483" spans="1:37" ht="12.75" customHeight="1" x14ac:dyDescent="0.2">
      <c r="A483" s="14">
        <v>474</v>
      </c>
      <c r="B483" s="4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4"/>
      <c r="Y483" s="23"/>
      <c r="Z483" s="4" t="str">
        <f t="shared" si="6"/>
        <v/>
      </c>
      <c r="AA483" s="4" t="str">
        <f t="shared" si="7"/>
        <v/>
      </c>
      <c r="AB483" s="4" t="str">
        <f t="shared" si="8"/>
        <v/>
      </c>
      <c r="AC483" s="4">
        <v>0.5029846369863531</v>
      </c>
      <c r="AD483" s="4">
        <f t="shared" si="9"/>
        <v>-0.69913434186698731</v>
      </c>
      <c r="AE483" s="4" t="e">
        <f t="shared" si="10"/>
        <v>#VALUE!</v>
      </c>
      <c r="AF483" s="3" t="e">
        <f t="shared" si="11"/>
        <v>#VALUE!</v>
      </c>
      <c r="AG483" s="3"/>
      <c r="AH483" s="3"/>
      <c r="AI483" s="3"/>
      <c r="AJ483" s="3"/>
      <c r="AK483" s="3"/>
    </row>
    <row r="484" spans="1:37" ht="12.75" customHeight="1" x14ac:dyDescent="0.2">
      <c r="A484" s="14">
        <v>475</v>
      </c>
      <c r="B484" s="4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4"/>
      <c r="Y484" s="23"/>
      <c r="Z484" s="4" t="str">
        <f t="shared" si="6"/>
        <v/>
      </c>
      <c r="AA484" s="4" t="str">
        <f t="shared" si="7"/>
        <v/>
      </c>
      <c r="AB484" s="4" t="str">
        <f t="shared" si="8"/>
        <v/>
      </c>
      <c r="AC484" s="4">
        <v>0.5029846369863531</v>
      </c>
      <c r="AD484" s="4">
        <f t="shared" si="9"/>
        <v>-0.69913434186698731</v>
      </c>
      <c r="AE484" s="4" t="e">
        <f t="shared" si="10"/>
        <v>#VALUE!</v>
      </c>
      <c r="AF484" s="3" t="e">
        <f t="shared" si="11"/>
        <v>#VALUE!</v>
      </c>
      <c r="AG484" s="3"/>
      <c r="AH484" s="3"/>
      <c r="AI484" s="3"/>
      <c r="AJ484" s="3"/>
      <c r="AK484" s="3"/>
    </row>
    <row r="485" spans="1:37" ht="12.75" customHeight="1" x14ac:dyDescent="0.2">
      <c r="A485" s="14">
        <v>476</v>
      </c>
      <c r="B485" s="4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4"/>
      <c r="Y485" s="23"/>
      <c r="Z485" s="4" t="str">
        <f t="shared" si="6"/>
        <v/>
      </c>
      <c r="AA485" s="4" t="str">
        <f t="shared" si="7"/>
        <v/>
      </c>
      <c r="AB485" s="4" t="str">
        <f t="shared" si="8"/>
        <v/>
      </c>
      <c r="AC485" s="4">
        <v>0.5029846369863531</v>
      </c>
      <c r="AD485" s="4">
        <f t="shared" si="9"/>
        <v>-0.69913434186698731</v>
      </c>
      <c r="AE485" s="4" t="e">
        <f t="shared" si="10"/>
        <v>#VALUE!</v>
      </c>
      <c r="AF485" s="3" t="e">
        <f t="shared" si="11"/>
        <v>#VALUE!</v>
      </c>
      <c r="AG485" s="3"/>
      <c r="AH485" s="3"/>
      <c r="AI485" s="3"/>
      <c r="AJ485" s="3"/>
      <c r="AK485" s="3"/>
    </row>
    <row r="486" spans="1:37" ht="12.75" customHeight="1" x14ac:dyDescent="0.2">
      <c r="A486" s="14">
        <v>477</v>
      </c>
      <c r="B486" s="4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4"/>
      <c r="Y486" s="23"/>
      <c r="Z486" s="4" t="str">
        <f t="shared" si="6"/>
        <v/>
      </c>
      <c r="AA486" s="4" t="str">
        <f t="shared" si="7"/>
        <v/>
      </c>
      <c r="AB486" s="4" t="str">
        <f t="shared" si="8"/>
        <v/>
      </c>
      <c r="AC486" s="4">
        <v>0.5029846369863531</v>
      </c>
      <c r="AD486" s="4">
        <f t="shared" si="9"/>
        <v>-0.69913434186698731</v>
      </c>
      <c r="AE486" s="4" t="e">
        <f t="shared" si="10"/>
        <v>#VALUE!</v>
      </c>
      <c r="AF486" s="3" t="e">
        <f t="shared" si="11"/>
        <v>#VALUE!</v>
      </c>
      <c r="AG486" s="3"/>
      <c r="AH486" s="3"/>
      <c r="AI486" s="3"/>
      <c r="AJ486" s="3"/>
      <c r="AK486" s="3"/>
    </row>
    <row r="487" spans="1:37" ht="12.75" customHeight="1" x14ac:dyDescent="0.2">
      <c r="A487" s="14">
        <v>478</v>
      </c>
      <c r="B487" s="4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4"/>
      <c r="Y487" s="23"/>
      <c r="Z487" s="4" t="str">
        <f t="shared" si="6"/>
        <v/>
      </c>
      <c r="AA487" s="4" t="str">
        <f t="shared" si="7"/>
        <v/>
      </c>
      <c r="AB487" s="4" t="str">
        <f t="shared" si="8"/>
        <v/>
      </c>
      <c r="AC487" s="4">
        <v>0.5029846369863531</v>
      </c>
      <c r="AD487" s="4">
        <f t="shared" si="9"/>
        <v>-0.69913434186698731</v>
      </c>
      <c r="AE487" s="4" t="e">
        <f t="shared" si="10"/>
        <v>#VALUE!</v>
      </c>
      <c r="AF487" s="3" t="e">
        <f t="shared" si="11"/>
        <v>#VALUE!</v>
      </c>
      <c r="AG487" s="3"/>
      <c r="AH487" s="3"/>
      <c r="AI487" s="3"/>
      <c r="AJ487" s="3"/>
      <c r="AK487" s="3"/>
    </row>
    <row r="488" spans="1:37" ht="12.75" customHeight="1" x14ac:dyDescent="0.2">
      <c r="A488" s="14">
        <v>479</v>
      </c>
      <c r="B488" s="4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4"/>
      <c r="Y488" s="23"/>
      <c r="Z488" s="4" t="str">
        <f t="shared" si="6"/>
        <v/>
      </c>
      <c r="AA488" s="4" t="str">
        <f t="shared" si="7"/>
        <v/>
      </c>
      <c r="AB488" s="4" t="str">
        <f t="shared" si="8"/>
        <v/>
      </c>
      <c r="AC488" s="4">
        <v>0.5029846369863531</v>
      </c>
      <c r="AD488" s="4">
        <f t="shared" si="9"/>
        <v>-0.69913434186698731</v>
      </c>
      <c r="AE488" s="4" t="e">
        <f t="shared" si="10"/>
        <v>#VALUE!</v>
      </c>
      <c r="AF488" s="3" t="e">
        <f t="shared" si="11"/>
        <v>#VALUE!</v>
      </c>
      <c r="AG488" s="3"/>
      <c r="AH488" s="3"/>
      <c r="AI488" s="3"/>
      <c r="AJ488" s="3"/>
      <c r="AK488" s="3"/>
    </row>
    <row r="489" spans="1:37" ht="12.75" customHeight="1" x14ac:dyDescent="0.2">
      <c r="A489" s="14">
        <v>480</v>
      </c>
      <c r="B489" s="4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4"/>
      <c r="Y489" s="23"/>
      <c r="Z489" s="4" t="str">
        <f t="shared" si="6"/>
        <v/>
      </c>
      <c r="AA489" s="4" t="str">
        <f t="shared" si="7"/>
        <v/>
      </c>
      <c r="AB489" s="4" t="str">
        <f t="shared" si="8"/>
        <v/>
      </c>
      <c r="AC489" s="4">
        <v>0.5029846369863531</v>
      </c>
      <c r="AD489" s="4">
        <f t="shared" si="9"/>
        <v>-0.69913434186698731</v>
      </c>
      <c r="AE489" s="4" t="e">
        <f t="shared" si="10"/>
        <v>#VALUE!</v>
      </c>
      <c r="AF489" s="3" t="e">
        <f t="shared" si="11"/>
        <v>#VALUE!</v>
      </c>
      <c r="AG489" s="3"/>
      <c r="AH489" s="3"/>
      <c r="AI489" s="3"/>
      <c r="AJ489" s="3"/>
      <c r="AK489" s="3"/>
    </row>
    <row r="490" spans="1:37" ht="12.75" customHeight="1" x14ac:dyDescent="0.2">
      <c r="A490" s="14">
        <v>481</v>
      </c>
      <c r="B490" s="4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4"/>
      <c r="Y490" s="23"/>
      <c r="Z490" s="4" t="str">
        <f t="shared" si="6"/>
        <v/>
      </c>
      <c r="AA490" s="4" t="str">
        <f t="shared" si="7"/>
        <v/>
      </c>
      <c r="AB490" s="4" t="str">
        <f t="shared" si="8"/>
        <v/>
      </c>
      <c r="AC490" s="4">
        <v>0.5029846369863531</v>
      </c>
      <c r="AD490" s="4">
        <f t="shared" si="9"/>
        <v>-0.69913434186698731</v>
      </c>
      <c r="AE490" s="4" t="e">
        <f t="shared" si="10"/>
        <v>#VALUE!</v>
      </c>
      <c r="AF490" s="3" t="e">
        <f t="shared" si="11"/>
        <v>#VALUE!</v>
      </c>
      <c r="AG490" s="3"/>
      <c r="AH490" s="3"/>
      <c r="AI490" s="3"/>
      <c r="AJ490" s="3"/>
      <c r="AK490" s="3"/>
    </row>
    <row r="491" spans="1:37" ht="12.75" customHeight="1" x14ac:dyDescent="0.2">
      <c r="A491" s="14">
        <v>482</v>
      </c>
      <c r="B491" s="4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4"/>
      <c r="Y491" s="23"/>
      <c r="Z491" s="4" t="str">
        <f t="shared" si="6"/>
        <v/>
      </c>
      <c r="AA491" s="4" t="str">
        <f t="shared" si="7"/>
        <v/>
      </c>
      <c r="AB491" s="4" t="str">
        <f t="shared" si="8"/>
        <v/>
      </c>
      <c r="AC491" s="4">
        <v>0.5029846369863531</v>
      </c>
      <c r="AD491" s="4">
        <f t="shared" si="9"/>
        <v>-0.69913434186698731</v>
      </c>
      <c r="AE491" s="4" t="e">
        <f t="shared" si="10"/>
        <v>#VALUE!</v>
      </c>
      <c r="AF491" s="3" t="e">
        <f t="shared" si="11"/>
        <v>#VALUE!</v>
      </c>
      <c r="AG491" s="3"/>
      <c r="AH491" s="3"/>
      <c r="AI491" s="3"/>
      <c r="AJ491" s="3"/>
      <c r="AK491" s="3"/>
    </row>
    <row r="492" spans="1:37" ht="12.75" customHeight="1" x14ac:dyDescent="0.2">
      <c r="A492" s="14">
        <v>483</v>
      </c>
      <c r="B492" s="4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4"/>
      <c r="Y492" s="23"/>
      <c r="Z492" s="4" t="str">
        <f t="shared" si="6"/>
        <v/>
      </c>
      <c r="AA492" s="4" t="str">
        <f t="shared" si="7"/>
        <v/>
      </c>
      <c r="AB492" s="4" t="str">
        <f t="shared" si="8"/>
        <v/>
      </c>
      <c r="AC492" s="4">
        <v>0.5029846369863531</v>
      </c>
      <c r="AD492" s="4">
        <f t="shared" si="9"/>
        <v>-0.69913434186698731</v>
      </c>
      <c r="AE492" s="4" t="e">
        <f t="shared" si="10"/>
        <v>#VALUE!</v>
      </c>
      <c r="AF492" s="3" t="e">
        <f t="shared" si="11"/>
        <v>#VALUE!</v>
      </c>
      <c r="AG492" s="3"/>
      <c r="AH492" s="3"/>
      <c r="AI492" s="3"/>
      <c r="AJ492" s="3"/>
      <c r="AK492" s="3"/>
    </row>
    <row r="493" spans="1:37" ht="12.75" customHeight="1" x14ac:dyDescent="0.2">
      <c r="A493" s="14">
        <v>484</v>
      </c>
      <c r="B493" s="4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4"/>
      <c r="Y493" s="23"/>
      <c r="Z493" s="4" t="str">
        <f t="shared" si="6"/>
        <v/>
      </c>
      <c r="AA493" s="4" t="str">
        <f t="shared" si="7"/>
        <v/>
      </c>
      <c r="AB493" s="4" t="str">
        <f t="shared" si="8"/>
        <v/>
      </c>
      <c r="AC493" s="4">
        <v>0.5029846369863531</v>
      </c>
      <c r="AD493" s="4">
        <f t="shared" si="9"/>
        <v>-0.69913434186698731</v>
      </c>
      <c r="AE493" s="4" t="e">
        <f t="shared" si="10"/>
        <v>#VALUE!</v>
      </c>
      <c r="AF493" s="3" t="e">
        <f t="shared" si="11"/>
        <v>#VALUE!</v>
      </c>
      <c r="AG493" s="3"/>
      <c r="AH493" s="3"/>
      <c r="AI493" s="3"/>
      <c r="AJ493" s="3"/>
      <c r="AK493" s="3"/>
    </row>
    <row r="494" spans="1:37" ht="12.75" customHeight="1" x14ac:dyDescent="0.2">
      <c r="A494" s="14">
        <v>485</v>
      </c>
      <c r="B494" s="4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4"/>
      <c r="Y494" s="23"/>
      <c r="Z494" s="4" t="str">
        <f t="shared" si="6"/>
        <v/>
      </c>
      <c r="AA494" s="4" t="str">
        <f t="shared" si="7"/>
        <v/>
      </c>
      <c r="AB494" s="4" t="str">
        <f t="shared" si="8"/>
        <v/>
      </c>
      <c r="AC494" s="4">
        <v>0.49345699335977988</v>
      </c>
      <c r="AD494" s="4">
        <f t="shared" si="9"/>
        <v>-0.68014604944051005</v>
      </c>
      <c r="AE494" s="4" t="e">
        <f t="shared" si="10"/>
        <v>#VALUE!</v>
      </c>
      <c r="AF494" s="3" t="e">
        <f t="shared" si="11"/>
        <v>#VALUE!</v>
      </c>
      <c r="AG494" s="3"/>
      <c r="AH494" s="3"/>
      <c r="AI494" s="3"/>
      <c r="AJ494" s="3"/>
      <c r="AK494" s="3"/>
    </row>
    <row r="495" spans="1:37" ht="12.75" customHeight="1" x14ac:dyDescent="0.2">
      <c r="A495" s="14">
        <v>486</v>
      </c>
      <c r="B495" s="4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4"/>
      <c r="Y495" s="23"/>
      <c r="Z495" s="4" t="str">
        <f t="shared" si="6"/>
        <v/>
      </c>
      <c r="AA495" s="4" t="str">
        <f t="shared" si="7"/>
        <v/>
      </c>
      <c r="AB495" s="4" t="str">
        <f t="shared" si="8"/>
        <v/>
      </c>
      <c r="AC495" s="4">
        <v>0.49345699335977988</v>
      </c>
      <c r="AD495" s="4">
        <f t="shared" si="9"/>
        <v>-0.68014604944051005</v>
      </c>
      <c r="AE495" s="4" t="e">
        <f t="shared" si="10"/>
        <v>#VALUE!</v>
      </c>
      <c r="AF495" s="3" t="e">
        <f t="shared" si="11"/>
        <v>#VALUE!</v>
      </c>
      <c r="AG495" s="3"/>
      <c r="AH495" s="3"/>
      <c r="AI495" s="3"/>
      <c r="AJ495" s="3"/>
      <c r="AK495" s="3"/>
    </row>
    <row r="496" spans="1:37" ht="12.75" customHeight="1" x14ac:dyDescent="0.2">
      <c r="A496" s="14">
        <v>487</v>
      </c>
      <c r="B496" s="4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4"/>
      <c r="Y496" s="23"/>
      <c r="Z496" s="4" t="str">
        <f t="shared" si="6"/>
        <v/>
      </c>
      <c r="AA496" s="4" t="str">
        <f t="shared" si="7"/>
        <v/>
      </c>
      <c r="AB496" s="4" t="str">
        <f t="shared" si="8"/>
        <v/>
      </c>
      <c r="AC496" s="4">
        <v>0.49345699335977988</v>
      </c>
      <c r="AD496" s="4">
        <f t="shared" si="9"/>
        <v>-0.68014604944051005</v>
      </c>
      <c r="AE496" s="4" t="e">
        <f t="shared" si="10"/>
        <v>#VALUE!</v>
      </c>
      <c r="AF496" s="3" t="e">
        <f t="shared" si="11"/>
        <v>#VALUE!</v>
      </c>
      <c r="AG496" s="3"/>
      <c r="AH496" s="3"/>
      <c r="AI496" s="3"/>
      <c r="AJ496" s="3"/>
      <c r="AK496" s="3"/>
    </row>
    <row r="497" spans="1:37" ht="12.75" customHeight="1" x14ac:dyDescent="0.2">
      <c r="A497" s="14">
        <v>488</v>
      </c>
      <c r="B497" s="4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4"/>
      <c r="Y497" s="23"/>
      <c r="Z497" s="4" t="str">
        <f t="shared" si="6"/>
        <v/>
      </c>
      <c r="AA497" s="4" t="str">
        <f t="shared" si="7"/>
        <v/>
      </c>
      <c r="AB497" s="4" t="str">
        <f t="shared" si="8"/>
        <v/>
      </c>
      <c r="AC497" s="4">
        <v>0.49345699335977988</v>
      </c>
      <c r="AD497" s="4">
        <f t="shared" si="9"/>
        <v>-0.68014604944051005</v>
      </c>
      <c r="AE497" s="4" t="e">
        <f t="shared" si="10"/>
        <v>#VALUE!</v>
      </c>
      <c r="AF497" s="3" t="e">
        <f t="shared" si="11"/>
        <v>#VALUE!</v>
      </c>
      <c r="AG497" s="3"/>
      <c r="AH497" s="3"/>
      <c r="AI497" s="3"/>
      <c r="AJ497" s="3"/>
      <c r="AK497" s="3"/>
    </row>
    <row r="498" spans="1:37" ht="12.75" customHeight="1" x14ac:dyDescent="0.2">
      <c r="A498" s="14">
        <v>489</v>
      </c>
      <c r="B498" s="4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4"/>
      <c r="Y498" s="23"/>
      <c r="Z498" s="4" t="str">
        <f t="shared" si="6"/>
        <v/>
      </c>
      <c r="AA498" s="4" t="str">
        <f t="shared" si="7"/>
        <v/>
      </c>
      <c r="AB498" s="4" t="str">
        <f t="shared" si="8"/>
        <v/>
      </c>
      <c r="AC498" s="4">
        <v>0.49345699335977988</v>
      </c>
      <c r="AD498" s="4">
        <f t="shared" si="9"/>
        <v>-0.68014604944051005</v>
      </c>
      <c r="AE498" s="4" t="e">
        <f t="shared" si="10"/>
        <v>#VALUE!</v>
      </c>
      <c r="AF498" s="3" t="e">
        <f t="shared" si="11"/>
        <v>#VALUE!</v>
      </c>
      <c r="AG498" s="3"/>
      <c r="AH498" s="3"/>
      <c r="AI498" s="3"/>
      <c r="AJ498" s="3"/>
      <c r="AK498" s="3"/>
    </row>
    <row r="499" spans="1:37" ht="12.75" customHeight="1" x14ac:dyDescent="0.2">
      <c r="A499" s="14">
        <v>490</v>
      </c>
      <c r="B499" s="4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4"/>
      <c r="Y499" s="23"/>
      <c r="Z499" s="4" t="str">
        <f t="shared" si="6"/>
        <v/>
      </c>
      <c r="AA499" s="4" t="str">
        <f t="shared" si="7"/>
        <v/>
      </c>
      <c r="AB499" s="4" t="str">
        <f t="shared" si="8"/>
        <v/>
      </c>
      <c r="AC499" s="4">
        <v>0.49345699335977988</v>
      </c>
      <c r="AD499" s="4">
        <f t="shared" si="9"/>
        <v>-0.68014604944051005</v>
      </c>
      <c r="AE499" s="4" t="e">
        <f t="shared" si="10"/>
        <v>#VALUE!</v>
      </c>
      <c r="AF499" s="3" t="e">
        <f t="shared" si="11"/>
        <v>#VALUE!</v>
      </c>
      <c r="AG499" s="3"/>
      <c r="AH499" s="3"/>
      <c r="AI499" s="3"/>
      <c r="AJ499" s="3"/>
      <c r="AK499" s="3"/>
    </row>
    <row r="500" spans="1:37" ht="12.75" customHeight="1" x14ac:dyDescent="0.2">
      <c r="A500" s="14">
        <v>491</v>
      </c>
      <c r="B500" s="4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4"/>
      <c r="Y500" s="23"/>
      <c r="Z500" s="4" t="str">
        <f t="shared" si="6"/>
        <v/>
      </c>
      <c r="AA500" s="4" t="str">
        <f t="shared" si="7"/>
        <v/>
      </c>
      <c r="AB500" s="4" t="str">
        <f t="shared" si="8"/>
        <v/>
      </c>
      <c r="AC500" s="4">
        <v>0.49345699335977988</v>
      </c>
      <c r="AD500" s="4">
        <f t="shared" si="9"/>
        <v>-0.68014604944051005</v>
      </c>
      <c r="AE500" s="4" t="e">
        <f t="shared" si="10"/>
        <v>#VALUE!</v>
      </c>
      <c r="AF500" s="3" t="e">
        <f t="shared" si="11"/>
        <v>#VALUE!</v>
      </c>
      <c r="AG500" s="3"/>
      <c r="AH500" s="3"/>
      <c r="AI500" s="3"/>
      <c r="AJ500" s="3"/>
      <c r="AK500" s="3"/>
    </row>
    <row r="501" spans="1:37" ht="12.75" customHeight="1" x14ac:dyDescent="0.2">
      <c r="A501" s="14">
        <v>492</v>
      </c>
      <c r="B501" s="4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4"/>
      <c r="Y501" s="23"/>
      <c r="Z501" s="4" t="str">
        <f t="shared" si="6"/>
        <v/>
      </c>
      <c r="AA501" s="4" t="str">
        <f t="shared" si="7"/>
        <v/>
      </c>
      <c r="AB501" s="4" t="str">
        <f t="shared" si="8"/>
        <v/>
      </c>
      <c r="AC501" s="4">
        <v>0.4839331048130745</v>
      </c>
      <c r="AD501" s="4">
        <f t="shared" si="9"/>
        <v>-0.6615188800682239</v>
      </c>
      <c r="AE501" s="4" t="e">
        <f t="shared" si="10"/>
        <v>#VALUE!</v>
      </c>
      <c r="AF501" s="3" t="e">
        <f t="shared" si="11"/>
        <v>#VALUE!</v>
      </c>
      <c r="AG501" s="3"/>
      <c r="AH501" s="3"/>
      <c r="AI501" s="3"/>
      <c r="AJ501" s="3"/>
      <c r="AK501" s="3"/>
    </row>
    <row r="502" spans="1:37" ht="12.75" customHeight="1" x14ac:dyDescent="0.2">
      <c r="A502" s="14">
        <v>493</v>
      </c>
      <c r="B502" s="4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4"/>
      <c r="Y502" s="23"/>
      <c r="Z502" s="4" t="str">
        <f t="shared" si="6"/>
        <v/>
      </c>
      <c r="AA502" s="4" t="str">
        <f t="shared" si="7"/>
        <v/>
      </c>
      <c r="AB502" s="4" t="str">
        <f t="shared" si="8"/>
        <v/>
      </c>
      <c r="AC502" s="4">
        <v>0.4839331048130745</v>
      </c>
      <c r="AD502" s="4">
        <f t="shared" si="9"/>
        <v>-0.6615188800682239</v>
      </c>
      <c r="AE502" s="4" t="e">
        <f t="shared" si="10"/>
        <v>#VALUE!</v>
      </c>
      <c r="AF502" s="3" t="e">
        <f t="shared" si="11"/>
        <v>#VALUE!</v>
      </c>
      <c r="AG502" s="3"/>
      <c r="AH502" s="3"/>
      <c r="AI502" s="3"/>
      <c r="AJ502" s="3"/>
      <c r="AK502" s="3"/>
    </row>
    <row r="503" spans="1:37" ht="12.75" customHeight="1" x14ac:dyDescent="0.2">
      <c r="A503" s="14">
        <v>494</v>
      </c>
      <c r="B503" s="4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4"/>
      <c r="Y503" s="23"/>
      <c r="Z503" s="4" t="str">
        <f t="shared" si="6"/>
        <v/>
      </c>
      <c r="AA503" s="4" t="str">
        <f t="shared" si="7"/>
        <v/>
      </c>
      <c r="AB503" s="4" t="str">
        <f t="shared" si="8"/>
        <v/>
      </c>
      <c r="AC503" s="4">
        <v>0.4839331048130745</v>
      </c>
      <c r="AD503" s="4">
        <f t="shared" si="9"/>
        <v>-0.6615188800682239</v>
      </c>
      <c r="AE503" s="4" t="e">
        <f t="shared" si="10"/>
        <v>#VALUE!</v>
      </c>
      <c r="AF503" s="3" t="e">
        <f t="shared" si="11"/>
        <v>#VALUE!</v>
      </c>
      <c r="AG503" s="3"/>
      <c r="AH503" s="3"/>
      <c r="AI503" s="3"/>
      <c r="AJ503" s="3"/>
      <c r="AK503" s="3"/>
    </row>
    <row r="504" spans="1:37" ht="12.75" customHeight="1" x14ac:dyDescent="0.2">
      <c r="A504" s="14">
        <v>495</v>
      </c>
      <c r="B504" s="4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4"/>
      <c r="Y504" s="23"/>
      <c r="Z504" s="4" t="str">
        <f t="shared" si="6"/>
        <v/>
      </c>
      <c r="AA504" s="4" t="str">
        <f t="shared" si="7"/>
        <v/>
      </c>
      <c r="AB504" s="4" t="str">
        <f t="shared" si="8"/>
        <v/>
      </c>
      <c r="AC504" s="4">
        <v>0.4839331048130745</v>
      </c>
      <c r="AD504" s="4">
        <f t="shared" si="9"/>
        <v>-0.6615188800682239</v>
      </c>
      <c r="AE504" s="4" t="e">
        <f t="shared" si="10"/>
        <v>#VALUE!</v>
      </c>
      <c r="AF504" s="3" t="e">
        <f t="shared" si="11"/>
        <v>#VALUE!</v>
      </c>
      <c r="AG504" s="3"/>
      <c r="AH504" s="3"/>
      <c r="AI504" s="3"/>
      <c r="AJ504" s="3"/>
      <c r="AK504" s="3"/>
    </row>
    <row r="505" spans="1:37" ht="12.75" customHeight="1" x14ac:dyDescent="0.2">
      <c r="A505" s="14">
        <v>496</v>
      </c>
      <c r="B505" s="4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4"/>
      <c r="Y505" s="23"/>
      <c r="Z505" s="4" t="str">
        <f t="shared" si="6"/>
        <v/>
      </c>
      <c r="AA505" s="4" t="str">
        <f t="shared" si="7"/>
        <v/>
      </c>
      <c r="AB505" s="4" t="str">
        <f t="shared" si="8"/>
        <v/>
      </c>
      <c r="AC505" s="4">
        <v>0.4839331048130745</v>
      </c>
      <c r="AD505" s="4">
        <f t="shared" si="9"/>
        <v>-0.6615188800682239</v>
      </c>
      <c r="AE505" s="4" t="e">
        <f t="shared" si="10"/>
        <v>#VALUE!</v>
      </c>
      <c r="AF505" s="3" t="e">
        <f t="shared" si="11"/>
        <v>#VALUE!</v>
      </c>
      <c r="AG505" s="3"/>
      <c r="AH505" s="3"/>
      <c r="AI505" s="3"/>
      <c r="AJ505" s="3"/>
      <c r="AK505" s="3"/>
    </row>
    <row r="506" spans="1:37" ht="12.75" customHeight="1" x14ac:dyDescent="0.2">
      <c r="A506" s="14">
        <v>497</v>
      </c>
      <c r="B506" s="4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4"/>
      <c r="Y506" s="23"/>
      <c r="Z506" s="4" t="str">
        <f t="shared" si="6"/>
        <v/>
      </c>
      <c r="AA506" s="4" t="str">
        <f t="shared" si="7"/>
        <v/>
      </c>
      <c r="AB506" s="4" t="str">
        <f t="shared" si="8"/>
        <v/>
      </c>
      <c r="AC506" s="4">
        <v>0.4839331048130745</v>
      </c>
      <c r="AD506" s="4">
        <f t="shared" si="9"/>
        <v>-0.6615188800682239</v>
      </c>
      <c r="AE506" s="4" t="e">
        <f t="shared" si="10"/>
        <v>#VALUE!</v>
      </c>
      <c r="AF506" s="3" t="e">
        <f t="shared" si="11"/>
        <v>#VALUE!</v>
      </c>
      <c r="AG506" s="3"/>
      <c r="AH506" s="3"/>
      <c r="AI506" s="3"/>
      <c r="AJ506" s="3"/>
      <c r="AK506" s="3"/>
    </row>
    <row r="507" spans="1:37" ht="12.75" customHeight="1" x14ac:dyDescent="0.2">
      <c r="A507" s="14">
        <v>498</v>
      </c>
      <c r="B507" s="4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4"/>
      <c r="Y507" s="23"/>
      <c r="Z507" s="4" t="str">
        <f t="shared" si="6"/>
        <v/>
      </c>
      <c r="AA507" s="4" t="str">
        <f t="shared" si="7"/>
        <v/>
      </c>
      <c r="AB507" s="4" t="str">
        <f t="shared" si="8"/>
        <v/>
      </c>
      <c r="AC507" s="4">
        <v>0.4839331048130745</v>
      </c>
      <c r="AD507" s="4">
        <f t="shared" si="9"/>
        <v>-0.6615188800682239</v>
      </c>
      <c r="AE507" s="4" t="e">
        <f t="shared" si="10"/>
        <v>#VALUE!</v>
      </c>
      <c r="AF507" s="3" t="e">
        <f t="shared" si="11"/>
        <v>#VALUE!</v>
      </c>
      <c r="AG507" s="3"/>
      <c r="AH507" s="3"/>
      <c r="AI507" s="3"/>
      <c r="AJ507" s="3"/>
      <c r="AK507" s="3"/>
    </row>
    <row r="508" spans="1:37" ht="12.75" customHeight="1" x14ac:dyDescent="0.2">
      <c r="A508" s="14">
        <v>499</v>
      </c>
      <c r="B508" s="4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4"/>
      <c r="Y508" s="23"/>
      <c r="Z508" s="4" t="str">
        <f t="shared" si="6"/>
        <v/>
      </c>
      <c r="AA508" s="4" t="str">
        <f t="shared" si="7"/>
        <v/>
      </c>
      <c r="AB508" s="4" t="str">
        <f t="shared" si="8"/>
        <v/>
      </c>
      <c r="AC508" s="4">
        <v>0.4839331048130745</v>
      </c>
      <c r="AD508" s="4">
        <f t="shared" si="9"/>
        <v>-0.6615188800682239</v>
      </c>
      <c r="AE508" s="4" t="e">
        <f t="shared" si="10"/>
        <v>#VALUE!</v>
      </c>
      <c r="AF508" s="3" t="e">
        <f t="shared" si="11"/>
        <v>#VALUE!</v>
      </c>
      <c r="AG508" s="3"/>
      <c r="AH508" s="3"/>
      <c r="AI508" s="3"/>
      <c r="AJ508" s="3"/>
      <c r="AK508" s="3"/>
    </row>
    <row r="509" spans="1:37" ht="12.75" customHeight="1" x14ac:dyDescent="0.2">
      <c r="A509" s="14">
        <v>500</v>
      </c>
      <c r="B509" s="4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4"/>
      <c r="Y509" s="23"/>
      <c r="Z509" s="4" t="str">
        <f t="shared" si="6"/>
        <v/>
      </c>
      <c r="AA509" s="4" t="str">
        <f t="shared" si="7"/>
        <v/>
      </c>
      <c r="AB509" s="4" t="str">
        <f t="shared" si="8"/>
        <v/>
      </c>
      <c r="AC509" s="4">
        <v>0.4839331048130745</v>
      </c>
      <c r="AD509" s="4">
        <f t="shared" si="9"/>
        <v>-0.6615188800682239</v>
      </c>
      <c r="AE509" s="4" t="e">
        <f t="shared" si="10"/>
        <v>#VALUE!</v>
      </c>
      <c r="AF509" s="3" t="e">
        <f t="shared" si="11"/>
        <v>#VALUE!</v>
      </c>
      <c r="AG509" s="3"/>
      <c r="AH509" s="3"/>
      <c r="AI509" s="3"/>
      <c r="AJ509" s="3"/>
      <c r="AK509" s="3"/>
    </row>
    <row r="510" spans="1:37" ht="12.75" customHeight="1" x14ac:dyDescent="0.2">
      <c r="A510" s="14">
        <v>501</v>
      </c>
      <c r="B510" s="4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4"/>
      <c r="Y510" s="23"/>
      <c r="Z510" s="4" t="str">
        <f t="shared" si="6"/>
        <v/>
      </c>
      <c r="AA510" s="4" t="str">
        <f t="shared" si="7"/>
        <v/>
      </c>
      <c r="AB510" s="4" t="str">
        <f t="shared" si="8"/>
        <v/>
      </c>
      <c r="AC510" s="4">
        <v>0.4839331048130745</v>
      </c>
      <c r="AD510" s="4">
        <f t="shared" si="9"/>
        <v>-0.6615188800682239</v>
      </c>
      <c r="AE510" s="4" t="e">
        <f t="shared" si="10"/>
        <v>#VALUE!</v>
      </c>
      <c r="AF510" s="3" t="e">
        <f t="shared" si="11"/>
        <v>#VALUE!</v>
      </c>
      <c r="AG510" s="3"/>
      <c r="AH510" s="3"/>
      <c r="AI510" s="3"/>
      <c r="AJ510" s="3"/>
      <c r="AK510" s="3"/>
    </row>
    <row r="511" spans="1:37" ht="12.75" customHeight="1" x14ac:dyDescent="0.2">
      <c r="A511" s="14">
        <v>502</v>
      </c>
      <c r="B511" s="4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4"/>
      <c r="Y511" s="23"/>
      <c r="Z511" s="4" t="str">
        <f t="shared" si="6"/>
        <v/>
      </c>
      <c r="AA511" s="4" t="str">
        <f t="shared" si="7"/>
        <v/>
      </c>
      <c r="AB511" s="4" t="str">
        <f t="shared" si="8"/>
        <v/>
      </c>
      <c r="AC511" s="4">
        <v>0.4839331048130745</v>
      </c>
      <c r="AD511" s="4">
        <f t="shared" si="9"/>
        <v>-0.6615188800682239</v>
      </c>
      <c r="AE511" s="4" t="e">
        <f t="shared" si="10"/>
        <v>#VALUE!</v>
      </c>
      <c r="AF511" s="3" t="e">
        <f t="shared" si="11"/>
        <v>#VALUE!</v>
      </c>
      <c r="AG511" s="3"/>
      <c r="AH511" s="3"/>
      <c r="AI511" s="3"/>
      <c r="AJ511" s="3"/>
      <c r="AK511" s="3"/>
    </row>
    <row r="512" spans="1:37" ht="12.75" customHeight="1" x14ac:dyDescent="0.2">
      <c r="A512" s="14">
        <v>503</v>
      </c>
      <c r="B512" s="4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4"/>
      <c r="Y512" s="23"/>
      <c r="Z512" s="4" t="str">
        <f t="shared" si="6"/>
        <v/>
      </c>
      <c r="AA512" s="4" t="str">
        <f t="shared" si="7"/>
        <v/>
      </c>
      <c r="AB512" s="4" t="str">
        <f t="shared" si="8"/>
        <v/>
      </c>
      <c r="AC512" s="4">
        <v>0.4839331048130745</v>
      </c>
      <c r="AD512" s="4">
        <f t="shared" si="9"/>
        <v>-0.6615188800682239</v>
      </c>
      <c r="AE512" s="4" t="e">
        <f t="shared" si="10"/>
        <v>#VALUE!</v>
      </c>
      <c r="AF512" s="3" t="e">
        <f t="shared" si="11"/>
        <v>#VALUE!</v>
      </c>
      <c r="AG512" s="3"/>
      <c r="AH512" s="3"/>
      <c r="AI512" s="3"/>
      <c r="AJ512" s="3"/>
      <c r="AK512" s="3"/>
    </row>
    <row r="513" spans="1:37" ht="12.75" customHeight="1" x14ac:dyDescent="0.2">
      <c r="A513" s="14">
        <v>504</v>
      </c>
      <c r="B513" s="4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4"/>
      <c r="Y513" s="23"/>
      <c r="Z513" s="4" t="str">
        <f t="shared" si="6"/>
        <v/>
      </c>
      <c r="AA513" s="4" t="str">
        <f t="shared" si="7"/>
        <v/>
      </c>
      <c r="AB513" s="4" t="str">
        <f t="shared" si="8"/>
        <v/>
      </c>
      <c r="AC513" s="4">
        <v>0.47441839431964117</v>
      </c>
      <c r="AD513" s="4">
        <f t="shared" si="9"/>
        <v>-0.64324980922710895</v>
      </c>
      <c r="AE513" s="4" t="e">
        <f t="shared" si="10"/>
        <v>#VALUE!</v>
      </c>
      <c r="AF513" s="3" t="e">
        <f t="shared" si="11"/>
        <v>#VALUE!</v>
      </c>
      <c r="AG513" s="3"/>
      <c r="AH513" s="3"/>
      <c r="AI513" s="3"/>
      <c r="AJ513" s="3"/>
      <c r="AK513" s="3"/>
    </row>
    <row r="514" spans="1:37" ht="12.75" customHeight="1" x14ac:dyDescent="0.2">
      <c r="A514" s="14">
        <v>505</v>
      </c>
      <c r="B514" s="4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4"/>
      <c r="Y514" s="23"/>
      <c r="Z514" s="4" t="str">
        <f t="shared" si="6"/>
        <v/>
      </c>
      <c r="AA514" s="4" t="str">
        <f t="shared" si="7"/>
        <v/>
      </c>
      <c r="AB514" s="4" t="str">
        <f t="shared" si="8"/>
        <v/>
      </c>
      <c r="AC514" s="4">
        <v>0.47441839431964117</v>
      </c>
      <c r="AD514" s="4">
        <f t="shared" si="9"/>
        <v>-0.64324980922710895</v>
      </c>
      <c r="AE514" s="4" t="e">
        <f t="shared" si="10"/>
        <v>#VALUE!</v>
      </c>
      <c r="AF514" s="3" t="e">
        <f t="shared" si="11"/>
        <v>#VALUE!</v>
      </c>
      <c r="AG514" s="3"/>
      <c r="AH514" s="3"/>
      <c r="AI514" s="3"/>
      <c r="AJ514" s="3"/>
      <c r="AK514" s="3"/>
    </row>
    <row r="515" spans="1:37" ht="12.75" customHeight="1" x14ac:dyDescent="0.2">
      <c r="A515" s="14">
        <v>506</v>
      </c>
      <c r="B515" s="4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4"/>
      <c r="Y515" s="23"/>
      <c r="Z515" s="4" t="str">
        <f t="shared" si="6"/>
        <v/>
      </c>
      <c r="AA515" s="4" t="str">
        <f t="shared" si="7"/>
        <v/>
      </c>
      <c r="AB515" s="4" t="str">
        <f t="shared" si="8"/>
        <v/>
      </c>
      <c r="AC515" s="4">
        <v>0.47441839431964117</v>
      </c>
      <c r="AD515" s="4">
        <f t="shared" si="9"/>
        <v>-0.64324980922710895</v>
      </c>
      <c r="AE515" s="4" t="e">
        <f t="shared" si="10"/>
        <v>#VALUE!</v>
      </c>
      <c r="AF515" s="3" t="e">
        <f t="shared" si="11"/>
        <v>#VALUE!</v>
      </c>
      <c r="AG515" s="3"/>
      <c r="AH515" s="3"/>
      <c r="AI515" s="3"/>
      <c r="AJ515" s="3"/>
      <c r="AK515" s="3"/>
    </row>
    <row r="516" spans="1:37" ht="12.75" customHeight="1" x14ac:dyDescent="0.2">
      <c r="A516" s="14">
        <v>507</v>
      </c>
      <c r="B516" s="4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4"/>
      <c r="Y516" s="23"/>
      <c r="Z516" s="4" t="str">
        <f t="shared" si="6"/>
        <v/>
      </c>
      <c r="AA516" s="4" t="str">
        <f t="shared" si="7"/>
        <v/>
      </c>
      <c r="AB516" s="4" t="str">
        <f t="shared" si="8"/>
        <v/>
      </c>
      <c r="AC516" s="4">
        <v>0.47441839431964117</v>
      </c>
      <c r="AD516" s="4">
        <f t="shared" si="9"/>
        <v>-0.64324980922710895</v>
      </c>
      <c r="AE516" s="4" t="e">
        <f t="shared" si="10"/>
        <v>#VALUE!</v>
      </c>
      <c r="AF516" s="3" t="e">
        <f t="shared" si="11"/>
        <v>#VALUE!</v>
      </c>
      <c r="AG516" s="3"/>
      <c r="AH516" s="3"/>
      <c r="AI516" s="3"/>
      <c r="AJ516" s="3"/>
      <c r="AK516" s="3"/>
    </row>
    <row r="517" spans="1:37" ht="12.75" customHeight="1" x14ac:dyDescent="0.2">
      <c r="A517" s="14">
        <v>508</v>
      </c>
      <c r="B517" s="4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4"/>
      <c r="Y517" s="23"/>
      <c r="Z517" s="4" t="str">
        <f t="shared" si="6"/>
        <v/>
      </c>
      <c r="AA517" s="4" t="str">
        <f t="shared" si="7"/>
        <v/>
      </c>
      <c r="AB517" s="4" t="str">
        <f t="shared" si="8"/>
        <v/>
      </c>
      <c r="AC517" s="4">
        <v>0.47441839431964117</v>
      </c>
      <c r="AD517" s="4">
        <f t="shared" si="9"/>
        <v>-0.64324980922710895</v>
      </c>
      <c r="AE517" s="4" t="e">
        <f t="shared" si="10"/>
        <v>#VALUE!</v>
      </c>
      <c r="AF517" s="3" t="e">
        <f t="shared" si="11"/>
        <v>#VALUE!</v>
      </c>
      <c r="AG517" s="3"/>
      <c r="AH517" s="3"/>
      <c r="AI517" s="3"/>
      <c r="AJ517" s="3"/>
      <c r="AK517" s="3"/>
    </row>
    <row r="518" spans="1:37" ht="12.75" customHeight="1" x14ac:dyDescent="0.2">
      <c r="A518" s="14">
        <v>509</v>
      </c>
      <c r="B518" s="4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4"/>
      <c r="Y518" s="23"/>
      <c r="Z518" s="4" t="str">
        <f t="shared" si="6"/>
        <v/>
      </c>
      <c r="AA518" s="4" t="str">
        <f t="shared" si="7"/>
        <v/>
      </c>
      <c r="AB518" s="4" t="str">
        <f t="shared" si="8"/>
        <v/>
      </c>
      <c r="AC518" s="4">
        <v>0.46491826692014382</v>
      </c>
      <c r="AD518" s="4">
        <f t="shared" si="9"/>
        <v>-0.62533577164272047</v>
      </c>
      <c r="AE518" s="4" t="e">
        <f t="shared" si="10"/>
        <v>#VALUE!</v>
      </c>
      <c r="AF518" s="3" t="e">
        <f t="shared" si="11"/>
        <v>#VALUE!</v>
      </c>
      <c r="AG518" s="3"/>
      <c r="AH518" s="3"/>
      <c r="AI518" s="3"/>
      <c r="AJ518" s="3"/>
      <c r="AK518" s="3"/>
    </row>
    <row r="519" spans="1:37" ht="12.75" customHeight="1" x14ac:dyDescent="0.2">
      <c r="A519" s="14">
        <v>510</v>
      </c>
      <c r="B519" s="4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4"/>
      <c r="Y519" s="23"/>
      <c r="Z519" s="4" t="str">
        <f t="shared" si="6"/>
        <v/>
      </c>
      <c r="AA519" s="4" t="str">
        <f t="shared" si="7"/>
        <v/>
      </c>
      <c r="AB519" s="4" t="str">
        <f t="shared" si="8"/>
        <v/>
      </c>
      <c r="AC519" s="4">
        <v>0.46491826692014382</v>
      </c>
      <c r="AD519" s="4">
        <f t="shared" si="9"/>
        <v>-0.62533577164272047</v>
      </c>
      <c r="AE519" s="4" t="e">
        <f t="shared" si="10"/>
        <v>#VALUE!</v>
      </c>
      <c r="AF519" s="3" t="e">
        <f t="shared" si="11"/>
        <v>#VALUE!</v>
      </c>
      <c r="AG519" s="3"/>
      <c r="AH519" s="3"/>
      <c r="AI519" s="3"/>
      <c r="AJ519" s="3"/>
      <c r="AK519" s="3"/>
    </row>
    <row r="520" spans="1:37" ht="12.75" customHeight="1" x14ac:dyDescent="0.2">
      <c r="A520" s="14">
        <v>511</v>
      </c>
      <c r="B520" s="4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4"/>
      <c r="Y520" s="23"/>
      <c r="Z520" s="4" t="str">
        <f t="shared" ref="Z520:Z774" si="12">IF(A520&gt;$AE$6,"",(B520-$B$5)/$B$6)</f>
        <v/>
      </c>
      <c r="AA520" s="4" t="str">
        <f t="shared" ref="AA520:AA774" si="13">IF(A520&gt;$AE$6,"",IF(NORMSDIST(Z520)=1,0.999999999,IF(NORMSDIST(Z520)=0,0.0000000000000001,NORMSDIST(Z520))))</f>
        <v/>
      </c>
      <c r="AB520" s="4" t="str">
        <f t="shared" ref="AB520:AB774" si="14">IF(A520&gt;$AE$6, "", LN(AA520))</f>
        <v/>
      </c>
      <c r="AC520" s="4">
        <v>0.46491826692014382</v>
      </c>
      <c r="AD520" s="4">
        <f t="shared" ref="AD520:AD774" si="15">LN(1-AC520)</f>
        <v>-0.62533577164272047</v>
      </c>
      <c r="AE520" s="4" t="e">
        <f t="shared" ref="AE520:AE774" si="16">-1*(2*A520-1)*(AB520+AD520)/$AE$6</f>
        <v>#VALUE!</v>
      </c>
      <c r="AF520" s="3" t="e">
        <f t="shared" si="11"/>
        <v>#VALUE!</v>
      </c>
      <c r="AG520" s="3"/>
      <c r="AH520" s="3"/>
      <c r="AI520" s="3"/>
      <c r="AJ520" s="3"/>
      <c r="AK520" s="3"/>
    </row>
    <row r="521" spans="1:37" ht="12.75" customHeight="1" x14ac:dyDescent="0.2">
      <c r="A521" s="14">
        <v>512</v>
      </c>
      <c r="B521" s="4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4"/>
      <c r="Y521" s="23"/>
      <c r="Z521" s="4" t="str">
        <f t="shared" si="12"/>
        <v/>
      </c>
      <c r="AA521" s="4" t="str">
        <f t="shared" si="13"/>
        <v/>
      </c>
      <c r="AB521" s="4" t="str">
        <f t="shared" si="14"/>
        <v/>
      </c>
      <c r="AC521" s="4">
        <v>0.46491826692014382</v>
      </c>
      <c r="AD521" s="4">
        <f t="shared" si="15"/>
        <v>-0.62533577164272047</v>
      </c>
      <c r="AE521" s="4" t="e">
        <f t="shared" si="16"/>
        <v>#VALUE!</v>
      </c>
      <c r="AF521" s="3" t="e">
        <f t="shared" ref="AF521:AF775" si="17">IF(A521="", AF520, AF520+AE521)</f>
        <v>#VALUE!</v>
      </c>
      <c r="AG521" s="3"/>
      <c r="AH521" s="3"/>
      <c r="AI521" s="3"/>
      <c r="AJ521" s="3"/>
      <c r="AK521" s="3"/>
    </row>
    <row r="522" spans="1:37" ht="12.75" customHeight="1" x14ac:dyDescent="0.2">
      <c r="A522" s="14">
        <v>513</v>
      </c>
      <c r="B522" s="4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4"/>
      <c r="Y522" s="23"/>
      <c r="Z522" s="4" t="str">
        <f t="shared" si="12"/>
        <v/>
      </c>
      <c r="AA522" s="4" t="str">
        <f t="shared" si="13"/>
        <v/>
      </c>
      <c r="AB522" s="4" t="str">
        <f t="shared" si="14"/>
        <v/>
      </c>
      <c r="AC522" s="4">
        <v>0.46491826692014382</v>
      </c>
      <c r="AD522" s="4">
        <f t="shared" si="15"/>
        <v>-0.62533577164272047</v>
      </c>
      <c r="AE522" s="4" t="e">
        <f t="shared" si="16"/>
        <v>#VALUE!</v>
      </c>
      <c r="AF522" s="3" t="e">
        <f t="shared" si="17"/>
        <v>#VALUE!</v>
      </c>
      <c r="AG522" s="3"/>
      <c r="AH522" s="3"/>
      <c r="AI522" s="3"/>
      <c r="AJ522" s="3"/>
      <c r="AK522" s="3"/>
    </row>
    <row r="523" spans="1:37" ht="12.75" customHeight="1" x14ac:dyDescent="0.2">
      <c r="A523" s="14">
        <v>514</v>
      </c>
      <c r="B523" s="4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4"/>
      <c r="Y523" s="23"/>
      <c r="Z523" s="4" t="str">
        <f t="shared" si="12"/>
        <v/>
      </c>
      <c r="AA523" s="4" t="str">
        <f t="shared" si="13"/>
        <v/>
      </c>
      <c r="AB523" s="4" t="str">
        <f t="shared" si="14"/>
        <v/>
      </c>
      <c r="AC523" s="4">
        <v>0.45543810403687868</v>
      </c>
      <c r="AD523" s="4">
        <f t="shared" si="15"/>
        <v>-0.60777366820621959</v>
      </c>
      <c r="AE523" s="4" t="e">
        <f t="shared" si="16"/>
        <v>#VALUE!</v>
      </c>
      <c r="AF523" s="3" t="e">
        <f t="shared" si="17"/>
        <v>#VALUE!</v>
      </c>
      <c r="AG523" s="3"/>
      <c r="AH523" s="3"/>
      <c r="AI523" s="3"/>
      <c r="AJ523" s="3"/>
      <c r="AK523" s="3"/>
    </row>
    <row r="524" spans="1:37" ht="12.75" customHeight="1" x14ac:dyDescent="0.2">
      <c r="A524" s="14">
        <v>515</v>
      </c>
      <c r="B524" s="4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4"/>
      <c r="Y524" s="23"/>
      <c r="Z524" s="4" t="str">
        <f t="shared" si="12"/>
        <v/>
      </c>
      <c r="AA524" s="4" t="str">
        <f t="shared" si="13"/>
        <v/>
      </c>
      <c r="AB524" s="4" t="str">
        <f t="shared" si="14"/>
        <v/>
      </c>
      <c r="AC524" s="4">
        <v>0.45543810403687868</v>
      </c>
      <c r="AD524" s="4">
        <f t="shared" si="15"/>
        <v>-0.60777366820621959</v>
      </c>
      <c r="AE524" s="4" t="e">
        <f t="shared" si="16"/>
        <v>#VALUE!</v>
      </c>
      <c r="AF524" s="3" t="e">
        <f t="shared" si="17"/>
        <v>#VALUE!</v>
      </c>
      <c r="AG524" s="3"/>
      <c r="AH524" s="3"/>
      <c r="AI524" s="3"/>
      <c r="AJ524" s="3"/>
      <c r="AK524" s="3"/>
    </row>
    <row r="525" spans="1:37" ht="12.75" customHeight="1" x14ac:dyDescent="0.2">
      <c r="A525" s="14">
        <v>516</v>
      </c>
      <c r="B525" s="4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4"/>
      <c r="Y525" s="23"/>
      <c r="Z525" s="4" t="str">
        <f t="shared" si="12"/>
        <v/>
      </c>
      <c r="AA525" s="4" t="str">
        <f t="shared" si="13"/>
        <v/>
      </c>
      <c r="AB525" s="4" t="str">
        <f t="shared" si="14"/>
        <v/>
      </c>
      <c r="AC525" s="4">
        <v>0.45543810403687868</v>
      </c>
      <c r="AD525" s="4">
        <f t="shared" si="15"/>
        <v>-0.60777366820621959</v>
      </c>
      <c r="AE525" s="4" t="e">
        <f t="shared" si="16"/>
        <v>#VALUE!</v>
      </c>
      <c r="AF525" s="3" t="e">
        <f t="shared" si="17"/>
        <v>#VALUE!</v>
      </c>
      <c r="AG525" s="3"/>
      <c r="AH525" s="3"/>
      <c r="AI525" s="3"/>
      <c r="AJ525" s="3"/>
      <c r="AK525" s="3"/>
    </row>
    <row r="526" spans="1:37" ht="12.75" customHeight="1" x14ac:dyDescent="0.2">
      <c r="A526" s="14">
        <v>517</v>
      </c>
      <c r="B526" s="4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4"/>
      <c r="Y526" s="23"/>
      <c r="Z526" s="4" t="str">
        <f t="shared" si="12"/>
        <v/>
      </c>
      <c r="AA526" s="4" t="str">
        <f t="shared" si="13"/>
        <v/>
      </c>
      <c r="AB526" s="4" t="str">
        <f t="shared" si="14"/>
        <v/>
      </c>
      <c r="AC526" s="4">
        <v>0.45543810403687868</v>
      </c>
      <c r="AD526" s="4">
        <f t="shared" si="15"/>
        <v>-0.60777366820621959</v>
      </c>
      <c r="AE526" s="4" t="e">
        <f t="shared" si="16"/>
        <v>#VALUE!</v>
      </c>
      <c r="AF526" s="3" t="e">
        <f t="shared" si="17"/>
        <v>#VALUE!</v>
      </c>
      <c r="AG526" s="3"/>
      <c r="AH526" s="3"/>
      <c r="AI526" s="3"/>
      <c r="AJ526" s="3"/>
      <c r="AK526" s="3"/>
    </row>
    <row r="527" spans="1:37" ht="12.75" customHeight="1" x14ac:dyDescent="0.2">
      <c r="A527" s="14">
        <v>518</v>
      </c>
      <c r="B527" s="4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4"/>
      <c r="Y527" s="23"/>
      <c r="Z527" s="4" t="str">
        <f t="shared" si="12"/>
        <v/>
      </c>
      <c r="AA527" s="4" t="str">
        <f t="shared" si="13"/>
        <v/>
      </c>
      <c r="AB527" s="4" t="str">
        <f t="shared" si="14"/>
        <v/>
      </c>
      <c r="AC527" s="4">
        <v>0.45543810403687868</v>
      </c>
      <c r="AD527" s="4">
        <f t="shared" si="15"/>
        <v>-0.60777366820621959</v>
      </c>
      <c r="AE527" s="4" t="e">
        <f t="shared" si="16"/>
        <v>#VALUE!</v>
      </c>
      <c r="AF527" s="3" t="e">
        <f t="shared" si="17"/>
        <v>#VALUE!</v>
      </c>
      <c r="AG527" s="3"/>
      <c r="AH527" s="3"/>
      <c r="AI527" s="3"/>
      <c r="AJ527" s="3"/>
      <c r="AK527" s="3"/>
    </row>
    <row r="528" spans="1:37" ht="12.75" customHeight="1" x14ac:dyDescent="0.2">
      <c r="A528" s="14">
        <v>519</v>
      </c>
      <c r="B528" s="4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4"/>
      <c r="Y528" s="23"/>
      <c r="Z528" s="4" t="str">
        <f t="shared" si="12"/>
        <v/>
      </c>
      <c r="AA528" s="4" t="str">
        <f t="shared" si="13"/>
        <v/>
      </c>
      <c r="AB528" s="4" t="str">
        <f t="shared" si="14"/>
        <v/>
      </c>
      <c r="AC528" s="4">
        <v>0.45543810403687868</v>
      </c>
      <c r="AD528" s="4">
        <f t="shared" si="15"/>
        <v>-0.60777366820621959</v>
      </c>
      <c r="AE528" s="4" t="e">
        <f t="shared" si="16"/>
        <v>#VALUE!</v>
      </c>
      <c r="AF528" s="3" t="e">
        <f t="shared" si="17"/>
        <v>#VALUE!</v>
      </c>
      <c r="AG528" s="3"/>
      <c r="AH528" s="3"/>
      <c r="AI528" s="3"/>
      <c r="AJ528" s="3"/>
      <c r="AK528" s="3"/>
    </row>
    <row r="529" spans="1:37" ht="12.75" customHeight="1" x14ac:dyDescent="0.2">
      <c r="A529" s="14">
        <v>520</v>
      </c>
      <c r="B529" s="4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4"/>
      <c r="Y529" s="23"/>
      <c r="Z529" s="4" t="str">
        <f t="shared" si="12"/>
        <v/>
      </c>
      <c r="AA529" s="4" t="str">
        <f t="shared" si="13"/>
        <v/>
      </c>
      <c r="AB529" s="4" t="str">
        <f t="shared" si="14"/>
        <v/>
      </c>
      <c r="AC529" s="4">
        <v>0.45543810403687868</v>
      </c>
      <c r="AD529" s="4">
        <f t="shared" si="15"/>
        <v>-0.60777366820621959</v>
      </c>
      <c r="AE529" s="4" t="e">
        <f t="shared" si="16"/>
        <v>#VALUE!</v>
      </c>
      <c r="AF529" s="3" t="e">
        <f t="shared" si="17"/>
        <v>#VALUE!</v>
      </c>
      <c r="AG529" s="3"/>
      <c r="AH529" s="3"/>
      <c r="AI529" s="3"/>
      <c r="AJ529" s="3"/>
      <c r="AK529" s="3"/>
    </row>
    <row r="530" spans="1:37" ht="12.75" customHeight="1" x14ac:dyDescent="0.2">
      <c r="A530" s="14">
        <v>521</v>
      </c>
      <c r="B530" s="4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4"/>
      <c r="Y530" s="23"/>
      <c r="Z530" s="4" t="str">
        <f t="shared" si="12"/>
        <v/>
      </c>
      <c r="AA530" s="4" t="str">
        <f t="shared" si="13"/>
        <v/>
      </c>
      <c r="AB530" s="4" t="str">
        <f t="shared" si="14"/>
        <v/>
      </c>
      <c r="AC530" s="4">
        <v>0.45543810403687868</v>
      </c>
      <c r="AD530" s="4">
        <f t="shared" si="15"/>
        <v>-0.60777366820621959</v>
      </c>
      <c r="AE530" s="4" t="e">
        <f t="shared" si="16"/>
        <v>#VALUE!</v>
      </c>
      <c r="AF530" s="3" t="e">
        <f t="shared" si="17"/>
        <v>#VALUE!</v>
      </c>
      <c r="AG530" s="3"/>
      <c r="AH530" s="3"/>
      <c r="AI530" s="3"/>
      <c r="AJ530" s="3"/>
      <c r="AK530" s="3"/>
    </row>
    <row r="531" spans="1:37" ht="12.75" customHeight="1" x14ac:dyDescent="0.2">
      <c r="A531" s="14">
        <v>522</v>
      </c>
      <c r="B531" s="4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4"/>
      <c r="Y531" s="23"/>
      <c r="Z531" s="4" t="str">
        <f t="shared" si="12"/>
        <v/>
      </c>
      <c r="AA531" s="4" t="str">
        <f t="shared" si="13"/>
        <v/>
      </c>
      <c r="AB531" s="4" t="str">
        <f t="shared" si="14"/>
        <v/>
      </c>
      <c r="AC531" s="4">
        <v>0.45543810403687868</v>
      </c>
      <c r="AD531" s="4">
        <f t="shared" si="15"/>
        <v>-0.60777366820621959</v>
      </c>
      <c r="AE531" s="4" t="e">
        <f t="shared" si="16"/>
        <v>#VALUE!</v>
      </c>
      <c r="AF531" s="3" t="e">
        <f t="shared" si="17"/>
        <v>#VALUE!</v>
      </c>
      <c r="AG531" s="3"/>
      <c r="AH531" s="3"/>
      <c r="AI531" s="3"/>
      <c r="AJ531" s="3"/>
      <c r="AK531" s="3"/>
    </row>
    <row r="532" spans="1:37" ht="12.75" customHeight="1" x14ac:dyDescent="0.2">
      <c r="A532" s="14">
        <v>523</v>
      </c>
      <c r="B532" s="4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4"/>
      <c r="Y532" s="23"/>
      <c r="Z532" s="4" t="str">
        <f t="shared" si="12"/>
        <v/>
      </c>
      <c r="AA532" s="4" t="str">
        <f t="shared" si="13"/>
        <v/>
      </c>
      <c r="AB532" s="4" t="str">
        <f t="shared" si="14"/>
        <v/>
      </c>
      <c r="AC532" s="4">
        <v>0.44598325412992068</v>
      </c>
      <c r="AD532" s="4">
        <f t="shared" si="15"/>
        <v>-0.59056036548937663</v>
      </c>
      <c r="AE532" s="4" t="e">
        <f t="shared" si="16"/>
        <v>#VALUE!</v>
      </c>
      <c r="AF532" s="3" t="e">
        <f t="shared" si="17"/>
        <v>#VALUE!</v>
      </c>
      <c r="AG532" s="3"/>
      <c r="AH532" s="3"/>
      <c r="AI532" s="3"/>
      <c r="AJ532" s="3"/>
      <c r="AK532" s="3"/>
    </row>
    <row r="533" spans="1:37" ht="12.75" customHeight="1" x14ac:dyDescent="0.2">
      <c r="A533" s="14">
        <v>524</v>
      </c>
      <c r="B533" s="4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4"/>
      <c r="Y533" s="23"/>
      <c r="Z533" s="4" t="str">
        <f t="shared" si="12"/>
        <v/>
      </c>
      <c r="AA533" s="4" t="str">
        <f t="shared" si="13"/>
        <v/>
      </c>
      <c r="AB533" s="4" t="str">
        <f t="shared" si="14"/>
        <v/>
      </c>
      <c r="AC533" s="4">
        <v>0.44598325412992068</v>
      </c>
      <c r="AD533" s="4">
        <f t="shared" si="15"/>
        <v>-0.59056036548937663</v>
      </c>
      <c r="AE533" s="4" t="e">
        <f t="shared" si="16"/>
        <v>#VALUE!</v>
      </c>
      <c r="AF533" s="3" t="e">
        <f t="shared" si="17"/>
        <v>#VALUE!</v>
      </c>
      <c r="AG533" s="3"/>
      <c r="AH533" s="3"/>
      <c r="AI533" s="3"/>
      <c r="AJ533" s="3"/>
      <c r="AK533" s="3"/>
    </row>
    <row r="534" spans="1:37" ht="12.75" customHeight="1" x14ac:dyDescent="0.2">
      <c r="A534" s="14">
        <v>525</v>
      </c>
      <c r="B534" s="4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4"/>
      <c r="Y534" s="23"/>
      <c r="Z534" s="4" t="str">
        <f t="shared" si="12"/>
        <v/>
      </c>
      <c r="AA534" s="4" t="str">
        <f t="shared" si="13"/>
        <v/>
      </c>
      <c r="AB534" s="4" t="str">
        <f t="shared" si="14"/>
        <v/>
      </c>
      <c r="AC534" s="4">
        <v>0.44598325412992068</v>
      </c>
      <c r="AD534" s="4">
        <f t="shared" si="15"/>
        <v>-0.59056036548937663</v>
      </c>
      <c r="AE534" s="4" t="e">
        <f t="shared" si="16"/>
        <v>#VALUE!</v>
      </c>
      <c r="AF534" s="3" t="e">
        <f t="shared" si="17"/>
        <v>#VALUE!</v>
      </c>
      <c r="AG534" s="3"/>
      <c r="AH534" s="3"/>
      <c r="AI534" s="3"/>
      <c r="AJ534" s="3"/>
      <c r="AK534" s="3"/>
    </row>
    <row r="535" spans="1:37" ht="12.75" customHeight="1" x14ac:dyDescent="0.2">
      <c r="A535" s="14">
        <v>526</v>
      </c>
      <c r="B535" s="4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4"/>
      <c r="Y535" s="23"/>
      <c r="Z535" s="4" t="str">
        <f t="shared" si="12"/>
        <v/>
      </c>
      <c r="AA535" s="4" t="str">
        <f t="shared" si="13"/>
        <v/>
      </c>
      <c r="AB535" s="4" t="str">
        <f t="shared" si="14"/>
        <v/>
      </c>
      <c r="AC535" s="4">
        <v>0.44598325412992068</v>
      </c>
      <c r="AD535" s="4">
        <f t="shared" si="15"/>
        <v>-0.59056036548937663</v>
      </c>
      <c r="AE535" s="4" t="e">
        <f t="shared" si="16"/>
        <v>#VALUE!</v>
      </c>
      <c r="AF535" s="3" t="e">
        <f t="shared" si="17"/>
        <v>#VALUE!</v>
      </c>
      <c r="AG535" s="3"/>
      <c r="AH535" s="3"/>
      <c r="AI535" s="3"/>
      <c r="AJ535" s="3"/>
      <c r="AK535" s="3"/>
    </row>
    <row r="536" spans="1:37" ht="12.75" customHeight="1" x14ac:dyDescent="0.2">
      <c r="A536" s="14">
        <v>527</v>
      </c>
      <c r="B536" s="4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4"/>
      <c r="Y536" s="23"/>
      <c r="Z536" s="4" t="str">
        <f t="shared" si="12"/>
        <v/>
      </c>
      <c r="AA536" s="4" t="str">
        <f t="shared" si="13"/>
        <v/>
      </c>
      <c r="AB536" s="4" t="str">
        <f t="shared" si="14"/>
        <v/>
      </c>
      <c r="AC536" s="4">
        <v>0.44598325412992068</v>
      </c>
      <c r="AD536" s="4">
        <f t="shared" si="15"/>
        <v>-0.59056036548937663</v>
      </c>
      <c r="AE536" s="4" t="e">
        <f t="shared" si="16"/>
        <v>#VALUE!</v>
      </c>
      <c r="AF536" s="3" t="e">
        <f t="shared" si="17"/>
        <v>#VALUE!</v>
      </c>
      <c r="AG536" s="3"/>
      <c r="AH536" s="3"/>
      <c r="AI536" s="3"/>
      <c r="AJ536" s="3"/>
      <c r="AK536" s="3"/>
    </row>
    <row r="537" spans="1:37" ht="12.75" customHeight="1" x14ac:dyDescent="0.2">
      <c r="A537" s="14">
        <v>528</v>
      </c>
      <c r="B537" s="4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4"/>
      <c r="Y537" s="23"/>
      <c r="Z537" s="4" t="str">
        <f t="shared" si="12"/>
        <v/>
      </c>
      <c r="AA537" s="4" t="str">
        <f t="shared" si="13"/>
        <v/>
      </c>
      <c r="AB537" s="4" t="str">
        <f t="shared" si="14"/>
        <v/>
      </c>
      <c r="AC537" s="4">
        <v>0.44598325412992068</v>
      </c>
      <c r="AD537" s="4">
        <f t="shared" si="15"/>
        <v>-0.59056036548937663</v>
      </c>
      <c r="AE537" s="4" t="e">
        <f t="shared" si="16"/>
        <v>#VALUE!</v>
      </c>
      <c r="AF537" s="3" t="e">
        <f t="shared" si="17"/>
        <v>#VALUE!</v>
      </c>
      <c r="AG537" s="3"/>
      <c r="AH537" s="3"/>
      <c r="AI537" s="3"/>
      <c r="AJ537" s="3"/>
      <c r="AK537" s="3"/>
    </row>
    <row r="538" spans="1:37" ht="12.75" customHeight="1" x14ac:dyDescent="0.2">
      <c r="A538" s="14">
        <v>529</v>
      </c>
      <c r="B538" s="4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4"/>
      <c r="Y538" s="23"/>
      <c r="Z538" s="4" t="str">
        <f t="shared" si="12"/>
        <v/>
      </c>
      <c r="AA538" s="4" t="str">
        <f t="shared" si="13"/>
        <v/>
      </c>
      <c r="AB538" s="4" t="str">
        <f t="shared" si="14"/>
        <v/>
      </c>
      <c r="AC538" s="4">
        <v>0.43655902346952402</v>
      </c>
      <c r="AD538" s="4">
        <f t="shared" si="15"/>
        <v>-0.5736926953886039</v>
      </c>
      <c r="AE538" s="4" t="e">
        <f t="shared" si="16"/>
        <v>#VALUE!</v>
      </c>
      <c r="AF538" s="3" t="e">
        <f t="shared" si="17"/>
        <v>#VALUE!</v>
      </c>
      <c r="AG538" s="3"/>
      <c r="AH538" s="3"/>
      <c r="AI538" s="3"/>
      <c r="AJ538" s="3"/>
      <c r="AK538" s="3"/>
    </row>
    <row r="539" spans="1:37" ht="12.75" customHeight="1" x14ac:dyDescent="0.2">
      <c r="A539" s="14">
        <v>530</v>
      </c>
      <c r="B539" s="4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4"/>
      <c r="Y539" s="23"/>
      <c r="Z539" s="4" t="str">
        <f t="shared" si="12"/>
        <v/>
      </c>
      <c r="AA539" s="4" t="str">
        <f t="shared" si="13"/>
        <v/>
      </c>
      <c r="AB539" s="4" t="str">
        <f t="shared" si="14"/>
        <v/>
      </c>
      <c r="AC539" s="4">
        <v>0.43655902346952402</v>
      </c>
      <c r="AD539" s="4">
        <f t="shared" si="15"/>
        <v>-0.5736926953886039</v>
      </c>
      <c r="AE539" s="4" t="e">
        <f t="shared" si="16"/>
        <v>#VALUE!</v>
      </c>
      <c r="AF539" s="3" t="e">
        <f t="shared" si="17"/>
        <v>#VALUE!</v>
      </c>
      <c r="AG539" s="3"/>
      <c r="AH539" s="3"/>
      <c r="AI539" s="3"/>
      <c r="AJ539" s="3"/>
      <c r="AK539" s="3"/>
    </row>
    <row r="540" spans="1:37" ht="12.75" customHeight="1" x14ac:dyDescent="0.2">
      <c r="A540" s="14">
        <v>531</v>
      </c>
      <c r="B540" s="4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4"/>
      <c r="Y540" s="23"/>
      <c r="Z540" s="4" t="str">
        <f t="shared" si="12"/>
        <v/>
      </c>
      <c r="AA540" s="4" t="str">
        <f t="shared" si="13"/>
        <v/>
      </c>
      <c r="AB540" s="4" t="str">
        <f t="shared" si="14"/>
        <v/>
      </c>
      <c r="AC540" s="4">
        <v>0.43655902346952402</v>
      </c>
      <c r="AD540" s="4">
        <f t="shared" si="15"/>
        <v>-0.5736926953886039</v>
      </c>
      <c r="AE540" s="4" t="e">
        <f t="shared" si="16"/>
        <v>#VALUE!</v>
      </c>
      <c r="AF540" s="3" t="e">
        <f t="shared" si="17"/>
        <v>#VALUE!</v>
      </c>
      <c r="AG540" s="3"/>
      <c r="AH540" s="3"/>
      <c r="AI540" s="3"/>
      <c r="AJ540" s="3"/>
      <c r="AK540" s="3"/>
    </row>
    <row r="541" spans="1:37" ht="12.75" customHeight="1" x14ac:dyDescent="0.2">
      <c r="A541" s="14">
        <v>532</v>
      </c>
      <c r="B541" s="4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4"/>
      <c r="Y541" s="23"/>
      <c r="Z541" s="4" t="str">
        <f t="shared" si="12"/>
        <v/>
      </c>
      <c r="AA541" s="4" t="str">
        <f t="shared" si="13"/>
        <v/>
      </c>
      <c r="AB541" s="4" t="str">
        <f t="shared" si="14"/>
        <v/>
      </c>
      <c r="AC541" s="4">
        <v>0.43655902346952402</v>
      </c>
      <c r="AD541" s="4">
        <f t="shared" si="15"/>
        <v>-0.5736926953886039</v>
      </c>
      <c r="AE541" s="4" t="e">
        <f t="shared" si="16"/>
        <v>#VALUE!</v>
      </c>
      <c r="AF541" s="3" t="e">
        <f t="shared" si="17"/>
        <v>#VALUE!</v>
      </c>
      <c r="AG541" s="3"/>
      <c r="AH541" s="3"/>
      <c r="AI541" s="3"/>
      <c r="AJ541" s="3"/>
      <c r="AK541" s="3"/>
    </row>
    <row r="542" spans="1:37" ht="12.75" customHeight="1" x14ac:dyDescent="0.2">
      <c r="A542" s="14">
        <v>533</v>
      </c>
      <c r="B542" s="4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4"/>
      <c r="Y542" s="23"/>
      <c r="Z542" s="4" t="str">
        <f t="shared" si="12"/>
        <v/>
      </c>
      <c r="AA542" s="4" t="str">
        <f t="shared" si="13"/>
        <v/>
      </c>
      <c r="AB542" s="4" t="str">
        <f t="shared" si="14"/>
        <v/>
      </c>
      <c r="AC542" s="4">
        <v>0.43655902346952402</v>
      </c>
      <c r="AD542" s="4">
        <f t="shared" si="15"/>
        <v>-0.5736926953886039</v>
      </c>
      <c r="AE542" s="4" t="e">
        <f t="shared" si="16"/>
        <v>#VALUE!</v>
      </c>
      <c r="AF542" s="3" t="e">
        <f t="shared" si="17"/>
        <v>#VALUE!</v>
      </c>
      <c r="AG542" s="3"/>
      <c r="AH542" s="3"/>
      <c r="AI542" s="3"/>
      <c r="AJ542" s="3"/>
      <c r="AK542" s="3"/>
    </row>
    <row r="543" spans="1:37" ht="12.75" customHeight="1" x14ac:dyDescent="0.2">
      <c r="A543" s="14">
        <v>534</v>
      </c>
      <c r="B543" s="4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4"/>
      <c r="Y543" s="23"/>
      <c r="Z543" s="4" t="str">
        <f t="shared" si="12"/>
        <v/>
      </c>
      <c r="AA543" s="4" t="str">
        <f t="shared" si="13"/>
        <v/>
      </c>
      <c r="AB543" s="4" t="str">
        <f t="shared" si="14"/>
        <v/>
      </c>
      <c r="AC543" s="4">
        <v>0.43655902346952402</v>
      </c>
      <c r="AD543" s="4">
        <f t="shared" si="15"/>
        <v>-0.5736926953886039</v>
      </c>
      <c r="AE543" s="4" t="e">
        <f t="shared" si="16"/>
        <v>#VALUE!</v>
      </c>
      <c r="AF543" s="3" t="e">
        <f t="shared" si="17"/>
        <v>#VALUE!</v>
      </c>
      <c r="AG543" s="3"/>
      <c r="AH543" s="3"/>
      <c r="AI543" s="3"/>
      <c r="AJ543" s="3"/>
      <c r="AK543" s="3"/>
    </row>
    <row r="544" spans="1:37" ht="12.75" customHeight="1" x14ac:dyDescent="0.2">
      <c r="A544" s="14">
        <v>535</v>
      </c>
      <c r="B544" s="4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4"/>
      <c r="Y544" s="23"/>
      <c r="Z544" s="4" t="str">
        <f t="shared" si="12"/>
        <v/>
      </c>
      <c r="AA544" s="4" t="str">
        <f t="shared" si="13"/>
        <v/>
      </c>
      <c r="AB544" s="4" t="str">
        <f t="shared" si="14"/>
        <v/>
      </c>
      <c r="AC544" s="4">
        <v>0.43655902346952402</v>
      </c>
      <c r="AD544" s="4">
        <f t="shared" si="15"/>
        <v>-0.5736926953886039</v>
      </c>
      <c r="AE544" s="4" t="e">
        <f t="shared" si="16"/>
        <v>#VALUE!</v>
      </c>
      <c r="AF544" s="3" t="e">
        <f t="shared" si="17"/>
        <v>#VALUE!</v>
      </c>
      <c r="AG544" s="3"/>
      <c r="AH544" s="3"/>
      <c r="AI544" s="3"/>
      <c r="AJ544" s="3"/>
      <c r="AK544" s="3"/>
    </row>
    <row r="545" spans="1:37" ht="12.75" customHeight="1" x14ac:dyDescent="0.2">
      <c r="A545" s="14">
        <v>536</v>
      </c>
      <c r="B545" s="4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4"/>
      <c r="Y545" s="23"/>
      <c r="Z545" s="4" t="str">
        <f t="shared" si="12"/>
        <v/>
      </c>
      <c r="AA545" s="4" t="str">
        <f t="shared" si="13"/>
        <v/>
      </c>
      <c r="AB545" s="4" t="str">
        <f t="shared" si="14"/>
        <v/>
      </c>
      <c r="AC545" s="4">
        <v>0.43655902346952402</v>
      </c>
      <c r="AD545" s="4">
        <f t="shared" si="15"/>
        <v>-0.5736926953886039</v>
      </c>
      <c r="AE545" s="4" t="e">
        <f t="shared" si="16"/>
        <v>#VALUE!</v>
      </c>
      <c r="AF545" s="3" t="e">
        <f t="shared" si="17"/>
        <v>#VALUE!</v>
      </c>
      <c r="AG545" s="3"/>
      <c r="AH545" s="3"/>
      <c r="AI545" s="3"/>
      <c r="AJ545" s="3"/>
      <c r="AK545" s="3"/>
    </row>
    <row r="546" spans="1:37" ht="12.75" customHeight="1" x14ac:dyDescent="0.2">
      <c r="A546" s="14">
        <v>537</v>
      </c>
      <c r="B546" s="4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4"/>
      <c r="Y546" s="23"/>
      <c r="Z546" s="4" t="str">
        <f t="shared" si="12"/>
        <v/>
      </c>
      <c r="AA546" s="4" t="str">
        <f t="shared" si="13"/>
        <v/>
      </c>
      <c r="AB546" s="4" t="str">
        <f t="shared" si="14"/>
        <v/>
      </c>
      <c r="AC546" s="4">
        <v>0.43655902346952402</v>
      </c>
      <c r="AD546" s="4">
        <f t="shared" si="15"/>
        <v>-0.5736926953886039</v>
      </c>
      <c r="AE546" s="4" t="e">
        <f t="shared" si="16"/>
        <v>#VALUE!</v>
      </c>
      <c r="AF546" s="3" t="e">
        <f t="shared" si="17"/>
        <v>#VALUE!</v>
      </c>
      <c r="AG546" s="3"/>
      <c r="AH546" s="3"/>
      <c r="AI546" s="3"/>
      <c r="AJ546" s="3"/>
      <c r="AK546" s="3"/>
    </row>
    <row r="547" spans="1:37" ht="12.75" customHeight="1" x14ac:dyDescent="0.2">
      <c r="A547" s="14">
        <v>538</v>
      </c>
      <c r="B547" s="4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4"/>
      <c r="Y547" s="23"/>
      <c r="Z547" s="4" t="str">
        <f t="shared" si="12"/>
        <v/>
      </c>
      <c r="AA547" s="4" t="str">
        <f t="shared" si="13"/>
        <v/>
      </c>
      <c r="AB547" s="4" t="str">
        <f t="shared" si="14"/>
        <v/>
      </c>
      <c r="AC547" s="4">
        <v>0.43655902346952402</v>
      </c>
      <c r="AD547" s="4">
        <f t="shared" si="15"/>
        <v>-0.5736926953886039</v>
      </c>
      <c r="AE547" s="4" t="e">
        <f t="shared" si="16"/>
        <v>#VALUE!</v>
      </c>
      <c r="AF547" s="3" t="e">
        <f t="shared" si="17"/>
        <v>#VALUE!</v>
      </c>
      <c r="AG547" s="3"/>
      <c r="AH547" s="3"/>
      <c r="AI547" s="3"/>
      <c r="AJ547" s="3"/>
      <c r="AK547" s="3"/>
    </row>
    <row r="548" spans="1:37" ht="12.75" customHeight="1" x14ac:dyDescent="0.2">
      <c r="A548" s="14">
        <v>539</v>
      </c>
      <c r="B548" s="4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4"/>
      <c r="Y548" s="23"/>
      <c r="Z548" s="4" t="str">
        <f t="shared" si="12"/>
        <v/>
      </c>
      <c r="AA548" s="4" t="str">
        <f t="shared" si="13"/>
        <v/>
      </c>
      <c r="AB548" s="4" t="str">
        <f t="shared" si="14"/>
        <v/>
      </c>
      <c r="AC548" s="4">
        <v>0.43655902346952402</v>
      </c>
      <c r="AD548" s="4">
        <f t="shared" si="15"/>
        <v>-0.5736926953886039</v>
      </c>
      <c r="AE548" s="4" t="e">
        <f t="shared" si="16"/>
        <v>#VALUE!</v>
      </c>
      <c r="AF548" s="3" t="e">
        <f t="shared" si="17"/>
        <v>#VALUE!</v>
      </c>
      <c r="AG548" s="3"/>
      <c r="AH548" s="3"/>
      <c r="AI548" s="3"/>
      <c r="AJ548" s="3"/>
      <c r="AK548" s="3"/>
    </row>
    <row r="549" spans="1:37" ht="12.75" customHeight="1" x14ac:dyDescent="0.2">
      <c r="A549" s="14">
        <v>540</v>
      </c>
      <c r="B549" s="4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4"/>
      <c r="Y549" s="23"/>
      <c r="Z549" s="4" t="str">
        <f t="shared" si="12"/>
        <v/>
      </c>
      <c r="AA549" s="4" t="str">
        <f t="shared" si="13"/>
        <v/>
      </c>
      <c r="AB549" s="4" t="str">
        <f t="shared" si="14"/>
        <v/>
      </c>
      <c r="AC549" s="4">
        <v>0.43655902346952402</v>
      </c>
      <c r="AD549" s="4">
        <f t="shared" si="15"/>
        <v>-0.5736926953886039</v>
      </c>
      <c r="AE549" s="4" t="e">
        <f t="shared" si="16"/>
        <v>#VALUE!</v>
      </c>
      <c r="AF549" s="3" t="e">
        <f t="shared" si="17"/>
        <v>#VALUE!</v>
      </c>
      <c r="AG549" s="3"/>
      <c r="AH549" s="3"/>
      <c r="AI549" s="3"/>
      <c r="AJ549" s="3"/>
      <c r="AK549" s="3"/>
    </row>
    <row r="550" spans="1:37" ht="12.75" customHeight="1" x14ac:dyDescent="0.2">
      <c r="A550" s="14">
        <v>541</v>
      </c>
      <c r="B550" s="4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4"/>
      <c r="Y550" s="23"/>
      <c r="Z550" s="4" t="str">
        <f t="shared" si="12"/>
        <v/>
      </c>
      <c r="AA550" s="4" t="str">
        <f t="shared" si="13"/>
        <v/>
      </c>
      <c r="AB550" s="4" t="str">
        <f t="shared" si="14"/>
        <v/>
      </c>
      <c r="AC550" s="4">
        <v>0.43655902346952402</v>
      </c>
      <c r="AD550" s="4">
        <f t="shared" si="15"/>
        <v>-0.5736926953886039</v>
      </c>
      <c r="AE550" s="4" t="e">
        <f t="shared" si="16"/>
        <v>#VALUE!</v>
      </c>
      <c r="AF550" s="3" t="e">
        <f t="shared" si="17"/>
        <v>#VALUE!</v>
      </c>
      <c r="AG550" s="3"/>
      <c r="AH550" s="3"/>
      <c r="AI550" s="3"/>
      <c r="AJ550" s="3"/>
      <c r="AK550" s="3"/>
    </row>
    <row r="551" spans="1:37" ht="12.75" customHeight="1" x14ac:dyDescent="0.2">
      <c r="A551" s="14">
        <v>542</v>
      </c>
      <c r="B551" s="4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4"/>
      <c r="Y551" s="23"/>
      <c r="Z551" s="4" t="str">
        <f t="shared" si="12"/>
        <v/>
      </c>
      <c r="AA551" s="4" t="str">
        <f t="shared" si="13"/>
        <v/>
      </c>
      <c r="AB551" s="4" t="str">
        <f t="shared" si="14"/>
        <v/>
      </c>
      <c r="AC551" s="4">
        <v>0.43655902346952402</v>
      </c>
      <c r="AD551" s="4">
        <f t="shared" si="15"/>
        <v>-0.5736926953886039</v>
      </c>
      <c r="AE551" s="4" t="e">
        <f t="shared" si="16"/>
        <v>#VALUE!</v>
      </c>
      <c r="AF551" s="3" t="e">
        <f t="shared" si="17"/>
        <v>#VALUE!</v>
      </c>
      <c r="AG551" s="3"/>
      <c r="AH551" s="3"/>
      <c r="AI551" s="3"/>
      <c r="AJ551" s="3"/>
      <c r="AK551" s="3"/>
    </row>
    <row r="552" spans="1:37" ht="12.75" customHeight="1" x14ac:dyDescent="0.2">
      <c r="A552" s="14">
        <v>543</v>
      </c>
      <c r="B552" s="4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4"/>
      <c r="Y552" s="23"/>
      <c r="Z552" s="4" t="str">
        <f t="shared" si="12"/>
        <v/>
      </c>
      <c r="AA552" s="4" t="str">
        <f t="shared" si="13"/>
        <v/>
      </c>
      <c r="AB552" s="4" t="str">
        <f t="shared" si="14"/>
        <v/>
      </c>
      <c r="AC552" s="4">
        <v>0.43655902346952402</v>
      </c>
      <c r="AD552" s="4">
        <f t="shared" si="15"/>
        <v>-0.5736926953886039</v>
      </c>
      <c r="AE552" s="4" t="e">
        <f t="shared" si="16"/>
        <v>#VALUE!</v>
      </c>
      <c r="AF552" s="3" t="e">
        <f t="shared" si="17"/>
        <v>#VALUE!</v>
      </c>
      <c r="AG552" s="3"/>
      <c r="AH552" s="3"/>
      <c r="AI552" s="3"/>
      <c r="AJ552" s="3"/>
      <c r="AK552" s="3"/>
    </row>
    <row r="553" spans="1:37" ht="12.75" customHeight="1" x14ac:dyDescent="0.2">
      <c r="A553" s="14">
        <v>544</v>
      </c>
      <c r="B553" s="4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4"/>
      <c r="Y553" s="23"/>
      <c r="Z553" s="4" t="str">
        <f t="shared" si="12"/>
        <v/>
      </c>
      <c r="AA553" s="4" t="str">
        <f t="shared" si="13"/>
        <v/>
      </c>
      <c r="AB553" s="4" t="str">
        <f t="shared" si="14"/>
        <v/>
      </c>
      <c r="AC553" s="4">
        <v>0.43655902346952402</v>
      </c>
      <c r="AD553" s="4">
        <f t="shared" si="15"/>
        <v>-0.5736926953886039</v>
      </c>
      <c r="AE553" s="4" t="e">
        <f t="shared" si="16"/>
        <v>#VALUE!</v>
      </c>
      <c r="AF553" s="3" t="e">
        <f t="shared" si="17"/>
        <v>#VALUE!</v>
      </c>
      <c r="AG553" s="3"/>
      <c r="AH553" s="3"/>
      <c r="AI553" s="3"/>
      <c r="AJ553" s="3"/>
      <c r="AK553" s="3"/>
    </row>
    <row r="554" spans="1:37" ht="12.75" customHeight="1" x14ac:dyDescent="0.2">
      <c r="A554" s="14">
        <v>545</v>
      </c>
      <c r="B554" s="4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4"/>
      <c r="Y554" s="23"/>
      <c r="Z554" s="4" t="str">
        <f t="shared" si="12"/>
        <v/>
      </c>
      <c r="AA554" s="4" t="str">
        <f t="shared" si="13"/>
        <v/>
      </c>
      <c r="AB554" s="4" t="str">
        <f t="shared" si="14"/>
        <v/>
      </c>
      <c r="AC554" s="4">
        <v>0.43655902346952402</v>
      </c>
      <c r="AD554" s="4">
        <f t="shared" si="15"/>
        <v>-0.5736926953886039</v>
      </c>
      <c r="AE554" s="4" t="e">
        <f t="shared" si="16"/>
        <v>#VALUE!</v>
      </c>
      <c r="AF554" s="3" t="e">
        <f t="shared" si="17"/>
        <v>#VALUE!</v>
      </c>
      <c r="AG554" s="3"/>
      <c r="AH554" s="3"/>
      <c r="AI554" s="3"/>
      <c r="AJ554" s="3"/>
      <c r="AK554" s="3"/>
    </row>
    <row r="555" spans="1:37" ht="12.75" customHeight="1" x14ac:dyDescent="0.2">
      <c r="A555" s="14">
        <v>546</v>
      </c>
      <c r="B555" s="4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4"/>
      <c r="Y555" s="23"/>
      <c r="Z555" s="4" t="str">
        <f t="shared" si="12"/>
        <v/>
      </c>
      <c r="AA555" s="4" t="str">
        <f t="shared" si="13"/>
        <v/>
      </c>
      <c r="AB555" s="4" t="str">
        <f t="shared" si="14"/>
        <v/>
      </c>
      <c r="AC555" s="4">
        <v>0.43655902346952402</v>
      </c>
      <c r="AD555" s="4">
        <f t="shared" si="15"/>
        <v>-0.5736926953886039</v>
      </c>
      <c r="AE555" s="4" t="e">
        <f t="shared" si="16"/>
        <v>#VALUE!</v>
      </c>
      <c r="AF555" s="3" t="e">
        <f t="shared" si="17"/>
        <v>#VALUE!</v>
      </c>
      <c r="AG555" s="3"/>
      <c r="AH555" s="3"/>
      <c r="AI555" s="3"/>
      <c r="AJ555" s="3"/>
      <c r="AK555" s="3"/>
    </row>
    <row r="556" spans="1:37" ht="12.75" customHeight="1" x14ac:dyDescent="0.2">
      <c r="A556" s="14">
        <v>547</v>
      </c>
      <c r="B556" s="4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4"/>
      <c r="Y556" s="23"/>
      <c r="Z556" s="4" t="str">
        <f t="shared" si="12"/>
        <v/>
      </c>
      <c r="AA556" s="4" t="str">
        <f t="shared" si="13"/>
        <v/>
      </c>
      <c r="AB556" s="4" t="str">
        <f t="shared" si="14"/>
        <v/>
      </c>
      <c r="AC556" s="4">
        <v>0.43655902346952402</v>
      </c>
      <c r="AD556" s="4">
        <f t="shared" si="15"/>
        <v>-0.5736926953886039</v>
      </c>
      <c r="AE556" s="4" t="e">
        <f t="shared" si="16"/>
        <v>#VALUE!</v>
      </c>
      <c r="AF556" s="3" t="e">
        <f t="shared" si="17"/>
        <v>#VALUE!</v>
      </c>
      <c r="AG556" s="3"/>
      <c r="AH556" s="3"/>
      <c r="AI556" s="3"/>
      <c r="AJ556" s="3"/>
      <c r="AK556" s="3"/>
    </row>
    <row r="557" spans="1:37" ht="12.75" customHeight="1" x14ac:dyDescent="0.2">
      <c r="A557" s="14">
        <v>548</v>
      </c>
      <c r="B557" s="4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4"/>
      <c r="Y557" s="23"/>
      <c r="Z557" s="4" t="str">
        <f t="shared" si="12"/>
        <v/>
      </c>
      <c r="AA557" s="4" t="str">
        <f t="shared" si="13"/>
        <v/>
      </c>
      <c r="AB557" s="4" t="str">
        <f t="shared" si="14"/>
        <v/>
      </c>
      <c r="AC557" s="4">
        <v>0.43655902346952402</v>
      </c>
      <c r="AD557" s="4">
        <f t="shared" si="15"/>
        <v>-0.5736926953886039</v>
      </c>
      <c r="AE557" s="4" t="e">
        <f t="shared" si="16"/>
        <v>#VALUE!</v>
      </c>
      <c r="AF557" s="3" t="e">
        <f t="shared" si="17"/>
        <v>#VALUE!</v>
      </c>
      <c r="AG557" s="3"/>
      <c r="AH557" s="3"/>
      <c r="AI557" s="3"/>
      <c r="AJ557" s="3"/>
      <c r="AK557" s="3"/>
    </row>
    <row r="558" spans="1:37" ht="12.75" customHeight="1" x14ac:dyDescent="0.2">
      <c r="A558" s="14">
        <v>549</v>
      </c>
      <c r="B558" s="4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4"/>
      <c r="Y558" s="23"/>
      <c r="Z558" s="4" t="str">
        <f t="shared" si="12"/>
        <v/>
      </c>
      <c r="AA558" s="4" t="str">
        <f t="shared" si="13"/>
        <v/>
      </c>
      <c r="AB558" s="4" t="str">
        <f t="shared" si="14"/>
        <v/>
      </c>
      <c r="AC558" s="4">
        <v>0.43655902346952402</v>
      </c>
      <c r="AD558" s="4">
        <f t="shared" si="15"/>
        <v>-0.5736926953886039</v>
      </c>
      <c r="AE558" s="4" t="e">
        <f t="shared" si="16"/>
        <v>#VALUE!</v>
      </c>
      <c r="AF558" s="3" t="e">
        <f t="shared" si="17"/>
        <v>#VALUE!</v>
      </c>
      <c r="AG558" s="3"/>
      <c r="AH558" s="3"/>
      <c r="AI558" s="3"/>
      <c r="AJ558" s="3"/>
      <c r="AK558" s="3"/>
    </row>
    <row r="559" spans="1:37" ht="12.75" customHeight="1" x14ac:dyDescent="0.2">
      <c r="A559" s="14">
        <v>550</v>
      </c>
      <c r="B559" s="4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4"/>
      <c r="Y559" s="23"/>
      <c r="Z559" s="4" t="str">
        <f t="shared" si="12"/>
        <v/>
      </c>
      <c r="AA559" s="4" t="str">
        <f t="shared" si="13"/>
        <v/>
      </c>
      <c r="AB559" s="4" t="str">
        <f t="shared" si="14"/>
        <v/>
      </c>
      <c r="AC559" s="4">
        <v>0.43655902346952402</v>
      </c>
      <c r="AD559" s="4">
        <f t="shared" si="15"/>
        <v>-0.5736926953886039</v>
      </c>
      <c r="AE559" s="4" t="e">
        <f t="shared" si="16"/>
        <v>#VALUE!</v>
      </c>
      <c r="AF559" s="3" t="e">
        <f t="shared" si="17"/>
        <v>#VALUE!</v>
      </c>
      <c r="AG559" s="3"/>
      <c r="AH559" s="3"/>
      <c r="AI559" s="3"/>
      <c r="AJ559" s="3"/>
      <c r="AK559" s="3"/>
    </row>
    <row r="560" spans="1:37" ht="12.75" customHeight="1" x14ac:dyDescent="0.2">
      <c r="A560" s="14">
        <v>551</v>
      </c>
      <c r="B560" s="4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4"/>
      <c r="Y560" s="23"/>
      <c r="Z560" s="4" t="str">
        <f t="shared" si="12"/>
        <v/>
      </c>
      <c r="AA560" s="4" t="str">
        <f t="shared" si="13"/>
        <v/>
      </c>
      <c r="AB560" s="4" t="str">
        <f t="shared" si="14"/>
        <v/>
      </c>
      <c r="AC560" s="4">
        <v>0.43655902346952402</v>
      </c>
      <c r="AD560" s="4">
        <f t="shared" si="15"/>
        <v>-0.5736926953886039</v>
      </c>
      <c r="AE560" s="4" t="e">
        <f t="shared" si="16"/>
        <v>#VALUE!</v>
      </c>
      <c r="AF560" s="3" t="e">
        <f t="shared" si="17"/>
        <v>#VALUE!</v>
      </c>
      <c r="AG560" s="3"/>
      <c r="AH560" s="3"/>
      <c r="AI560" s="3"/>
      <c r="AJ560" s="3"/>
      <c r="AK560" s="3"/>
    </row>
    <row r="561" spans="1:37" ht="12.75" customHeight="1" x14ac:dyDescent="0.2">
      <c r="A561" s="14">
        <v>552</v>
      </c>
      <c r="B561" s="4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4"/>
      <c r="Y561" s="23"/>
      <c r="Z561" s="4" t="str">
        <f t="shared" si="12"/>
        <v/>
      </c>
      <c r="AA561" s="4" t="str">
        <f t="shared" si="13"/>
        <v/>
      </c>
      <c r="AB561" s="4" t="str">
        <f t="shared" si="14"/>
        <v/>
      </c>
      <c r="AC561" s="4">
        <v>0.43655902346952402</v>
      </c>
      <c r="AD561" s="4">
        <f t="shared" si="15"/>
        <v>-0.5736926953886039</v>
      </c>
      <c r="AE561" s="4" t="e">
        <f t="shared" si="16"/>
        <v>#VALUE!</v>
      </c>
      <c r="AF561" s="3" t="e">
        <f t="shared" si="17"/>
        <v>#VALUE!</v>
      </c>
      <c r="AG561" s="3"/>
      <c r="AH561" s="3"/>
      <c r="AI561" s="3"/>
      <c r="AJ561" s="3"/>
      <c r="AK561" s="3"/>
    </row>
    <row r="562" spans="1:37" ht="12.75" customHeight="1" x14ac:dyDescent="0.2">
      <c r="A562" s="14">
        <v>553</v>
      </c>
      <c r="B562" s="4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4"/>
      <c r="Y562" s="23"/>
      <c r="Z562" s="4" t="str">
        <f t="shared" si="12"/>
        <v/>
      </c>
      <c r="AA562" s="4" t="str">
        <f t="shared" si="13"/>
        <v/>
      </c>
      <c r="AB562" s="4" t="str">
        <f t="shared" si="14"/>
        <v/>
      </c>
      <c r="AC562" s="4">
        <v>0.43655902346952402</v>
      </c>
      <c r="AD562" s="4">
        <f t="shared" si="15"/>
        <v>-0.5736926953886039</v>
      </c>
      <c r="AE562" s="4" t="e">
        <f t="shared" si="16"/>
        <v>#VALUE!</v>
      </c>
      <c r="AF562" s="3" t="e">
        <f t="shared" si="17"/>
        <v>#VALUE!</v>
      </c>
      <c r="AG562" s="3"/>
      <c r="AH562" s="3"/>
      <c r="AI562" s="3"/>
      <c r="AJ562" s="3"/>
      <c r="AK562" s="3"/>
    </row>
    <row r="563" spans="1:37" ht="12.75" customHeight="1" x14ac:dyDescent="0.2">
      <c r="A563" s="14">
        <v>554</v>
      </c>
      <c r="B563" s="4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4"/>
      <c r="Y563" s="23"/>
      <c r="Z563" s="4" t="str">
        <f t="shared" si="12"/>
        <v/>
      </c>
      <c r="AA563" s="4" t="str">
        <f t="shared" si="13"/>
        <v/>
      </c>
      <c r="AB563" s="4" t="str">
        <f t="shared" si="14"/>
        <v/>
      </c>
      <c r="AC563" s="4">
        <v>0.43655902346952402</v>
      </c>
      <c r="AD563" s="4">
        <f t="shared" si="15"/>
        <v>-0.5736926953886039</v>
      </c>
      <c r="AE563" s="4" t="e">
        <f t="shared" si="16"/>
        <v>#VALUE!</v>
      </c>
      <c r="AF563" s="3" t="e">
        <f t="shared" si="17"/>
        <v>#VALUE!</v>
      </c>
      <c r="AG563" s="3"/>
      <c r="AH563" s="3"/>
      <c r="AI563" s="3"/>
      <c r="AJ563" s="3"/>
      <c r="AK563" s="3"/>
    </row>
    <row r="564" spans="1:37" ht="12.75" customHeight="1" x14ac:dyDescent="0.2">
      <c r="A564" s="14">
        <v>555</v>
      </c>
      <c r="B564" s="4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4"/>
      <c r="Y564" s="23"/>
      <c r="Z564" s="4" t="str">
        <f t="shared" si="12"/>
        <v/>
      </c>
      <c r="AA564" s="4" t="str">
        <f t="shared" si="13"/>
        <v/>
      </c>
      <c r="AB564" s="4" t="str">
        <f t="shared" si="14"/>
        <v/>
      </c>
      <c r="AC564" s="4">
        <v>0.43655902346952402</v>
      </c>
      <c r="AD564" s="4">
        <f t="shared" si="15"/>
        <v>-0.5736926953886039</v>
      </c>
      <c r="AE564" s="4" t="e">
        <f t="shared" si="16"/>
        <v>#VALUE!</v>
      </c>
      <c r="AF564" s="3" t="e">
        <f t="shared" si="17"/>
        <v>#VALUE!</v>
      </c>
      <c r="AG564" s="3"/>
      <c r="AH564" s="3"/>
      <c r="AI564" s="3"/>
      <c r="AJ564" s="3"/>
      <c r="AK564" s="3"/>
    </row>
    <row r="565" spans="1:37" ht="12.75" customHeight="1" x14ac:dyDescent="0.2">
      <c r="A565" s="14">
        <v>556</v>
      </c>
      <c r="B565" s="4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4"/>
      <c r="Y565" s="23"/>
      <c r="Z565" s="4" t="str">
        <f t="shared" si="12"/>
        <v/>
      </c>
      <c r="AA565" s="4" t="str">
        <f t="shared" si="13"/>
        <v/>
      </c>
      <c r="AB565" s="4" t="str">
        <f t="shared" si="14"/>
        <v/>
      </c>
      <c r="AC565" s="4">
        <v>0.43655902346952402</v>
      </c>
      <c r="AD565" s="4">
        <f t="shared" si="15"/>
        <v>-0.5736926953886039</v>
      </c>
      <c r="AE565" s="4" t="e">
        <f t="shared" si="16"/>
        <v>#VALUE!</v>
      </c>
      <c r="AF565" s="3" t="e">
        <f t="shared" si="17"/>
        <v>#VALUE!</v>
      </c>
      <c r="AG565" s="3"/>
      <c r="AH565" s="3"/>
      <c r="AI565" s="3"/>
      <c r="AJ565" s="3"/>
      <c r="AK565" s="3"/>
    </row>
    <row r="566" spans="1:37" ht="12.75" customHeight="1" x14ac:dyDescent="0.2">
      <c r="A566" s="14">
        <v>557</v>
      </c>
      <c r="B566" s="4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4"/>
      <c r="Y566" s="23"/>
      <c r="Z566" s="4" t="str">
        <f t="shared" si="12"/>
        <v/>
      </c>
      <c r="AA566" s="4" t="str">
        <f t="shared" si="13"/>
        <v/>
      </c>
      <c r="AB566" s="4" t="str">
        <f t="shared" si="14"/>
        <v/>
      </c>
      <c r="AC566" s="4">
        <v>0.43655902346952402</v>
      </c>
      <c r="AD566" s="4">
        <f t="shared" si="15"/>
        <v>-0.5736926953886039</v>
      </c>
      <c r="AE566" s="4" t="e">
        <f t="shared" si="16"/>
        <v>#VALUE!</v>
      </c>
      <c r="AF566" s="3" t="e">
        <f t="shared" si="17"/>
        <v>#VALUE!</v>
      </c>
      <c r="AG566" s="3"/>
      <c r="AH566" s="3"/>
      <c r="AI566" s="3"/>
      <c r="AJ566" s="3"/>
      <c r="AK566" s="3"/>
    </row>
    <row r="567" spans="1:37" ht="12.75" customHeight="1" x14ac:dyDescent="0.2">
      <c r="A567" s="14">
        <v>558</v>
      </c>
      <c r="B567" s="4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4"/>
      <c r="Y567" s="23"/>
      <c r="Z567" s="4" t="str">
        <f t="shared" si="12"/>
        <v/>
      </c>
      <c r="AA567" s="4" t="str">
        <f t="shared" si="13"/>
        <v/>
      </c>
      <c r="AB567" s="4" t="str">
        <f t="shared" si="14"/>
        <v/>
      </c>
      <c r="AC567" s="4">
        <v>0.43655902346952402</v>
      </c>
      <c r="AD567" s="4">
        <f t="shared" si="15"/>
        <v>-0.5736926953886039</v>
      </c>
      <c r="AE567" s="4" t="e">
        <f t="shared" si="16"/>
        <v>#VALUE!</v>
      </c>
      <c r="AF567" s="3" t="e">
        <f t="shared" si="17"/>
        <v>#VALUE!</v>
      </c>
      <c r="AG567" s="3"/>
      <c r="AH567" s="3"/>
      <c r="AI567" s="3"/>
      <c r="AJ567" s="3"/>
      <c r="AK567" s="3"/>
    </row>
    <row r="568" spans="1:37" ht="12.75" customHeight="1" x14ac:dyDescent="0.2">
      <c r="A568" s="14">
        <v>559</v>
      </c>
      <c r="B568" s="4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4"/>
      <c r="Y568" s="23"/>
      <c r="Z568" s="4" t="str">
        <f t="shared" si="12"/>
        <v/>
      </c>
      <c r="AA568" s="4" t="str">
        <f t="shared" si="13"/>
        <v/>
      </c>
      <c r="AB568" s="4" t="str">
        <f t="shared" si="14"/>
        <v/>
      </c>
      <c r="AC568" s="4">
        <v>0.43655902346952402</v>
      </c>
      <c r="AD568" s="4">
        <f t="shared" si="15"/>
        <v>-0.5736926953886039</v>
      </c>
      <c r="AE568" s="4" t="e">
        <f t="shared" si="16"/>
        <v>#VALUE!</v>
      </c>
      <c r="AF568" s="3" t="e">
        <f t="shared" si="17"/>
        <v>#VALUE!</v>
      </c>
      <c r="AG568" s="3"/>
      <c r="AH568" s="3"/>
      <c r="AI568" s="3"/>
      <c r="AJ568" s="3"/>
      <c r="AK568" s="3"/>
    </row>
    <row r="569" spans="1:37" ht="12.75" customHeight="1" x14ac:dyDescent="0.2">
      <c r="A569" s="14">
        <v>560</v>
      </c>
      <c r="B569" s="4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4"/>
      <c r="Y569" s="23"/>
      <c r="Z569" s="4" t="str">
        <f t="shared" si="12"/>
        <v/>
      </c>
      <c r="AA569" s="4" t="str">
        <f t="shared" si="13"/>
        <v/>
      </c>
      <c r="AB569" s="4" t="str">
        <f t="shared" si="14"/>
        <v/>
      </c>
      <c r="AC569" s="4">
        <v>0.43655902346952402</v>
      </c>
      <c r="AD569" s="4">
        <f t="shared" si="15"/>
        <v>-0.5736926953886039</v>
      </c>
      <c r="AE569" s="4" t="e">
        <f t="shared" si="16"/>
        <v>#VALUE!</v>
      </c>
      <c r="AF569" s="3" t="e">
        <f t="shared" si="17"/>
        <v>#VALUE!</v>
      </c>
      <c r="AG569" s="3"/>
      <c r="AH569" s="3"/>
      <c r="AI569" s="3"/>
      <c r="AJ569" s="3"/>
      <c r="AK569" s="3"/>
    </row>
    <row r="570" spans="1:37" ht="12.75" customHeight="1" x14ac:dyDescent="0.2">
      <c r="A570" s="14">
        <v>561</v>
      </c>
      <c r="B570" s="4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4"/>
      <c r="Y570" s="23"/>
      <c r="Z570" s="4" t="str">
        <f t="shared" si="12"/>
        <v/>
      </c>
      <c r="AA570" s="4" t="str">
        <f t="shared" si="13"/>
        <v/>
      </c>
      <c r="AB570" s="4" t="str">
        <f t="shared" si="14"/>
        <v/>
      </c>
      <c r="AC570" s="4">
        <v>0.43655902346952402</v>
      </c>
      <c r="AD570" s="4">
        <f t="shared" si="15"/>
        <v>-0.5736926953886039</v>
      </c>
      <c r="AE570" s="4" t="e">
        <f t="shared" si="16"/>
        <v>#VALUE!</v>
      </c>
      <c r="AF570" s="3" t="e">
        <f t="shared" si="17"/>
        <v>#VALUE!</v>
      </c>
      <c r="AG570" s="3"/>
      <c r="AH570" s="3"/>
      <c r="AI570" s="3"/>
      <c r="AJ570" s="3"/>
      <c r="AK570" s="3"/>
    </row>
    <row r="571" spans="1:37" ht="12.75" customHeight="1" x14ac:dyDescent="0.2">
      <c r="A571" s="14">
        <v>562</v>
      </c>
      <c r="B571" s="4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4"/>
      <c r="Y571" s="23"/>
      <c r="Z571" s="4" t="str">
        <f t="shared" si="12"/>
        <v/>
      </c>
      <c r="AA571" s="4" t="str">
        <f t="shared" si="13"/>
        <v/>
      </c>
      <c r="AB571" s="4" t="str">
        <f t="shared" si="14"/>
        <v/>
      </c>
      <c r="AC571" s="4">
        <v>0.43655902346952402</v>
      </c>
      <c r="AD571" s="4">
        <f t="shared" si="15"/>
        <v>-0.5736926953886039</v>
      </c>
      <c r="AE571" s="4" t="e">
        <f t="shared" si="16"/>
        <v>#VALUE!</v>
      </c>
      <c r="AF571" s="3" t="e">
        <f t="shared" si="17"/>
        <v>#VALUE!</v>
      </c>
      <c r="AG571" s="3"/>
      <c r="AH571" s="3"/>
      <c r="AI571" s="3"/>
      <c r="AJ571" s="3"/>
      <c r="AK571" s="3"/>
    </row>
    <row r="572" spans="1:37" ht="12.75" customHeight="1" x14ac:dyDescent="0.2">
      <c r="A572" s="14">
        <v>563</v>
      </c>
      <c r="B572" s="4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4"/>
      <c r="Y572" s="23"/>
      <c r="Z572" s="4" t="str">
        <f t="shared" si="12"/>
        <v/>
      </c>
      <c r="AA572" s="4" t="str">
        <f t="shared" si="13"/>
        <v/>
      </c>
      <c r="AB572" s="4" t="str">
        <f t="shared" si="14"/>
        <v/>
      </c>
      <c r="AC572" s="4">
        <v>0.43655902346952402</v>
      </c>
      <c r="AD572" s="4">
        <f t="shared" si="15"/>
        <v>-0.5736926953886039</v>
      </c>
      <c r="AE572" s="4" t="e">
        <f t="shared" si="16"/>
        <v>#VALUE!</v>
      </c>
      <c r="AF572" s="3" t="e">
        <f t="shared" si="17"/>
        <v>#VALUE!</v>
      </c>
      <c r="AG572" s="3"/>
      <c r="AH572" s="3"/>
      <c r="AI572" s="3"/>
      <c r="AJ572" s="3"/>
      <c r="AK572" s="3"/>
    </row>
    <row r="573" spans="1:37" ht="12.75" customHeight="1" x14ac:dyDescent="0.2">
      <c r="A573" s="14">
        <v>564</v>
      </c>
      <c r="B573" s="4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4"/>
      <c r="Y573" s="23"/>
      <c r="Z573" s="4" t="str">
        <f t="shared" si="12"/>
        <v/>
      </c>
      <c r="AA573" s="4" t="str">
        <f t="shared" si="13"/>
        <v/>
      </c>
      <c r="AB573" s="4" t="str">
        <f t="shared" si="14"/>
        <v/>
      </c>
      <c r="AC573" s="4">
        <v>0.43655902346952402</v>
      </c>
      <c r="AD573" s="4">
        <f t="shared" si="15"/>
        <v>-0.5736926953886039</v>
      </c>
      <c r="AE573" s="4" t="e">
        <f t="shared" si="16"/>
        <v>#VALUE!</v>
      </c>
      <c r="AF573" s="3" t="e">
        <f t="shared" si="17"/>
        <v>#VALUE!</v>
      </c>
      <c r="AG573" s="3"/>
      <c r="AH573" s="3"/>
      <c r="AI573" s="3"/>
      <c r="AJ573" s="3"/>
      <c r="AK573" s="3"/>
    </row>
    <row r="574" spans="1:37" ht="12.75" customHeight="1" x14ac:dyDescent="0.2">
      <c r="A574" s="14">
        <v>565</v>
      </c>
      <c r="B574" s="4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4"/>
      <c r="Y574" s="23"/>
      <c r="Z574" s="4" t="str">
        <f t="shared" si="12"/>
        <v/>
      </c>
      <c r="AA574" s="4" t="str">
        <f t="shared" si="13"/>
        <v/>
      </c>
      <c r="AB574" s="4" t="str">
        <f t="shared" si="14"/>
        <v/>
      </c>
      <c r="AC574" s="4">
        <v>0.43655902346952402</v>
      </c>
      <c r="AD574" s="4">
        <f t="shared" si="15"/>
        <v>-0.5736926953886039</v>
      </c>
      <c r="AE574" s="4" t="e">
        <f t="shared" si="16"/>
        <v>#VALUE!</v>
      </c>
      <c r="AF574" s="3" t="e">
        <f t="shared" si="17"/>
        <v>#VALUE!</v>
      </c>
      <c r="AG574" s="3"/>
      <c r="AH574" s="3"/>
      <c r="AI574" s="3"/>
      <c r="AJ574" s="3"/>
      <c r="AK574" s="3"/>
    </row>
    <row r="575" spans="1:37" ht="12.75" customHeight="1" x14ac:dyDescent="0.2">
      <c r="A575" s="14">
        <v>566</v>
      </c>
      <c r="B575" s="4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4"/>
      <c r="Y575" s="23"/>
      <c r="Z575" s="4" t="str">
        <f t="shared" si="12"/>
        <v/>
      </c>
      <c r="AA575" s="4" t="str">
        <f t="shared" si="13"/>
        <v/>
      </c>
      <c r="AB575" s="4" t="str">
        <f t="shared" si="14"/>
        <v/>
      </c>
      <c r="AC575" s="4">
        <v>0.43655902346952402</v>
      </c>
      <c r="AD575" s="4">
        <f t="shared" si="15"/>
        <v>-0.5736926953886039</v>
      </c>
      <c r="AE575" s="4" t="e">
        <f t="shared" si="16"/>
        <v>#VALUE!</v>
      </c>
      <c r="AF575" s="3" t="e">
        <f t="shared" si="17"/>
        <v>#VALUE!</v>
      </c>
      <c r="AG575" s="3"/>
      <c r="AH575" s="3"/>
      <c r="AI575" s="3"/>
      <c r="AJ575" s="3"/>
      <c r="AK575" s="3"/>
    </row>
    <row r="576" spans="1:37" ht="12.75" customHeight="1" x14ac:dyDescent="0.2">
      <c r="A576" s="14">
        <v>567</v>
      </c>
      <c r="B576" s="4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4"/>
      <c r="Y576" s="23"/>
      <c r="Z576" s="4" t="str">
        <f t="shared" si="12"/>
        <v/>
      </c>
      <c r="AA576" s="4" t="str">
        <f t="shared" si="13"/>
        <v/>
      </c>
      <c r="AB576" s="4" t="str">
        <f t="shared" si="14"/>
        <v/>
      </c>
      <c r="AC576" s="4">
        <v>0.43655902346952402</v>
      </c>
      <c r="AD576" s="4">
        <f t="shared" si="15"/>
        <v>-0.5736926953886039</v>
      </c>
      <c r="AE576" s="4" t="e">
        <f t="shared" si="16"/>
        <v>#VALUE!</v>
      </c>
      <c r="AF576" s="3" t="e">
        <f t="shared" si="17"/>
        <v>#VALUE!</v>
      </c>
      <c r="AG576" s="3"/>
      <c r="AH576" s="3"/>
      <c r="AI576" s="3"/>
      <c r="AJ576" s="3"/>
      <c r="AK576" s="3"/>
    </row>
    <row r="577" spans="1:37" ht="12.75" customHeight="1" x14ac:dyDescent="0.2">
      <c r="A577" s="14">
        <v>568</v>
      </c>
      <c r="B577" s="4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4"/>
      <c r="Y577" s="23"/>
      <c r="Z577" s="4" t="str">
        <f t="shared" si="12"/>
        <v/>
      </c>
      <c r="AA577" s="4" t="str">
        <f t="shared" si="13"/>
        <v/>
      </c>
      <c r="AB577" s="4" t="str">
        <f t="shared" si="14"/>
        <v/>
      </c>
      <c r="AC577" s="4">
        <v>0.43655902346952402</v>
      </c>
      <c r="AD577" s="4">
        <f t="shared" si="15"/>
        <v>-0.5736926953886039</v>
      </c>
      <c r="AE577" s="4" t="e">
        <f t="shared" si="16"/>
        <v>#VALUE!</v>
      </c>
      <c r="AF577" s="3" t="e">
        <f t="shared" si="17"/>
        <v>#VALUE!</v>
      </c>
      <c r="AG577" s="3"/>
      <c r="AH577" s="3"/>
      <c r="AI577" s="3"/>
      <c r="AJ577" s="3"/>
      <c r="AK577" s="3"/>
    </row>
    <row r="578" spans="1:37" ht="12.75" customHeight="1" x14ac:dyDescent="0.2">
      <c r="A578" s="14">
        <v>569</v>
      </c>
      <c r="B578" s="4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4"/>
      <c r="Y578" s="23"/>
      <c r="Z578" s="4" t="str">
        <f t="shared" si="12"/>
        <v/>
      </c>
      <c r="AA578" s="4" t="str">
        <f t="shared" si="13"/>
        <v/>
      </c>
      <c r="AB578" s="4" t="str">
        <f t="shared" si="14"/>
        <v/>
      </c>
      <c r="AC578" s="4">
        <v>0.43655902346952402</v>
      </c>
      <c r="AD578" s="4">
        <f t="shared" si="15"/>
        <v>-0.5736926953886039</v>
      </c>
      <c r="AE578" s="4" t="e">
        <f t="shared" si="16"/>
        <v>#VALUE!</v>
      </c>
      <c r="AF578" s="3" t="e">
        <f t="shared" si="17"/>
        <v>#VALUE!</v>
      </c>
      <c r="AG578" s="3"/>
      <c r="AH578" s="3"/>
      <c r="AI578" s="3"/>
      <c r="AJ578" s="3"/>
      <c r="AK578" s="3"/>
    </row>
    <row r="579" spans="1:37" ht="12.75" customHeight="1" x14ac:dyDescent="0.2">
      <c r="A579" s="14">
        <v>570</v>
      </c>
      <c r="B579" s="4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4"/>
      <c r="Y579" s="23"/>
      <c r="Z579" s="4" t="str">
        <f t="shared" si="12"/>
        <v/>
      </c>
      <c r="AA579" s="4" t="str">
        <f t="shared" si="13"/>
        <v/>
      </c>
      <c r="AB579" s="4" t="str">
        <f t="shared" si="14"/>
        <v/>
      </c>
      <c r="AC579" s="4">
        <v>0.43655902346952402</v>
      </c>
      <c r="AD579" s="4">
        <f t="shared" si="15"/>
        <v>-0.5736926953886039</v>
      </c>
      <c r="AE579" s="4" t="e">
        <f t="shared" si="16"/>
        <v>#VALUE!</v>
      </c>
      <c r="AF579" s="3" t="e">
        <f t="shared" si="17"/>
        <v>#VALUE!</v>
      </c>
      <c r="AG579" s="3"/>
      <c r="AH579" s="3"/>
      <c r="AI579" s="3"/>
      <c r="AJ579" s="3"/>
      <c r="AK579" s="3"/>
    </row>
    <row r="580" spans="1:37" ht="12.75" customHeight="1" x14ac:dyDescent="0.2">
      <c r="A580" s="14">
        <v>571</v>
      </c>
      <c r="B580" s="4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4"/>
      <c r="Y580" s="23"/>
      <c r="Z580" s="4" t="str">
        <f t="shared" si="12"/>
        <v/>
      </c>
      <c r="AA580" s="4" t="str">
        <f t="shared" si="13"/>
        <v/>
      </c>
      <c r="AB580" s="4" t="str">
        <f t="shared" si="14"/>
        <v/>
      </c>
      <c r="AC580" s="4">
        <v>0.43655902346952402</v>
      </c>
      <c r="AD580" s="4">
        <f t="shared" si="15"/>
        <v>-0.5736926953886039</v>
      </c>
      <c r="AE580" s="4" t="e">
        <f t="shared" si="16"/>
        <v>#VALUE!</v>
      </c>
      <c r="AF580" s="3" t="e">
        <f t="shared" si="17"/>
        <v>#VALUE!</v>
      </c>
      <c r="AG580" s="3"/>
      <c r="AH580" s="3"/>
      <c r="AI580" s="3"/>
      <c r="AJ580" s="3"/>
      <c r="AK580" s="3"/>
    </row>
    <row r="581" spans="1:37" ht="12.75" customHeight="1" x14ac:dyDescent="0.2">
      <c r="A581" s="14">
        <v>572</v>
      </c>
      <c r="B581" s="4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4"/>
      <c r="Y581" s="23"/>
      <c r="Z581" s="4" t="str">
        <f t="shared" si="12"/>
        <v/>
      </c>
      <c r="AA581" s="4" t="str">
        <f t="shared" si="13"/>
        <v/>
      </c>
      <c r="AB581" s="4" t="str">
        <f t="shared" si="14"/>
        <v/>
      </c>
      <c r="AC581" s="4">
        <v>0.43655902346952402</v>
      </c>
      <c r="AD581" s="4">
        <f t="shared" si="15"/>
        <v>-0.5736926953886039</v>
      </c>
      <c r="AE581" s="4" t="e">
        <f t="shared" si="16"/>
        <v>#VALUE!</v>
      </c>
      <c r="AF581" s="3" t="e">
        <f t="shared" si="17"/>
        <v>#VALUE!</v>
      </c>
      <c r="AG581" s="3"/>
      <c r="AH581" s="3"/>
      <c r="AI581" s="3"/>
      <c r="AJ581" s="3"/>
      <c r="AK581" s="3"/>
    </row>
    <row r="582" spans="1:37" ht="12.75" customHeight="1" x14ac:dyDescent="0.2">
      <c r="A582" s="14">
        <v>573</v>
      </c>
      <c r="B582" s="4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4"/>
      <c r="Y582" s="23"/>
      <c r="Z582" s="4" t="str">
        <f t="shared" si="12"/>
        <v/>
      </c>
      <c r="AA582" s="4" t="str">
        <f t="shared" si="13"/>
        <v/>
      </c>
      <c r="AB582" s="4" t="str">
        <f t="shared" si="14"/>
        <v/>
      </c>
      <c r="AC582" s="4">
        <v>0.43655902346952402</v>
      </c>
      <c r="AD582" s="4">
        <f t="shared" si="15"/>
        <v>-0.5736926953886039</v>
      </c>
      <c r="AE582" s="4" t="e">
        <f t="shared" si="16"/>
        <v>#VALUE!</v>
      </c>
      <c r="AF582" s="3" t="e">
        <f t="shared" si="17"/>
        <v>#VALUE!</v>
      </c>
      <c r="AG582" s="3"/>
      <c r="AH582" s="3"/>
      <c r="AI582" s="3"/>
      <c r="AJ582" s="3"/>
      <c r="AK582" s="3"/>
    </row>
    <row r="583" spans="1:37" ht="12.75" customHeight="1" x14ac:dyDescent="0.2">
      <c r="A583" s="14">
        <v>574</v>
      </c>
      <c r="B583" s="4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4"/>
      <c r="Y583" s="23"/>
      <c r="Z583" s="4" t="str">
        <f t="shared" si="12"/>
        <v/>
      </c>
      <c r="AA583" s="4" t="str">
        <f t="shared" si="13"/>
        <v/>
      </c>
      <c r="AB583" s="4" t="str">
        <f t="shared" si="14"/>
        <v/>
      </c>
      <c r="AC583" s="4">
        <v>0.43655902346952402</v>
      </c>
      <c r="AD583" s="4">
        <f t="shared" si="15"/>
        <v>-0.5736926953886039</v>
      </c>
      <c r="AE583" s="4" t="e">
        <f t="shared" si="16"/>
        <v>#VALUE!</v>
      </c>
      <c r="AF583" s="3" t="e">
        <f t="shared" si="17"/>
        <v>#VALUE!</v>
      </c>
      <c r="AG583" s="3"/>
      <c r="AH583" s="3"/>
      <c r="AI583" s="3"/>
      <c r="AJ583" s="3"/>
      <c r="AK583" s="3"/>
    </row>
    <row r="584" spans="1:37" ht="12.75" customHeight="1" x14ac:dyDescent="0.2">
      <c r="A584" s="14">
        <v>575</v>
      </c>
      <c r="B584" s="4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4"/>
      <c r="Y584" s="23"/>
      <c r="Z584" s="4" t="str">
        <f t="shared" si="12"/>
        <v/>
      </c>
      <c r="AA584" s="4" t="str">
        <f t="shared" si="13"/>
        <v/>
      </c>
      <c r="AB584" s="4" t="str">
        <f t="shared" si="14"/>
        <v/>
      </c>
      <c r="AC584" s="4">
        <v>0.43655902346952402</v>
      </c>
      <c r="AD584" s="4">
        <f t="shared" si="15"/>
        <v>-0.5736926953886039</v>
      </c>
      <c r="AE584" s="4" t="e">
        <f t="shared" si="16"/>
        <v>#VALUE!</v>
      </c>
      <c r="AF584" s="3" t="e">
        <f t="shared" si="17"/>
        <v>#VALUE!</v>
      </c>
      <c r="AG584" s="3"/>
      <c r="AH584" s="3"/>
      <c r="AI584" s="3"/>
      <c r="AJ584" s="3"/>
      <c r="AK584" s="3"/>
    </row>
    <row r="585" spans="1:37" ht="12.75" customHeight="1" x14ac:dyDescent="0.2">
      <c r="A585" s="14">
        <v>576</v>
      </c>
      <c r="B585" s="4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4"/>
      <c r="Y585" s="23"/>
      <c r="Z585" s="4" t="str">
        <f t="shared" si="12"/>
        <v/>
      </c>
      <c r="AA585" s="4" t="str">
        <f t="shared" si="13"/>
        <v/>
      </c>
      <c r="AB585" s="4" t="str">
        <f t="shared" si="14"/>
        <v/>
      </c>
      <c r="AC585" s="4">
        <v>0.43655902346952402</v>
      </c>
      <c r="AD585" s="4">
        <f t="shared" si="15"/>
        <v>-0.5736926953886039</v>
      </c>
      <c r="AE585" s="4" t="e">
        <f t="shared" si="16"/>
        <v>#VALUE!</v>
      </c>
      <c r="AF585" s="3" t="e">
        <f t="shared" si="17"/>
        <v>#VALUE!</v>
      </c>
      <c r="AG585" s="3"/>
      <c r="AH585" s="3"/>
      <c r="AI585" s="3"/>
      <c r="AJ585" s="3"/>
      <c r="AK585" s="3"/>
    </row>
    <row r="586" spans="1:37" ht="12.75" customHeight="1" x14ac:dyDescent="0.2">
      <c r="A586" s="14">
        <v>577</v>
      </c>
      <c r="B586" s="4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4"/>
      <c r="Y586" s="23"/>
      <c r="Z586" s="4" t="str">
        <f t="shared" si="12"/>
        <v/>
      </c>
      <c r="AA586" s="4" t="str">
        <f t="shared" si="13"/>
        <v/>
      </c>
      <c r="AB586" s="4" t="str">
        <f t="shared" si="14"/>
        <v/>
      </c>
      <c r="AC586" s="4">
        <v>0.43655902346952402</v>
      </c>
      <c r="AD586" s="4">
        <f t="shared" si="15"/>
        <v>-0.5736926953886039</v>
      </c>
      <c r="AE586" s="4" t="e">
        <f t="shared" si="16"/>
        <v>#VALUE!</v>
      </c>
      <c r="AF586" s="3" t="e">
        <f t="shared" si="17"/>
        <v>#VALUE!</v>
      </c>
      <c r="AG586" s="3"/>
      <c r="AH586" s="3"/>
      <c r="AI586" s="3"/>
      <c r="AJ586" s="3"/>
      <c r="AK586" s="3"/>
    </row>
    <row r="587" spans="1:37" ht="12.75" customHeight="1" x14ac:dyDescent="0.2">
      <c r="A587" s="14">
        <v>578</v>
      </c>
      <c r="B587" s="4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4"/>
      <c r="Y587" s="23"/>
      <c r="Z587" s="4" t="str">
        <f t="shared" si="12"/>
        <v/>
      </c>
      <c r="AA587" s="4" t="str">
        <f t="shared" si="13"/>
        <v/>
      </c>
      <c r="AB587" s="4" t="str">
        <f t="shared" si="14"/>
        <v/>
      </c>
      <c r="AC587" s="4">
        <v>0.43655902346952402</v>
      </c>
      <c r="AD587" s="4">
        <f t="shared" si="15"/>
        <v>-0.5736926953886039</v>
      </c>
      <c r="AE587" s="4" t="e">
        <f t="shared" si="16"/>
        <v>#VALUE!</v>
      </c>
      <c r="AF587" s="3" t="e">
        <f t="shared" si="17"/>
        <v>#VALUE!</v>
      </c>
      <c r="AG587" s="3"/>
      <c r="AH587" s="3"/>
      <c r="AI587" s="3"/>
      <c r="AJ587" s="3"/>
      <c r="AK587" s="3"/>
    </row>
    <row r="588" spans="1:37" ht="12.75" customHeight="1" x14ac:dyDescent="0.2">
      <c r="A588" s="14">
        <v>579</v>
      </c>
      <c r="B588" s="4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4"/>
      <c r="Y588" s="23"/>
      <c r="Z588" s="4" t="str">
        <f t="shared" si="12"/>
        <v/>
      </c>
      <c r="AA588" s="4" t="str">
        <f t="shared" si="13"/>
        <v/>
      </c>
      <c r="AB588" s="4" t="str">
        <f t="shared" si="14"/>
        <v/>
      </c>
      <c r="AC588" s="4">
        <v>0.43655902346952402</v>
      </c>
      <c r="AD588" s="4">
        <f t="shared" si="15"/>
        <v>-0.5736926953886039</v>
      </c>
      <c r="AE588" s="4" t="e">
        <f t="shared" si="16"/>
        <v>#VALUE!</v>
      </c>
      <c r="AF588" s="3" t="e">
        <f t="shared" si="17"/>
        <v>#VALUE!</v>
      </c>
      <c r="AG588" s="3"/>
      <c r="AH588" s="3"/>
      <c r="AI588" s="3"/>
      <c r="AJ588" s="3"/>
      <c r="AK588" s="3"/>
    </row>
    <row r="589" spans="1:37" ht="12.75" customHeight="1" x14ac:dyDescent="0.2">
      <c r="A589" s="14">
        <v>580</v>
      </c>
      <c r="B589" s="4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4"/>
      <c r="Y589" s="23"/>
      <c r="Z589" s="4" t="str">
        <f t="shared" si="12"/>
        <v/>
      </c>
      <c r="AA589" s="4" t="str">
        <f t="shared" si="13"/>
        <v/>
      </c>
      <c r="AB589" s="4" t="str">
        <f t="shared" si="14"/>
        <v/>
      </c>
      <c r="AC589" s="4">
        <v>0.43655902346952402</v>
      </c>
      <c r="AD589" s="4">
        <f t="shared" si="15"/>
        <v>-0.5736926953886039</v>
      </c>
      <c r="AE589" s="4" t="e">
        <f t="shared" si="16"/>
        <v>#VALUE!</v>
      </c>
      <c r="AF589" s="3" t="e">
        <f t="shared" si="17"/>
        <v>#VALUE!</v>
      </c>
      <c r="AG589" s="3"/>
      <c r="AH589" s="3"/>
      <c r="AI589" s="3"/>
      <c r="AJ589" s="3"/>
      <c r="AK589" s="3"/>
    </row>
    <row r="590" spans="1:37" ht="12.75" customHeight="1" x14ac:dyDescent="0.2">
      <c r="A590" s="14">
        <v>581</v>
      </c>
      <c r="B590" s="4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4"/>
      <c r="Y590" s="23"/>
      <c r="Z590" s="4" t="str">
        <f t="shared" si="12"/>
        <v/>
      </c>
      <c r="AA590" s="4" t="str">
        <f t="shared" si="13"/>
        <v/>
      </c>
      <c r="AB590" s="4" t="str">
        <f t="shared" si="14"/>
        <v/>
      </c>
      <c r="AC590" s="4">
        <v>0.43655902346952402</v>
      </c>
      <c r="AD590" s="4">
        <f t="shared" si="15"/>
        <v>-0.5736926953886039</v>
      </c>
      <c r="AE590" s="4" t="e">
        <f t="shared" si="16"/>
        <v>#VALUE!</v>
      </c>
      <c r="AF590" s="3" t="e">
        <f t="shared" si="17"/>
        <v>#VALUE!</v>
      </c>
      <c r="AG590" s="3"/>
      <c r="AH590" s="3"/>
      <c r="AI590" s="3"/>
      <c r="AJ590" s="3"/>
      <c r="AK590" s="3"/>
    </row>
    <row r="591" spans="1:37" ht="12.75" customHeight="1" x14ac:dyDescent="0.2">
      <c r="A591" s="14">
        <v>582</v>
      </c>
      <c r="B591" s="4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4"/>
      <c r="Y591" s="23"/>
      <c r="Z591" s="4" t="str">
        <f t="shared" si="12"/>
        <v/>
      </c>
      <c r="AA591" s="4" t="str">
        <f t="shared" si="13"/>
        <v/>
      </c>
      <c r="AB591" s="4" t="str">
        <f t="shared" si="14"/>
        <v/>
      </c>
      <c r="AC591" s="4">
        <v>0.43655902346952402</v>
      </c>
      <c r="AD591" s="4">
        <f t="shared" si="15"/>
        <v>-0.5736926953886039</v>
      </c>
      <c r="AE591" s="4" t="e">
        <f t="shared" si="16"/>
        <v>#VALUE!</v>
      </c>
      <c r="AF591" s="3" t="e">
        <f t="shared" si="17"/>
        <v>#VALUE!</v>
      </c>
      <c r="AG591" s="3"/>
      <c r="AH591" s="3"/>
      <c r="AI591" s="3"/>
      <c r="AJ591" s="3"/>
      <c r="AK591" s="3"/>
    </row>
    <row r="592" spans="1:37" ht="12.75" customHeight="1" x14ac:dyDescent="0.2">
      <c r="A592" s="14">
        <v>583</v>
      </c>
      <c r="B592" s="4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4"/>
      <c r="Y592" s="23"/>
      <c r="Z592" s="4" t="str">
        <f t="shared" si="12"/>
        <v/>
      </c>
      <c r="AA592" s="4" t="str">
        <f t="shared" si="13"/>
        <v/>
      </c>
      <c r="AB592" s="4" t="str">
        <f t="shared" si="14"/>
        <v/>
      </c>
      <c r="AC592" s="4">
        <v>0.43655902346952402</v>
      </c>
      <c r="AD592" s="4">
        <f t="shared" si="15"/>
        <v>-0.5736926953886039</v>
      </c>
      <c r="AE592" s="4" t="e">
        <f t="shared" si="16"/>
        <v>#VALUE!</v>
      </c>
      <c r="AF592" s="3" t="e">
        <f t="shared" si="17"/>
        <v>#VALUE!</v>
      </c>
      <c r="AG592" s="3"/>
      <c r="AH592" s="3"/>
      <c r="AI592" s="3"/>
      <c r="AJ592" s="3"/>
      <c r="AK592" s="3"/>
    </row>
    <row r="593" spans="1:37" ht="12.75" customHeight="1" x14ac:dyDescent="0.2">
      <c r="A593" s="14">
        <v>584</v>
      </c>
      <c r="B593" s="4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4"/>
      <c r="Y593" s="23"/>
      <c r="Z593" s="4" t="str">
        <f t="shared" si="12"/>
        <v/>
      </c>
      <c r="AA593" s="4" t="str">
        <f t="shared" si="13"/>
        <v/>
      </c>
      <c r="AB593" s="4" t="str">
        <f t="shared" si="14"/>
        <v/>
      </c>
      <c r="AC593" s="4">
        <v>0.43655902346952402</v>
      </c>
      <c r="AD593" s="4">
        <f t="shared" si="15"/>
        <v>-0.5736926953886039</v>
      </c>
      <c r="AE593" s="4" t="e">
        <f t="shared" si="16"/>
        <v>#VALUE!</v>
      </c>
      <c r="AF593" s="3" t="e">
        <f t="shared" si="17"/>
        <v>#VALUE!</v>
      </c>
      <c r="AG593" s="3"/>
      <c r="AH593" s="3"/>
      <c r="AI593" s="3"/>
      <c r="AJ593" s="3"/>
      <c r="AK593" s="3"/>
    </row>
    <row r="594" spans="1:37" ht="12.75" customHeight="1" x14ac:dyDescent="0.2">
      <c r="A594" s="14">
        <v>585</v>
      </c>
      <c r="B594" s="4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4"/>
      <c r="Y594" s="23"/>
      <c r="Z594" s="4" t="str">
        <f t="shared" si="12"/>
        <v/>
      </c>
      <c r="AA594" s="4" t="str">
        <f t="shared" si="13"/>
        <v/>
      </c>
      <c r="AB594" s="4" t="str">
        <f t="shared" si="14"/>
        <v/>
      </c>
      <c r="AC594" s="4">
        <v>0.43655902346952402</v>
      </c>
      <c r="AD594" s="4">
        <f t="shared" si="15"/>
        <v>-0.5736926953886039</v>
      </c>
      <c r="AE594" s="4" t="e">
        <f t="shared" si="16"/>
        <v>#VALUE!</v>
      </c>
      <c r="AF594" s="3" t="e">
        <f t="shared" si="17"/>
        <v>#VALUE!</v>
      </c>
      <c r="AG594" s="3"/>
      <c r="AH594" s="3"/>
      <c r="AI594" s="3"/>
      <c r="AJ594" s="3"/>
      <c r="AK594" s="3"/>
    </row>
    <row r="595" spans="1:37" ht="12.75" customHeight="1" x14ac:dyDescent="0.2">
      <c r="A595" s="14">
        <v>586</v>
      </c>
      <c r="B595" s="4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4"/>
      <c r="Y595" s="23"/>
      <c r="Z595" s="4" t="str">
        <f t="shared" si="12"/>
        <v/>
      </c>
      <c r="AA595" s="4" t="str">
        <f t="shared" si="13"/>
        <v/>
      </c>
      <c r="AB595" s="4" t="str">
        <f t="shared" si="14"/>
        <v/>
      </c>
      <c r="AC595" s="4">
        <v>0.43655902346952402</v>
      </c>
      <c r="AD595" s="4">
        <f t="shared" si="15"/>
        <v>-0.5736926953886039</v>
      </c>
      <c r="AE595" s="4" t="e">
        <f t="shared" si="16"/>
        <v>#VALUE!</v>
      </c>
      <c r="AF595" s="3" t="e">
        <f t="shared" si="17"/>
        <v>#VALUE!</v>
      </c>
      <c r="AG595" s="3"/>
      <c r="AH595" s="3"/>
      <c r="AI595" s="3"/>
      <c r="AJ595" s="3"/>
      <c r="AK595" s="3"/>
    </row>
    <row r="596" spans="1:37" ht="12.75" customHeight="1" x14ac:dyDescent="0.2">
      <c r="A596" s="14">
        <v>587</v>
      </c>
      <c r="B596" s="4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4"/>
      <c r="Y596" s="23"/>
      <c r="Z596" s="4" t="str">
        <f t="shared" si="12"/>
        <v/>
      </c>
      <c r="AA596" s="4" t="str">
        <f t="shared" si="13"/>
        <v/>
      </c>
      <c r="AB596" s="4" t="str">
        <f t="shared" si="14"/>
        <v/>
      </c>
      <c r="AC596" s="4">
        <v>0.43655902346952402</v>
      </c>
      <c r="AD596" s="4">
        <f t="shared" si="15"/>
        <v>-0.5736926953886039</v>
      </c>
      <c r="AE596" s="4" t="e">
        <f t="shared" si="16"/>
        <v>#VALUE!</v>
      </c>
      <c r="AF596" s="3" t="e">
        <f t="shared" si="17"/>
        <v>#VALUE!</v>
      </c>
      <c r="AG596" s="3"/>
      <c r="AH596" s="3"/>
      <c r="AI596" s="3"/>
      <c r="AJ596" s="3"/>
      <c r="AK596" s="3"/>
    </row>
    <row r="597" spans="1:37" ht="12.75" customHeight="1" x14ac:dyDescent="0.2">
      <c r="A597" s="14">
        <v>588</v>
      </c>
      <c r="B597" s="4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4"/>
      <c r="Y597" s="23"/>
      <c r="Z597" s="4" t="str">
        <f t="shared" si="12"/>
        <v/>
      </c>
      <c r="AA597" s="4" t="str">
        <f t="shared" si="13"/>
        <v/>
      </c>
      <c r="AB597" s="4" t="str">
        <f t="shared" si="14"/>
        <v/>
      </c>
      <c r="AC597" s="4">
        <v>0.43655902346952402</v>
      </c>
      <c r="AD597" s="4">
        <f t="shared" si="15"/>
        <v>-0.5736926953886039</v>
      </c>
      <c r="AE597" s="4" t="e">
        <f t="shared" si="16"/>
        <v>#VALUE!</v>
      </c>
      <c r="AF597" s="3" t="e">
        <f t="shared" si="17"/>
        <v>#VALUE!</v>
      </c>
      <c r="AG597" s="3"/>
      <c r="AH597" s="3"/>
      <c r="AI597" s="3"/>
      <c r="AJ597" s="3"/>
      <c r="AK597" s="3"/>
    </row>
    <row r="598" spans="1:37" ht="12.75" customHeight="1" x14ac:dyDescent="0.2">
      <c r="A598" s="14">
        <v>589</v>
      </c>
      <c r="B598" s="4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4"/>
      <c r="Y598" s="23"/>
      <c r="Z598" s="4" t="str">
        <f t="shared" si="12"/>
        <v/>
      </c>
      <c r="AA598" s="4" t="str">
        <f t="shared" si="13"/>
        <v/>
      </c>
      <c r="AB598" s="4" t="str">
        <f t="shared" si="14"/>
        <v/>
      </c>
      <c r="AC598" s="4">
        <v>0.43655902346952402</v>
      </c>
      <c r="AD598" s="4">
        <f t="shared" si="15"/>
        <v>-0.5736926953886039</v>
      </c>
      <c r="AE598" s="4" t="e">
        <f t="shared" si="16"/>
        <v>#VALUE!</v>
      </c>
      <c r="AF598" s="3" t="e">
        <f t="shared" si="17"/>
        <v>#VALUE!</v>
      </c>
      <c r="AG598" s="3"/>
      <c r="AH598" s="3"/>
      <c r="AI598" s="3"/>
      <c r="AJ598" s="3"/>
      <c r="AK598" s="3"/>
    </row>
    <row r="599" spans="1:37" ht="12.75" customHeight="1" x14ac:dyDescent="0.2">
      <c r="A599" s="14">
        <v>590</v>
      </c>
      <c r="B599" s="4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4"/>
      <c r="Y599" s="23"/>
      <c r="Z599" s="4" t="str">
        <f t="shared" si="12"/>
        <v/>
      </c>
      <c r="AA599" s="4" t="str">
        <f t="shared" si="13"/>
        <v/>
      </c>
      <c r="AB599" s="4" t="str">
        <f t="shared" si="14"/>
        <v/>
      </c>
      <c r="AC599" s="4">
        <v>0.43655902346952402</v>
      </c>
      <c r="AD599" s="4">
        <f t="shared" si="15"/>
        <v>-0.5736926953886039</v>
      </c>
      <c r="AE599" s="4" t="e">
        <f t="shared" si="16"/>
        <v>#VALUE!</v>
      </c>
      <c r="AF599" s="3" t="e">
        <f t="shared" si="17"/>
        <v>#VALUE!</v>
      </c>
      <c r="AG599" s="3"/>
      <c r="AH599" s="3"/>
      <c r="AI599" s="3"/>
      <c r="AJ599" s="3"/>
      <c r="AK599" s="3"/>
    </row>
    <row r="600" spans="1:37" ht="12.75" customHeight="1" x14ac:dyDescent="0.2">
      <c r="A600" s="14">
        <v>591</v>
      </c>
      <c r="B600" s="4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4"/>
      <c r="Y600" s="23"/>
      <c r="Z600" s="4" t="str">
        <f t="shared" si="12"/>
        <v/>
      </c>
      <c r="AA600" s="4" t="str">
        <f t="shared" si="13"/>
        <v/>
      </c>
      <c r="AB600" s="4" t="str">
        <f t="shared" si="14"/>
        <v/>
      </c>
      <c r="AC600" s="4">
        <v>0.43655902346952402</v>
      </c>
      <c r="AD600" s="4">
        <f t="shared" si="15"/>
        <v>-0.5736926953886039</v>
      </c>
      <c r="AE600" s="4" t="e">
        <f t="shared" si="16"/>
        <v>#VALUE!</v>
      </c>
      <c r="AF600" s="3" t="e">
        <f t="shared" si="17"/>
        <v>#VALUE!</v>
      </c>
      <c r="AG600" s="3"/>
      <c r="AH600" s="3"/>
      <c r="AI600" s="3"/>
      <c r="AJ600" s="3"/>
      <c r="AK600" s="3"/>
    </row>
    <row r="601" spans="1:37" ht="12.75" customHeight="1" x14ac:dyDescent="0.2">
      <c r="A601" s="14">
        <v>592</v>
      </c>
      <c r="B601" s="4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4"/>
      <c r="Y601" s="23"/>
      <c r="Z601" s="4" t="str">
        <f t="shared" si="12"/>
        <v/>
      </c>
      <c r="AA601" s="4" t="str">
        <f t="shared" si="13"/>
        <v/>
      </c>
      <c r="AB601" s="4" t="str">
        <f t="shared" si="14"/>
        <v/>
      </c>
      <c r="AC601" s="4">
        <v>0.43655902346952402</v>
      </c>
      <c r="AD601" s="4">
        <f t="shared" si="15"/>
        <v>-0.5736926953886039</v>
      </c>
      <c r="AE601" s="4" t="e">
        <f t="shared" si="16"/>
        <v>#VALUE!</v>
      </c>
      <c r="AF601" s="3" t="e">
        <f t="shared" si="17"/>
        <v>#VALUE!</v>
      </c>
      <c r="AG601" s="3"/>
      <c r="AH601" s="3"/>
      <c r="AI601" s="3"/>
      <c r="AJ601" s="3"/>
      <c r="AK601" s="3"/>
    </row>
    <row r="602" spans="1:37" ht="12.75" customHeight="1" x14ac:dyDescent="0.2">
      <c r="A602" s="14">
        <v>593</v>
      </c>
      <c r="B602" s="4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4"/>
      <c r="Y602" s="23"/>
      <c r="Z602" s="4" t="str">
        <f t="shared" si="12"/>
        <v/>
      </c>
      <c r="AA602" s="4" t="str">
        <f t="shared" si="13"/>
        <v/>
      </c>
      <c r="AB602" s="4" t="str">
        <f t="shared" si="14"/>
        <v/>
      </c>
      <c r="AC602" s="4">
        <v>0.43655902346952402</v>
      </c>
      <c r="AD602" s="4">
        <f t="shared" si="15"/>
        <v>-0.5736926953886039</v>
      </c>
      <c r="AE602" s="4" t="e">
        <f t="shared" si="16"/>
        <v>#VALUE!</v>
      </c>
      <c r="AF602" s="3" t="e">
        <f t="shared" si="17"/>
        <v>#VALUE!</v>
      </c>
      <c r="AG602" s="3"/>
      <c r="AH602" s="3"/>
      <c r="AI602" s="3"/>
      <c r="AJ602" s="3"/>
      <c r="AK602" s="3"/>
    </row>
    <row r="603" spans="1:37" ht="12.75" customHeight="1" x14ac:dyDescent="0.2">
      <c r="A603" s="14">
        <v>594</v>
      </c>
      <c r="B603" s="4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4"/>
      <c r="Y603" s="23"/>
      <c r="Z603" s="4" t="str">
        <f t="shared" si="12"/>
        <v/>
      </c>
      <c r="AA603" s="4" t="str">
        <f t="shared" si="13"/>
        <v/>
      </c>
      <c r="AB603" s="4" t="str">
        <f t="shared" si="14"/>
        <v/>
      </c>
      <c r="AC603" s="4">
        <v>0.43655902346952402</v>
      </c>
      <c r="AD603" s="4">
        <f t="shared" si="15"/>
        <v>-0.5736926953886039</v>
      </c>
      <c r="AE603" s="4" t="e">
        <f t="shared" si="16"/>
        <v>#VALUE!</v>
      </c>
      <c r="AF603" s="3" t="e">
        <f t="shared" si="17"/>
        <v>#VALUE!</v>
      </c>
      <c r="AG603" s="3"/>
      <c r="AH603" s="3"/>
      <c r="AI603" s="3"/>
      <c r="AJ603" s="3"/>
      <c r="AK603" s="3"/>
    </row>
    <row r="604" spans="1:37" ht="12.75" customHeight="1" x14ac:dyDescent="0.2">
      <c r="A604" s="14">
        <v>595</v>
      </c>
      <c r="B604" s="4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4"/>
      <c r="Y604" s="23"/>
      <c r="Z604" s="4" t="str">
        <f t="shared" si="12"/>
        <v/>
      </c>
      <c r="AA604" s="4" t="str">
        <f t="shared" si="13"/>
        <v/>
      </c>
      <c r="AB604" s="4" t="str">
        <f t="shared" si="14"/>
        <v/>
      </c>
      <c r="AC604" s="4">
        <v>0.43655902346952402</v>
      </c>
      <c r="AD604" s="4">
        <f t="shared" si="15"/>
        <v>-0.5736926953886039</v>
      </c>
      <c r="AE604" s="4" t="e">
        <f t="shared" si="16"/>
        <v>#VALUE!</v>
      </c>
      <c r="AF604" s="3" t="e">
        <f t="shared" si="17"/>
        <v>#VALUE!</v>
      </c>
      <c r="AG604" s="3"/>
      <c r="AH604" s="3"/>
      <c r="AI604" s="3"/>
      <c r="AJ604" s="3"/>
      <c r="AK604" s="3"/>
    </row>
    <row r="605" spans="1:37" ht="12.75" customHeight="1" x14ac:dyDescent="0.2">
      <c r="A605" s="14">
        <v>596</v>
      </c>
      <c r="B605" s="4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4"/>
      <c r="Y605" s="23"/>
      <c r="Z605" s="4" t="str">
        <f t="shared" si="12"/>
        <v/>
      </c>
      <c r="AA605" s="4" t="str">
        <f t="shared" si="13"/>
        <v/>
      </c>
      <c r="AB605" s="4" t="str">
        <f t="shared" si="14"/>
        <v/>
      </c>
      <c r="AC605" s="4">
        <v>0.43655902346952402</v>
      </c>
      <c r="AD605" s="4">
        <f t="shared" si="15"/>
        <v>-0.5736926953886039</v>
      </c>
      <c r="AE605" s="4" t="e">
        <f t="shared" si="16"/>
        <v>#VALUE!</v>
      </c>
      <c r="AF605" s="3" t="e">
        <f t="shared" si="17"/>
        <v>#VALUE!</v>
      </c>
      <c r="AG605" s="3"/>
      <c r="AH605" s="3"/>
      <c r="AI605" s="3"/>
      <c r="AJ605" s="3"/>
      <c r="AK605" s="3"/>
    </row>
    <row r="606" spans="1:37" ht="12.75" customHeight="1" x14ac:dyDescent="0.2">
      <c r="A606" s="14">
        <v>597</v>
      </c>
      <c r="B606" s="4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4"/>
      <c r="Y606" s="23"/>
      <c r="Z606" s="4" t="str">
        <f t="shared" si="12"/>
        <v/>
      </c>
      <c r="AA606" s="4" t="str">
        <f t="shared" si="13"/>
        <v/>
      </c>
      <c r="AB606" s="4" t="str">
        <f t="shared" si="14"/>
        <v/>
      </c>
      <c r="AC606" s="4">
        <v>0.43655902346952402</v>
      </c>
      <c r="AD606" s="4">
        <f t="shared" si="15"/>
        <v>-0.5736926953886039</v>
      </c>
      <c r="AE606" s="4" t="e">
        <f t="shared" si="16"/>
        <v>#VALUE!</v>
      </c>
      <c r="AF606" s="3" t="e">
        <f t="shared" si="17"/>
        <v>#VALUE!</v>
      </c>
      <c r="AG606" s="3"/>
      <c r="AH606" s="3"/>
      <c r="AI606" s="3"/>
      <c r="AJ606" s="3"/>
      <c r="AK606" s="3"/>
    </row>
    <row r="607" spans="1:37" ht="12.75" customHeight="1" x14ac:dyDescent="0.2">
      <c r="A607" s="14">
        <v>598</v>
      </c>
      <c r="B607" s="4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4"/>
      <c r="Y607" s="23"/>
      <c r="Z607" s="4" t="str">
        <f t="shared" si="12"/>
        <v/>
      </c>
      <c r="AA607" s="4" t="str">
        <f t="shared" si="13"/>
        <v/>
      </c>
      <c r="AB607" s="4" t="str">
        <f t="shared" si="14"/>
        <v/>
      </c>
      <c r="AC607" s="4">
        <v>0.43655902346952402</v>
      </c>
      <c r="AD607" s="4">
        <f t="shared" si="15"/>
        <v>-0.5736926953886039</v>
      </c>
      <c r="AE607" s="4" t="e">
        <f t="shared" si="16"/>
        <v>#VALUE!</v>
      </c>
      <c r="AF607" s="3" t="e">
        <f t="shared" si="17"/>
        <v>#VALUE!</v>
      </c>
      <c r="AG607" s="3"/>
      <c r="AH607" s="3"/>
      <c r="AI607" s="3"/>
      <c r="AJ607" s="3"/>
      <c r="AK607" s="3"/>
    </row>
    <row r="608" spans="1:37" ht="12.75" customHeight="1" x14ac:dyDescent="0.2">
      <c r="A608" s="14">
        <v>599</v>
      </c>
      <c r="B608" s="4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4"/>
      <c r="Y608" s="23"/>
      <c r="Z608" s="4" t="str">
        <f t="shared" si="12"/>
        <v/>
      </c>
      <c r="AA608" s="4" t="str">
        <f t="shared" si="13"/>
        <v/>
      </c>
      <c r="AB608" s="4" t="str">
        <f t="shared" si="14"/>
        <v/>
      </c>
      <c r="AC608" s="4">
        <v>0.43655902346952402</v>
      </c>
      <c r="AD608" s="4">
        <f t="shared" si="15"/>
        <v>-0.5736926953886039</v>
      </c>
      <c r="AE608" s="4" t="e">
        <f t="shared" si="16"/>
        <v>#VALUE!</v>
      </c>
      <c r="AF608" s="3" t="e">
        <f t="shared" si="17"/>
        <v>#VALUE!</v>
      </c>
      <c r="AG608" s="3"/>
      <c r="AH608" s="3"/>
      <c r="AI608" s="3"/>
      <c r="AJ608" s="3"/>
      <c r="AK608" s="3"/>
    </row>
    <row r="609" spans="1:37" ht="12.75" customHeight="1" x14ac:dyDescent="0.2">
      <c r="A609" s="14">
        <v>600</v>
      </c>
      <c r="B609" s="4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4"/>
      <c r="Y609" s="23"/>
      <c r="Z609" s="4" t="str">
        <f t="shared" si="12"/>
        <v/>
      </c>
      <c r="AA609" s="4" t="str">
        <f t="shared" si="13"/>
        <v/>
      </c>
      <c r="AB609" s="4" t="str">
        <f t="shared" si="14"/>
        <v/>
      </c>
      <c r="AC609" s="4">
        <v>0.43655902346952402</v>
      </c>
      <c r="AD609" s="4">
        <f t="shared" si="15"/>
        <v>-0.5736926953886039</v>
      </c>
      <c r="AE609" s="4" t="e">
        <f t="shared" si="16"/>
        <v>#VALUE!</v>
      </c>
      <c r="AF609" s="3" t="e">
        <f t="shared" si="17"/>
        <v>#VALUE!</v>
      </c>
      <c r="AG609" s="3"/>
      <c r="AH609" s="3"/>
      <c r="AI609" s="3"/>
      <c r="AJ609" s="3"/>
      <c r="AK609" s="3"/>
    </row>
    <row r="610" spans="1:37" ht="12.75" customHeight="1" x14ac:dyDescent="0.2">
      <c r="A610" s="14">
        <v>601</v>
      </c>
      <c r="B610" s="4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4"/>
      <c r="Y610" s="23"/>
      <c r="Z610" s="4" t="str">
        <f t="shared" si="12"/>
        <v/>
      </c>
      <c r="AA610" s="4" t="str">
        <f t="shared" si="13"/>
        <v/>
      </c>
      <c r="AB610" s="4" t="str">
        <f t="shared" si="14"/>
        <v/>
      </c>
      <c r="AC610" s="4">
        <v>0.43655902346952402</v>
      </c>
      <c r="AD610" s="4">
        <f t="shared" si="15"/>
        <v>-0.5736926953886039</v>
      </c>
      <c r="AE610" s="4" t="e">
        <f t="shared" si="16"/>
        <v>#VALUE!</v>
      </c>
      <c r="AF610" s="3" t="e">
        <f t="shared" si="17"/>
        <v>#VALUE!</v>
      </c>
      <c r="AG610" s="3"/>
      <c r="AH610" s="3"/>
      <c r="AI610" s="3"/>
      <c r="AJ610" s="3"/>
      <c r="AK610" s="3"/>
    </row>
    <row r="611" spans="1:37" ht="12.75" customHeight="1" x14ac:dyDescent="0.2">
      <c r="A611" s="14">
        <v>602</v>
      </c>
      <c r="B611" s="4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4"/>
      <c r="Y611" s="23"/>
      <c r="Z611" s="4" t="str">
        <f t="shared" si="12"/>
        <v/>
      </c>
      <c r="AA611" s="4" t="str">
        <f t="shared" si="13"/>
        <v/>
      </c>
      <c r="AB611" s="4" t="str">
        <f t="shared" si="14"/>
        <v/>
      </c>
      <c r="AC611" s="4">
        <v>0.43655902346952402</v>
      </c>
      <c r="AD611" s="4">
        <f t="shared" si="15"/>
        <v>-0.5736926953886039</v>
      </c>
      <c r="AE611" s="4" t="e">
        <f t="shared" si="16"/>
        <v>#VALUE!</v>
      </c>
      <c r="AF611" s="3" t="e">
        <f t="shared" si="17"/>
        <v>#VALUE!</v>
      </c>
      <c r="AG611" s="3"/>
      <c r="AH611" s="3"/>
      <c r="AI611" s="3"/>
      <c r="AJ611" s="3"/>
      <c r="AK611" s="3"/>
    </row>
    <row r="612" spans="1:37" ht="12.75" customHeight="1" x14ac:dyDescent="0.2">
      <c r="A612" s="14">
        <v>603</v>
      </c>
      <c r="B612" s="4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4"/>
      <c r="Y612" s="23"/>
      <c r="Z612" s="4" t="str">
        <f t="shared" si="12"/>
        <v/>
      </c>
      <c r="AA612" s="4" t="str">
        <f t="shared" si="13"/>
        <v/>
      </c>
      <c r="AB612" s="4" t="str">
        <f t="shared" si="14"/>
        <v/>
      </c>
      <c r="AC612" s="4">
        <v>0.43655902346952402</v>
      </c>
      <c r="AD612" s="4">
        <f t="shared" si="15"/>
        <v>-0.5736926953886039</v>
      </c>
      <c r="AE612" s="4" t="e">
        <f t="shared" si="16"/>
        <v>#VALUE!</v>
      </c>
      <c r="AF612" s="3" t="e">
        <f t="shared" si="17"/>
        <v>#VALUE!</v>
      </c>
      <c r="AG612" s="3"/>
      <c r="AH612" s="3"/>
      <c r="AI612" s="3"/>
      <c r="AJ612" s="3"/>
      <c r="AK612" s="3"/>
    </row>
    <row r="613" spans="1:37" ht="12.75" customHeight="1" x14ac:dyDescent="0.2">
      <c r="A613" s="14">
        <v>604</v>
      </c>
      <c r="B613" s="4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4"/>
      <c r="Y613" s="23"/>
      <c r="Z613" s="4" t="str">
        <f t="shared" si="12"/>
        <v/>
      </c>
      <c r="AA613" s="4" t="str">
        <f t="shared" si="13"/>
        <v/>
      </c>
      <c r="AB613" s="4" t="str">
        <f t="shared" si="14"/>
        <v/>
      </c>
      <c r="AC613" s="4">
        <v>0.43655902346952402</v>
      </c>
      <c r="AD613" s="4">
        <f t="shared" si="15"/>
        <v>-0.5736926953886039</v>
      </c>
      <c r="AE613" s="4" t="e">
        <f t="shared" si="16"/>
        <v>#VALUE!</v>
      </c>
      <c r="AF613" s="3" t="e">
        <f t="shared" si="17"/>
        <v>#VALUE!</v>
      </c>
      <c r="AG613" s="3"/>
      <c r="AH613" s="3"/>
      <c r="AI613" s="3"/>
      <c r="AJ613" s="3"/>
      <c r="AK613" s="3"/>
    </row>
    <row r="614" spans="1:37" ht="12.75" customHeight="1" x14ac:dyDescent="0.2">
      <c r="A614" s="14">
        <v>605</v>
      </c>
      <c r="B614" s="4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4"/>
      <c r="Y614" s="23"/>
      <c r="Z614" s="4" t="str">
        <f t="shared" si="12"/>
        <v/>
      </c>
      <c r="AA614" s="4" t="str">
        <f t="shared" si="13"/>
        <v/>
      </c>
      <c r="AB614" s="4" t="str">
        <f t="shared" si="14"/>
        <v/>
      </c>
      <c r="AC614" s="4">
        <v>0.43655902346952402</v>
      </c>
      <c r="AD614" s="4">
        <f t="shared" si="15"/>
        <v>-0.5736926953886039</v>
      </c>
      <c r="AE614" s="4" t="e">
        <f t="shared" si="16"/>
        <v>#VALUE!</v>
      </c>
      <c r="AF614" s="3" t="e">
        <f t="shared" si="17"/>
        <v>#VALUE!</v>
      </c>
      <c r="AG614" s="3"/>
      <c r="AH614" s="3"/>
      <c r="AI614" s="3"/>
      <c r="AJ614" s="3"/>
      <c r="AK614" s="3"/>
    </row>
    <row r="615" spans="1:37" ht="12.75" customHeight="1" x14ac:dyDescent="0.2">
      <c r="A615" s="14">
        <v>606</v>
      </c>
      <c r="B615" s="4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4"/>
      <c r="Y615" s="23"/>
      <c r="Z615" s="4" t="str">
        <f t="shared" si="12"/>
        <v/>
      </c>
      <c r="AA615" s="4" t="str">
        <f t="shared" si="13"/>
        <v/>
      </c>
      <c r="AB615" s="4" t="str">
        <f t="shared" si="14"/>
        <v/>
      </c>
      <c r="AC615" s="4">
        <v>0.43655902346952402</v>
      </c>
      <c r="AD615" s="4">
        <f t="shared" si="15"/>
        <v>-0.5736926953886039</v>
      </c>
      <c r="AE615" s="4" t="e">
        <f t="shared" si="16"/>
        <v>#VALUE!</v>
      </c>
      <c r="AF615" s="3" t="e">
        <f t="shared" si="17"/>
        <v>#VALUE!</v>
      </c>
      <c r="AG615" s="3"/>
      <c r="AH615" s="3"/>
      <c r="AI615" s="3"/>
      <c r="AJ615" s="3"/>
      <c r="AK615" s="3"/>
    </row>
    <row r="616" spans="1:37" ht="12.75" customHeight="1" x14ac:dyDescent="0.2">
      <c r="A616" s="14">
        <v>607</v>
      </c>
      <c r="B616" s="4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4"/>
      <c r="Y616" s="23"/>
      <c r="Z616" s="4" t="str">
        <f t="shared" si="12"/>
        <v/>
      </c>
      <c r="AA616" s="4" t="str">
        <f t="shared" si="13"/>
        <v/>
      </c>
      <c r="AB616" s="4" t="str">
        <f t="shared" si="14"/>
        <v/>
      </c>
      <c r="AC616" s="4">
        <v>0.43655902346952402</v>
      </c>
      <c r="AD616" s="4">
        <f t="shared" si="15"/>
        <v>-0.5736926953886039</v>
      </c>
      <c r="AE616" s="4" t="e">
        <f t="shared" si="16"/>
        <v>#VALUE!</v>
      </c>
      <c r="AF616" s="3" t="e">
        <f t="shared" si="17"/>
        <v>#VALUE!</v>
      </c>
      <c r="AG616" s="3"/>
      <c r="AH616" s="3"/>
      <c r="AI616" s="3"/>
      <c r="AJ616" s="3"/>
      <c r="AK616" s="3"/>
    </row>
    <row r="617" spans="1:37" ht="12.75" customHeight="1" x14ac:dyDescent="0.2">
      <c r="A617" s="14">
        <v>608</v>
      </c>
      <c r="B617" s="4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4"/>
      <c r="Y617" s="23"/>
      <c r="Z617" s="4" t="str">
        <f t="shared" si="12"/>
        <v/>
      </c>
      <c r="AA617" s="4" t="str">
        <f t="shared" si="13"/>
        <v/>
      </c>
      <c r="AB617" s="4" t="str">
        <f t="shared" si="14"/>
        <v/>
      </c>
      <c r="AC617" s="4">
        <v>0.43655902346952402</v>
      </c>
      <c r="AD617" s="4">
        <f t="shared" si="15"/>
        <v>-0.5736926953886039</v>
      </c>
      <c r="AE617" s="4" t="e">
        <f t="shared" si="16"/>
        <v>#VALUE!</v>
      </c>
      <c r="AF617" s="3" t="e">
        <f t="shared" si="17"/>
        <v>#VALUE!</v>
      </c>
      <c r="AG617" s="3"/>
      <c r="AH617" s="3"/>
      <c r="AI617" s="3"/>
      <c r="AJ617" s="3"/>
      <c r="AK617" s="3"/>
    </row>
    <row r="618" spans="1:37" ht="12.75" customHeight="1" x14ac:dyDescent="0.2">
      <c r="A618" s="14">
        <v>609</v>
      </c>
      <c r="B618" s="4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4"/>
      <c r="Y618" s="23"/>
      <c r="Z618" s="4" t="str">
        <f t="shared" si="12"/>
        <v/>
      </c>
      <c r="AA618" s="4" t="str">
        <f t="shared" si="13"/>
        <v/>
      </c>
      <c r="AB618" s="4" t="str">
        <f t="shared" si="14"/>
        <v/>
      </c>
      <c r="AC618" s="4">
        <v>0.43655902346952402</v>
      </c>
      <c r="AD618" s="4">
        <f t="shared" si="15"/>
        <v>-0.5736926953886039</v>
      </c>
      <c r="AE618" s="4" t="e">
        <f t="shared" si="16"/>
        <v>#VALUE!</v>
      </c>
      <c r="AF618" s="3" t="e">
        <f t="shared" si="17"/>
        <v>#VALUE!</v>
      </c>
      <c r="AG618" s="3"/>
      <c r="AH618" s="3"/>
      <c r="AI618" s="3"/>
      <c r="AJ618" s="3"/>
      <c r="AK618" s="3"/>
    </row>
    <row r="619" spans="1:37" ht="12.75" customHeight="1" x14ac:dyDescent="0.2">
      <c r="A619" s="14">
        <v>610</v>
      </c>
      <c r="B619" s="4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4"/>
      <c r="Y619" s="23"/>
      <c r="Z619" s="4" t="str">
        <f t="shared" si="12"/>
        <v/>
      </c>
      <c r="AA619" s="4" t="str">
        <f t="shared" si="13"/>
        <v/>
      </c>
      <c r="AB619" s="4" t="str">
        <f t="shared" si="14"/>
        <v/>
      </c>
      <c r="AC619" s="4">
        <v>0.43655902346952402</v>
      </c>
      <c r="AD619" s="4">
        <f t="shared" si="15"/>
        <v>-0.5736926953886039</v>
      </c>
      <c r="AE619" s="4" t="e">
        <f t="shared" si="16"/>
        <v>#VALUE!</v>
      </c>
      <c r="AF619" s="3" t="e">
        <f t="shared" si="17"/>
        <v>#VALUE!</v>
      </c>
      <c r="AG619" s="3"/>
      <c r="AH619" s="3"/>
      <c r="AI619" s="3"/>
      <c r="AJ619" s="3"/>
      <c r="AK619" s="3"/>
    </row>
    <row r="620" spans="1:37" ht="12.75" customHeight="1" x14ac:dyDescent="0.2">
      <c r="A620" s="14">
        <v>611</v>
      </c>
      <c r="B620" s="4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4"/>
      <c r="Y620" s="23"/>
      <c r="Z620" s="4" t="str">
        <f t="shared" si="12"/>
        <v/>
      </c>
      <c r="AA620" s="4" t="str">
        <f t="shared" si="13"/>
        <v/>
      </c>
      <c r="AB620" s="4" t="str">
        <f t="shared" si="14"/>
        <v/>
      </c>
      <c r="AC620" s="4">
        <v>0.43655902346952402</v>
      </c>
      <c r="AD620" s="4">
        <f t="shared" si="15"/>
        <v>-0.5736926953886039</v>
      </c>
      <c r="AE620" s="4" t="e">
        <f t="shared" si="16"/>
        <v>#VALUE!</v>
      </c>
      <c r="AF620" s="3" t="e">
        <f t="shared" si="17"/>
        <v>#VALUE!</v>
      </c>
      <c r="AG620" s="3"/>
      <c r="AH620" s="3"/>
      <c r="AI620" s="3"/>
      <c r="AJ620" s="3"/>
      <c r="AK620" s="3"/>
    </row>
    <row r="621" spans="1:37" ht="12.75" customHeight="1" x14ac:dyDescent="0.2">
      <c r="A621" s="14">
        <v>612</v>
      </c>
      <c r="B621" s="4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4"/>
      <c r="Y621" s="23"/>
      <c r="Z621" s="4" t="str">
        <f t="shared" si="12"/>
        <v/>
      </c>
      <c r="AA621" s="4" t="str">
        <f t="shared" si="13"/>
        <v/>
      </c>
      <c r="AB621" s="4" t="str">
        <f t="shared" si="14"/>
        <v/>
      </c>
      <c r="AC621" s="4">
        <v>0.43655902346952402</v>
      </c>
      <c r="AD621" s="4">
        <f t="shared" si="15"/>
        <v>-0.5736926953886039</v>
      </c>
      <c r="AE621" s="4" t="e">
        <f t="shared" si="16"/>
        <v>#VALUE!</v>
      </c>
      <c r="AF621" s="3" t="e">
        <f t="shared" si="17"/>
        <v>#VALUE!</v>
      </c>
      <c r="AG621" s="3"/>
      <c r="AH621" s="3"/>
      <c r="AI621" s="3"/>
      <c r="AJ621" s="3"/>
      <c r="AK621" s="3"/>
    </row>
    <row r="622" spans="1:37" ht="12.75" customHeight="1" x14ac:dyDescent="0.2">
      <c r="A622" s="14">
        <v>613</v>
      </c>
      <c r="B622" s="4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4"/>
      <c r="Y622" s="23"/>
      <c r="Z622" s="4" t="str">
        <f t="shared" si="12"/>
        <v/>
      </c>
      <c r="AA622" s="4" t="str">
        <f t="shared" si="13"/>
        <v/>
      </c>
      <c r="AB622" s="4" t="str">
        <f t="shared" si="14"/>
        <v/>
      </c>
      <c r="AC622" s="4">
        <v>0.43655902346952402</v>
      </c>
      <c r="AD622" s="4">
        <f t="shared" si="15"/>
        <v>-0.5736926953886039</v>
      </c>
      <c r="AE622" s="4" t="e">
        <f t="shared" si="16"/>
        <v>#VALUE!</v>
      </c>
      <c r="AF622" s="3" t="e">
        <f t="shared" si="17"/>
        <v>#VALUE!</v>
      </c>
      <c r="AG622" s="3"/>
      <c r="AH622" s="3"/>
      <c r="AI622" s="3"/>
      <c r="AJ622" s="3"/>
      <c r="AK622" s="3"/>
    </row>
    <row r="623" spans="1:37" ht="12.75" customHeight="1" x14ac:dyDescent="0.2">
      <c r="A623" s="14">
        <v>614</v>
      </c>
      <c r="B623" s="4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4"/>
      <c r="Y623" s="23"/>
      <c r="Z623" s="4" t="str">
        <f t="shared" si="12"/>
        <v/>
      </c>
      <c r="AA623" s="4" t="str">
        <f t="shared" si="13"/>
        <v/>
      </c>
      <c r="AB623" s="4" t="str">
        <f t="shared" si="14"/>
        <v/>
      </c>
      <c r="AC623" s="4">
        <v>0.43655902346952402</v>
      </c>
      <c r="AD623" s="4">
        <f t="shared" si="15"/>
        <v>-0.5736926953886039</v>
      </c>
      <c r="AE623" s="4" t="e">
        <f t="shared" si="16"/>
        <v>#VALUE!</v>
      </c>
      <c r="AF623" s="3" t="e">
        <f t="shared" si="17"/>
        <v>#VALUE!</v>
      </c>
      <c r="AG623" s="3"/>
      <c r="AH623" s="3"/>
      <c r="AI623" s="3"/>
      <c r="AJ623" s="3"/>
      <c r="AK623" s="3"/>
    </row>
    <row r="624" spans="1:37" ht="12.75" customHeight="1" x14ac:dyDescent="0.2">
      <c r="A624" s="14">
        <v>615</v>
      </c>
      <c r="B624" s="4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4"/>
      <c r="Y624" s="23"/>
      <c r="Z624" s="4" t="str">
        <f t="shared" si="12"/>
        <v/>
      </c>
      <c r="AA624" s="4" t="str">
        <f t="shared" si="13"/>
        <v/>
      </c>
      <c r="AB624" s="4" t="str">
        <f t="shared" si="14"/>
        <v/>
      </c>
      <c r="AC624" s="4">
        <v>0.43655902346952402</v>
      </c>
      <c r="AD624" s="4">
        <f t="shared" si="15"/>
        <v>-0.5736926953886039</v>
      </c>
      <c r="AE624" s="4" t="e">
        <f t="shared" si="16"/>
        <v>#VALUE!</v>
      </c>
      <c r="AF624" s="3" t="e">
        <f t="shared" si="17"/>
        <v>#VALUE!</v>
      </c>
      <c r="AG624" s="3"/>
      <c r="AH624" s="3"/>
      <c r="AI624" s="3"/>
      <c r="AJ624" s="3"/>
      <c r="AK624" s="3"/>
    </row>
    <row r="625" spans="1:37" ht="12.75" customHeight="1" x14ac:dyDescent="0.2">
      <c r="A625" s="14">
        <v>616</v>
      </c>
      <c r="B625" s="4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4"/>
      <c r="Y625" s="23"/>
      <c r="Z625" s="4" t="str">
        <f t="shared" si="12"/>
        <v/>
      </c>
      <c r="AA625" s="4" t="str">
        <f t="shared" si="13"/>
        <v/>
      </c>
      <c r="AB625" s="4" t="str">
        <f t="shared" si="14"/>
        <v/>
      </c>
      <c r="AC625" s="4">
        <v>0.43655902346952402</v>
      </c>
      <c r="AD625" s="4">
        <f t="shared" si="15"/>
        <v>-0.5736926953886039</v>
      </c>
      <c r="AE625" s="4" t="e">
        <f t="shared" si="16"/>
        <v>#VALUE!</v>
      </c>
      <c r="AF625" s="3" t="e">
        <f t="shared" si="17"/>
        <v>#VALUE!</v>
      </c>
      <c r="AG625" s="3"/>
      <c r="AH625" s="3"/>
      <c r="AI625" s="3"/>
      <c r="AJ625" s="3"/>
      <c r="AK625" s="3"/>
    </row>
    <row r="626" spans="1:37" ht="12.75" customHeight="1" x14ac:dyDescent="0.2">
      <c r="A626" s="14">
        <v>617</v>
      </c>
      <c r="B626" s="4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4"/>
      <c r="Y626" s="23"/>
      <c r="Z626" s="4" t="str">
        <f t="shared" si="12"/>
        <v/>
      </c>
      <c r="AA626" s="4" t="str">
        <f t="shared" si="13"/>
        <v/>
      </c>
      <c r="AB626" s="4" t="str">
        <f t="shared" si="14"/>
        <v/>
      </c>
      <c r="AC626" s="4">
        <v>0.43655902346952402</v>
      </c>
      <c r="AD626" s="4">
        <f t="shared" si="15"/>
        <v>-0.5736926953886039</v>
      </c>
      <c r="AE626" s="4" t="e">
        <f t="shared" si="16"/>
        <v>#VALUE!</v>
      </c>
      <c r="AF626" s="3" t="e">
        <f t="shared" si="17"/>
        <v>#VALUE!</v>
      </c>
      <c r="AG626" s="3"/>
      <c r="AH626" s="3"/>
      <c r="AI626" s="3"/>
      <c r="AJ626" s="3"/>
      <c r="AK626" s="3"/>
    </row>
    <row r="627" spans="1:37" ht="12.75" customHeight="1" x14ac:dyDescent="0.2">
      <c r="A627" s="14">
        <v>618</v>
      </c>
      <c r="B627" s="4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4"/>
      <c r="Y627" s="23"/>
      <c r="Z627" s="4" t="str">
        <f t="shared" si="12"/>
        <v/>
      </c>
      <c r="AA627" s="4" t="str">
        <f t="shared" si="13"/>
        <v/>
      </c>
      <c r="AB627" s="4" t="str">
        <f t="shared" si="14"/>
        <v/>
      </c>
      <c r="AC627" s="4">
        <v>0.43655902346952402</v>
      </c>
      <c r="AD627" s="4">
        <f t="shared" si="15"/>
        <v>-0.5736926953886039</v>
      </c>
      <c r="AE627" s="4" t="e">
        <f t="shared" si="16"/>
        <v>#VALUE!</v>
      </c>
      <c r="AF627" s="3" t="e">
        <f t="shared" si="17"/>
        <v>#VALUE!</v>
      </c>
      <c r="AG627" s="3"/>
      <c r="AH627" s="3"/>
      <c r="AI627" s="3"/>
      <c r="AJ627" s="3"/>
      <c r="AK627" s="3"/>
    </row>
    <row r="628" spans="1:37" ht="12.75" customHeight="1" x14ac:dyDescent="0.2">
      <c r="A628" s="14">
        <v>619</v>
      </c>
      <c r="B628" s="4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4"/>
      <c r="Y628" s="23"/>
      <c r="Z628" s="4" t="str">
        <f t="shared" si="12"/>
        <v/>
      </c>
      <c r="AA628" s="4" t="str">
        <f t="shared" si="13"/>
        <v/>
      </c>
      <c r="AB628" s="4" t="str">
        <f t="shared" si="14"/>
        <v/>
      </c>
      <c r="AC628" s="4">
        <v>0.43655902346952402</v>
      </c>
      <c r="AD628" s="4">
        <f t="shared" si="15"/>
        <v>-0.5736926953886039</v>
      </c>
      <c r="AE628" s="4" t="e">
        <f t="shared" si="16"/>
        <v>#VALUE!</v>
      </c>
      <c r="AF628" s="3" t="e">
        <f t="shared" si="17"/>
        <v>#VALUE!</v>
      </c>
      <c r="AG628" s="3"/>
      <c r="AH628" s="3"/>
      <c r="AI628" s="3"/>
      <c r="AJ628" s="3"/>
      <c r="AK628" s="3"/>
    </row>
    <row r="629" spans="1:37" ht="12.75" customHeight="1" x14ac:dyDescent="0.2">
      <c r="A629" s="14">
        <v>620</v>
      </c>
      <c r="B629" s="4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4"/>
      <c r="Y629" s="23"/>
      <c r="Z629" s="4" t="str">
        <f t="shared" si="12"/>
        <v/>
      </c>
      <c r="AA629" s="4" t="str">
        <f t="shared" si="13"/>
        <v/>
      </c>
      <c r="AB629" s="4" t="str">
        <f t="shared" si="14"/>
        <v/>
      </c>
      <c r="AC629" s="4">
        <v>0.43655902346952402</v>
      </c>
      <c r="AD629" s="4">
        <f t="shared" si="15"/>
        <v>-0.5736926953886039</v>
      </c>
      <c r="AE629" s="4" t="e">
        <f t="shared" si="16"/>
        <v>#VALUE!</v>
      </c>
      <c r="AF629" s="3" t="e">
        <f t="shared" si="17"/>
        <v>#VALUE!</v>
      </c>
      <c r="AG629" s="3"/>
      <c r="AH629" s="3"/>
      <c r="AI629" s="3"/>
      <c r="AJ629" s="3"/>
      <c r="AK629" s="3"/>
    </row>
    <row r="630" spans="1:37" ht="12.75" customHeight="1" x14ac:dyDescent="0.2">
      <c r="A630" s="14">
        <v>621</v>
      </c>
      <c r="B630" s="4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4"/>
      <c r="Y630" s="23"/>
      <c r="Z630" s="4" t="str">
        <f t="shared" si="12"/>
        <v/>
      </c>
      <c r="AA630" s="4" t="str">
        <f t="shared" si="13"/>
        <v/>
      </c>
      <c r="AB630" s="4" t="str">
        <f t="shared" si="14"/>
        <v/>
      </c>
      <c r="AC630" s="4">
        <v>0.43655902346952402</v>
      </c>
      <c r="AD630" s="4">
        <f t="shared" si="15"/>
        <v>-0.5736926953886039</v>
      </c>
      <c r="AE630" s="4" t="e">
        <f t="shared" si="16"/>
        <v>#VALUE!</v>
      </c>
      <c r="AF630" s="3" t="e">
        <f t="shared" si="17"/>
        <v>#VALUE!</v>
      </c>
      <c r="AG630" s="3"/>
      <c r="AH630" s="3"/>
      <c r="AI630" s="3"/>
      <c r="AJ630" s="3"/>
      <c r="AK630" s="3"/>
    </row>
    <row r="631" spans="1:37" ht="12.75" customHeight="1" x14ac:dyDescent="0.2">
      <c r="A631" s="14">
        <v>622</v>
      </c>
      <c r="B631" s="4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4"/>
      <c r="Y631" s="23"/>
      <c r="Z631" s="4" t="str">
        <f t="shared" si="12"/>
        <v/>
      </c>
      <c r="AA631" s="4" t="str">
        <f t="shared" si="13"/>
        <v/>
      </c>
      <c r="AB631" s="4" t="str">
        <f t="shared" si="14"/>
        <v/>
      </c>
      <c r="AC631" s="4">
        <v>0.43655902346952402</v>
      </c>
      <c r="AD631" s="4">
        <f t="shared" si="15"/>
        <v>-0.5736926953886039</v>
      </c>
      <c r="AE631" s="4" t="e">
        <f t="shared" si="16"/>
        <v>#VALUE!</v>
      </c>
      <c r="AF631" s="3" t="e">
        <f t="shared" si="17"/>
        <v>#VALUE!</v>
      </c>
      <c r="AG631" s="3"/>
      <c r="AH631" s="3"/>
      <c r="AI631" s="3"/>
      <c r="AJ631" s="3"/>
      <c r="AK631" s="3"/>
    </row>
    <row r="632" spans="1:37" ht="12.75" customHeight="1" x14ac:dyDescent="0.2">
      <c r="A632" s="14">
        <v>623</v>
      </c>
      <c r="B632" s="4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4"/>
      <c r="Y632" s="23"/>
      <c r="Z632" s="4" t="str">
        <f t="shared" si="12"/>
        <v/>
      </c>
      <c r="AA632" s="4" t="str">
        <f t="shared" si="13"/>
        <v/>
      </c>
      <c r="AB632" s="4" t="str">
        <f t="shared" si="14"/>
        <v/>
      </c>
      <c r="AC632" s="4">
        <v>0.43655902346952402</v>
      </c>
      <c r="AD632" s="4">
        <f t="shared" si="15"/>
        <v>-0.5736926953886039</v>
      </c>
      <c r="AE632" s="4" t="e">
        <f t="shared" si="16"/>
        <v>#VALUE!</v>
      </c>
      <c r="AF632" s="3" t="e">
        <f t="shared" si="17"/>
        <v>#VALUE!</v>
      </c>
      <c r="AG632" s="3"/>
      <c r="AH632" s="3"/>
      <c r="AI632" s="3"/>
      <c r="AJ632" s="3"/>
      <c r="AK632" s="3"/>
    </row>
    <row r="633" spans="1:37" ht="12.75" customHeight="1" x14ac:dyDescent="0.2">
      <c r="A633" s="14">
        <v>624</v>
      </c>
      <c r="B633" s="4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4"/>
      <c r="Y633" s="23"/>
      <c r="Z633" s="4" t="str">
        <f t="shared" si="12"/>
        <v/>
      </c>
      <c r="AA633" s="4" t="str">
        <f t="shared" si="13"/>
        <v/>
      </c>
      <c r="AB633" s="4" t="str">
        <f t="shared" si="14"/>
        <v/>
      </c>
      <c r="AC633" s="4">
        <v>0.43655902346952402</v>
      </c>
      <c r="AD633" s="4">
        <f t="shared" si="15"/>
        <v>-0.5736926953886039</v>
      </c>
      <c r="AE633" s="4" t="e">
        <f t="shared" si="16"/>
        <v>#VALUE!</v>
      </c>
      <c r="AF633" s="3" t="e">
        <f t="shared" si="17"/>
        <v>#VALUE!</v>
      </c>
      <c r="AG633" s="3"/>
      <c r="AH633" s="3"/>
      <c r="AI633" s="3"/>
      <c r="AJ633" s="3"/>
      <c r="AK633" s="3"/>
    </row>
    <row r="634" spans="1:37" ht="12.75" customHeight="1" x14ac:dyDescent="0.2">
      <c r="A634" s="14">
        <v>625</v>
      </c>
      <c r="B634" s="4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4"/>
      <c r="Y634" s="23"/>
      <c r="Z634" s="4" t="str">
        <f t="shared" si="12"/>
        <v/>
      </c>
      <c r="AA634" s="4" t="str">
        <f t="shared" si="13"/>
        <v/>
      </c>
      <c r="AB634" s="4" t="str">
        <f t="shared" si="14"/>
        <v/>
      </c>
      <c r="AC634" s="4">
        <v>0.43655902346952402</v>
      </c>
      <c r="AD634" s="4">
        <f t="shared" si="15"/>
        <v>-0.5736926953886039</v>
      </c>
      <c r="AE634" s="4" t="e">
        <f t="shared" si="16"/>
        <v>#VALUE!</v>
      </c>
      <c r="AF634" s="3" t="e">
        <f t="shared" si="17"/>
        <v>#VALUE!</v>
      </c>
      <c r="AG634" s="3"/>
      <c r="AH634" s="3"/>
      <c r="AI634" s="3"/>
      <c r="AJ634" s="3"/>
      <c r="AK634" s="3"/>
    </row>
    <row r="635" spans="1:37" ht="12.75" customHeight="1" x14ac:dyDescent="0.2">
      <c r="A635" s="14">
        <v>626</v>
      </c>
      <c r="B635" s="4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4"/>
      <c r="Y635" s="23"/>
      <c r="Z635" s="4" t="str">
        <f t="shared" si="12"/>
        <v/>
      </c>
      <c r="AA635" s="4" t="str">
        <f t="shared" si="13"/>
        <v/>
      </c>
      <c r="AB635" s="4" t="str">
        <f t="shared" si="14"/>
        <v/>
      </c>
      <c r="AC635" s="4">
        <v>0.43655902346952402</v>
      </c>
      <c r="AD635" s="4">
        <f t="shared" si="15"/>
        <v>-0.5736926953886039</v>
      </c>
      <c r="AE635" s="4" t="e">
        <f t="shared" si="16"/>
        <v>#VALUE!</v>
      </c>
      <c r="AF635" s="3" t="e">
        <f t="shared" si="17"/>
        <v>#VALUE!</v>
      </c>
      <c r="AG635" s="3"/>
      <c r="AH635" s="3"/>
      <c r="AI635" s="3"/>
      <c r="AJ635" s="3"/>
      <c r="AK635" s="3"/>
    </row>
    <row r="636" spans="1:37" ht="12.75" customHeight="1" x14ac:dyDescent="0.2">
      <c r="A636" s="14">
        <v>627</v>
      </c>
      <c r="B636" s="4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4"/>
      <c r="Y636" s="23"/>
      <c r="Z636" s="4" t="str">
        <f t="shared" si="12"/>
        <v/>
      </c>
      <c r="AA636" s="4" t="str">
        <f t="shared" si="13"/>
        <v/>
      </c>
      <c r="AB636" s="4" t="str">
        <f t="shared" si="14"/>
        <v/>
      </c>
      <c r="AC636" s="4">
        <v>0.43655902346952402</v>
      </c>
      <c r="AD636" s="4">
        <f t="shared" si="15"/>
        <v>-0.5736926953886039</v>
      </c>
      <c r="AE636" s="4" t="e">
        <f t="shared" si="16"/>
        <v>#VALUE!</v>
      </c>
      <c r="AF636" s="3" t="e">
        <f t="shared" si="17"/>
        <v>#VALUE!</v>
      </c>
      <c r="AG636" s="3"/>
      <c r="AH636" s="3"/>
      <c r="AI636" s="3"/>
      <c r="AJ636" s="3"/>
      <c r="AK636" s="3"/>
    </row>
    <row r="637" spans="1:37" ht="12.75" customHeight="1" x14ac:dyDescent="0.2">
      <c r="A637" s="14">
        <v>628</v>
      </c>
      <c r="B637" s="4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4"/>
      <c r="Y637" s="23"/>
      <c r="Z637" s="4" t="str">
        <f t="shared" si="12"/>
        <v/>
      </c>
      <c r="AA637" s="4" t="str">
        <f t="shared" si="13"/>
        <v/>
      </c>
      <c r="AB637" s="4" t="str">
        <f t="shared" si="14"/>
        <v/>
      </c>
      <c r="AC637" s="4">
        <v>0.43655902346952402</v>
      </c>
      <c r="AD637" s="4">
        <f t="shared" si="15"/>
        <v>-0.5736926953886039</v>
      </c>
      <c r="AE637" s="4" t="e">
        <f t="shared" si="16"/>
        <v>#VALUE!</v>
      </c>
      <c r="AF637" s="3" t="e">
        <f t="shared" si="17"/>
        <v>#VALUE!</v>
      </c>
      <c r="AG637" s="3"/>
      <c r="AH637" s="3"/>
      <c r="AI637" s="3"/>
      <c r="AJ637" s="3"/>
      <c r="AK637" s="3"/>
    </row>
    <row r="638" spans="1:37" ht="12.75" customHeight="1" x14ac:dyDescent="0.2">
      <c r="A638" s="14">
        <v>629</v>
      </c>
      <c r="B638" s="4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4"/>
      <c r="Y638" s="23"/>
      <c r="Z638" s="4" t="str">
        <f t="shared" si="12"/>
        <v/>
      </c>
      <c r="AA638" s="4" t="str">
        <f t="shared" si="13"/>
        <v/>
      </c>
      <c r="AB638" s="4" t="str">
        <f t="shared" si="14"/>
        <v/>
      </c>
      <c r="AC638" s="4">
        <v>0.43655902346952402</v>
      </c>
      <c r="AD638" s="4">
        <f t="shared" si="15"/>
        <v>-0.5736926953886039</v>
      </c>
      <c r="AE638" s="4" t="e">
        <f t="shared" si="16"/>
        <v>#VALUE!</v>
      </c>
      <c r="AF638" s="3" t="e">
        <f t="shared" si="17"/>
        <v>#VALUE!</v>
      </c>
      <c r="AG638" s="3"/>
      <c r="AH638" s="3"/>
      <c r="AI638" s="3"/>
      <c r="AJ638" s="3"/>
      <c r="AK638" s="3"/>
    </row>
    <row r="639" spans="1:37" ht="12.75" customHeight="1" x14ac:dyDescent="0.2">
      <c r="A639" s="14">
        <v>630</v>
      </c>
      <c r="B639" s="4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4"/>
      <c r="Y639" s="23"/>
      <c r="Z639" s="4" t="str">
        <f t="shared" si="12"/>
        <v/>
      </c>
      <c r="AA639" s="4" t="str">
        <f t="shared" si="13"/>
        <v/>
      </c>
      <c r="AB639" s="4" t="str">
        <f t="shared" si="14"/>
        <v/>
      </c>
      <c r="AC639" s="4">
        <v>0.43655902346952402</v>
      </c>
      <c r="AD639" s="4">
        <f t="shared" si="15"/>
        <v>-0.5736926953886039</v>
      </c>
      <c r="AE639" s="4" t="e">
        <f t="shared" si="16"/>
        <v>#VALUE!</v>
      </c>
      <c r="AF639" s="3" t="e">
        <f t="shared" si="17"/>
        <v>#VALUE!</v>
      </c>
      <c r="AG639" s="3"/>
      <c r="AH639" s="3"/>
      <c r="AI639" s="3"/>
      <c r="AJ639" s="3"/>
      <c r="AK639" s="3"/>
    </row>
    <row r="640" spans="1:37" ht="12.75" customHeight="1" x14ac:dyDescent="0.2">
      <c r="A640" s="14">
        <v>631</v>
      </c>
      <c r="B640" s="4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4"/>
      <c r="Y640" s="23"/>
      <c r="Z640" s="4" t="str">
        <f t="shared" si="12"/>
        <v/>
      </c>
      <c r="AA640" s="4" t="str">
        <f t="shared" si="13"/>
        <v/>
      </c>
      <c r="AB640" s="4" t="str">
        <f t="shared" si="14"/>
        <v/>
      </c>
      <c r="AC640" s="4">
        <v>0.43655902346952402</v>
      </c>
      <c r="AD640" s="4">
        <f t="shared" si="15"/>
        <v>-0.5736926953886039</v>
      </c>
      <c r="AE640" s="4" t="e">
        <f t="shared" si="16"/>
        <v>#VALUE!</v>
      </c>
      <c r="AF640" s="3" t="e">
        <f t="shared" si="17"/>
        <v>#VALUE!</v>
      </c>
      <c r="AG640" s="3"/>
      <c r="AH640" s="3"/>
      <c r="AI640" s="3"/>
      <c r="AJ640" s="3"/>
      <c r="AK640" s="3"/>
    </row>
    <row r="641" spans="1:37" ht="12.75" customHeight="1" x14ac:dyDescent="0.2">
      <c r="A641" s="14">
        <v>632</v>
      </c>
      <c r="B641" s="4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4"/>
      <c r="Y641" s="23"/>
      <c r="Z641" s="4" t="str">
        <f t="shared" si="12"/>
        <v/>
      </c>
      <c r="AA641" s="4" t="str">
        <f t="shared" si="13"/>
        <v/>
      </c>
      <c r="AB641" s="4" t="str">
        <f t="shared" si="14"/>
        <v/>
      </c>
      <c r="AC641" s="4">
        <v>0.43655902346952402</v>
      </c>
      <c r="AD641" s="4">
        <f t="shared" si="15"/>
        <v>-0.5736926953886039</v>
      </c>
      <c r="AE641" s="4" t="e">
        <f t="shared" si="16"/>
        <v>#VALUE!</v>
      </c>
      <c r="AF641" s="3" t="e">
        <f t="shared" si="17"/>
        <v>#VALUE!</v>
      </c>
      <c r="AG641" s="3"/>
      <c r="AH641" s="3"/>
      <c r="AI641" s="3"/>
      <c r="AJ641" s="3"/>
      <c r="AK641" s="3"/>
    </row>
    <row r="642" spans="1:37" ht="12.75" customHeight="1" x14ac:dyDescent="0.2">
      <c r="A642" s="14">
        <v>633</v>
      </c>
      <c r="B642" s="4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4"/>
      <c r="Y642" s="23"/>
      <c r="Z642" s="4" t="str">
        <f t="shared" si="12"/>
        <v/>
      </c>
      <c r="AA642" s="4" t="str">
        <f t="shared" si="13"/>
        <v/>
      </c>
      <c r="AB642" s="4" t="str">
        <f t="shared" si="14"/>
        <v/>
      </c>
      <c r="AC642" s="4">
        <v>0.43655902346952402</v>
      </c>
      <c r="AD642" s="4">
        <f t="shared" si="15"/>
        <v>-0.5736926953886039</v>
      </c>
      <c r="AE642" s="4" t="e">
        <f t="shared" si="16"/>
        <v>#VALUE!</v>
      </c>
      <c r="AF642" s="3" t="e">
        <f t="shared" si="17"/>
        <v>#VALUE!</v>
      </c>
      <c r="AG642" s="3"/>
      <c r="AH642" s="3"/>
      <c r="AI642" s="3"/>
      <c r="AJ642" s="3"/>
      <c r="AK642" s="3"/>
    </row>
    <row r="643" spans="1:37" ht="12.75" customHeight="1" x14ac:dyDescent="0.2">
      <c r="A643" s="14">
        <v>634</v>
      </c>
      <c r="B643" s="4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4"/>
      <c r="Y643" s="23"/>
      <c r="Z643" s="4" t="str">
        <f t="shared" si="12"/>
        <v/>
      </c>
      <c r="AA643" s="4" t="str">
        <f t="shared" si="13"/>
        <v/>
      </c>
      <c r="AB643" s="4" t="str">
        <f t="shared" si="14"/>
        <v/>
      </c>
      <c r="AC643" s="4">
        <v>0.43655902346952402</v>
      </c>
      <c r="AD643" s="4">
        <f t="shared" si="15"/>
        <v>-0.5736926953886039</v>
      </c>
      <c r="AE643" s="4" t="e">
        <f t="shared" si="16"/>
        <v>#VALUE!</v>
      </c>
      <c r="AF643" s="3" t="e">
        <f t="shared" si="17"/>
        <v>#VALUE!</v>
      </c>
      <c r="AG643" s="3"/>
      <c r="AH643" s="3"/>
      <c r="AI643" s="3"/>
      <c r="AJ643" s="3"/>
      <c r="AK643" s="3"/>
    </row>
    <row r="644" spans="1:37" ht="12.75" customHeight="1" x14ac:dyDescent="0.2">
      <c r="A644" s="14">
        <v>635</v>
      </c>
      <c r="B644" s="4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4"/>
      <c r="Y644" s="23"/>
      <c r="Z644" s="4" t="str">
        <f t="shared" si="12"/>
        <v/>
      </c>
      <c r="AA644" s="4" t="str">
        <f t="shared" si="13"/>
        <v/>
      </c>
      <c r="AB644" s="4" t="str">
        <f t="shared" si="14"/>
        <v/>
      </c>
      <c r="AC644" s="4">
        <v>0.43655902346952402</v>
      </c>
      <c r="AD644" s="4">
        <f t="shared" si="15"/>
        <v>-0.5736926953886039</v>
      </c>
      <c r="AE644" s="4" t="e">
        <f t="shared" si="16"/>
        <v>#VALUE!</v>
      </c>
      <c r="AF644" s="3" t="e">
        <f t="shared" si="17"/>
        <v>#VALUE!</v>
      </c>
      <c r="AG644" s="3"/>
      <c r="AH644" s="3"/>
      <c r="AI644" s="3"/>
      <c r="AJ644" s="3"/>
      <c r="AK644" s="3"/>
    </row>
    <row r="645" spans="1:37" ht="12.75" customHeight="1" x14ac:dyDescent="0.2">
      <c r="A645" s="14">
        <v>636</v>
      </c>
      <c r="B645" s="4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4"/>
      <c r="Y645" s="23"/>
      <c r="Z645" s="4" t="str">
        <f t="shared" si="12"/>
        <v/>
      </c>
      <c r="AA645" s="4" t="str">
        <f t="shared" si="13"/>
        <v/>
      </c>
      <c r="AB645" s="4" t="str">
        <f t="shared" si="14"/>
        <v/>
      </c>
      <c r="AC645" s="4">
        <v>0.43655902346952402</v>
      </c>
      <c r="AD645" s="4">
        <f t="shared" si="15"/>
        <v>-0.5736926953886039</v>
      </c>
      <c r="AE645" s="4" t="e">
        <f t="shared" si="16"/>
        <v>#VALUE!</v>
      </c>
      <c r="AF645" s="3" t="e">
        <f t="shared" si="17"/>
        <v>#VALUE!</v>
      </c>
      <c r="AG645" s="3"/>
      <c r="AH645" s="3"/>
      <c r="AI645" s="3"/>
      <c r="AJ645" s="3"/>
      <c r="AK645" s="3"/>
    </row>
    <row r="646" spans="1:37" ht="12.75" customHeight="1" x14ac:dyDescent="0.2">
      <c r="A646" s="14">
        <v>637</v>
      </c>
      <c r="B646" s="4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4"/>
      <c r="Y646" s="23"/>
      <c r="Z646" s="4" t="str">
        <f t="shared" si="12"/>
        <v/>
      </c>
      <c r="AA646" s="4" t="str">
        <f t="shared" si="13"/>
        <v/>
      </c>
      <c r="AB646" s="4" t="str">
        <f t="shared" si="14"/>
        <v/>
      </c>
      <c r="AC646" s="4">
        <v>0.43655902346952402</v>
      </c>
      <c r="AD646" s="4">
        <f t="shared" si="15"/>
        <v>-0.5736926953886039</v>
      </c>
      <c r="AE646" s="4" t="e">
        <f t="shared" si="16"/>
        <v>#VALUE!</v>
      </c>
      <c r="AF646" s="3" t="e">
        <f t="shared" si="17"/>
        <v>#VALUE!</v>
      </c>
      <c r="AG646" s="3"/>
      <c r="AH646" s="3"/>
      <c r="AI646" s="3"/>
      <c r="AJ646" s="3"/>
      <c r="AK646" s="3"/>
    </row>
    <row r="647" spans="1:37" ht="12.75" customHeight="1" x14ac:dyDescent="0.2">
      <c r="A647" s="14">
        <v>638</v>
      </c>
      <c r="B647" s="4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4"/>
      <c r="Y647" s="23"/>
      <c r="Z647" s="4" t="str">
        <f t="shared" si="12"/>
        <v/>
      </c>
      <c r="AA647" s="4" t="str">
        <f t="shared" si="13"/>
        <v/>
      </c>
      <c r="AB647" s="4" t="str">
        <f t="shared" si="14"/>
        <v/>
      </c>
      <c r="AC647" s="4">
        <v>0.43655902346952402</v>
      </c>
      <c r="AD647" s="4">
        <f t="shared" si="15"/>
        <v>-0.5736926953886039</v>
      </c>
      <c r="AE647" s="4" t="e">
        <f t="shared" si="16"/>
        <v>#VALUE!</v>
      </c>
      <c r="AF647" s="3" t="e">
        <f t="shared" si="17"/>
        <v>#VALUE!</v>
      </c>
      <c r="AG647" s="3"/>
      <c r="AH647" s="3"/>
      <c r="AI647" s="3"/>
      <c r="AJ647" s="3"/>
      <c r="AK647" s="3"/>
    </row>
    <row r="648" spans="1:37" ht="12.75" customHeight="1" x14ac:dyDescent="0.2">
      <c r="A648" s="14">
        <v>639</v>
      </c>
      <c r="B648" s="4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4"/>
      <c r="Y648" s="23"/>
      <c r="Z648" s="4" t="str">
        <f t="shared" si="12"/>
        <v/>
      </c>
      <c r="AA648" s="4" t="str">
        <f t="shared" si="13"/>
        <v/>
      </c>
      <c r="AB648" s="4" t="str">
        <f t="shared" si="14"/>
        <v/>
      </c>
      <c r="AC648" s="4">
        <v>0.43655902346952402</v>
      </c>
      <c r="AD648" s="4">
        <f t="shared" si="15"/>
        <v>-0.5736926953886039</v>
      </c>
      <c r="AE648" s="4" t="e">
        <f t="shared" si="16"/>
        <v>#VALUE!</v>
      </c>
      <c r="AF648" s="3" t="e">
        <f t="shared" si="17"/>
        <v>#VALUE!</v>
      </c>
      <c r="AG648" s="3"/>
      <c r="AH648" s="3"/>
      <c r="AI648" s="3"/>
      <c r="AJ648" s="3"/>
      <c r="AK648" s="3"/>
    </row>
    <row r="649" spans="1:37" ht="12.75" customHeight="1" x14ac:dyDescent="0.2">
      <c r="A649" s="14">
        <v>640</v>
      </c>
      <c r="B649" s="4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4"/>
      <c r="Y649" s="23"/>
      <c r="Z649" s="4" t="str">
        <f t="shared" si="12"/>
        <v/>
      </c>
      <c r="AA649" s="4" t="str">
        <f t="shared" si="13"/>
        <v/>
      </c>
      <c r="AB649" s="4" t="str">
        <f t="shared" si="14"/>
        <v/>
      </c>
      <c r="AC649" s="4">
        <v>0.43655902346952402</v>
      </c>
      <c r="AD649" s="4">
        <f t="shared" si="15"/>
        <v>-0.5736926953886039</v>
      </c>
      <c r="AE649" s="4" t="e">
        <f t="shared" si="16"/>
        <v>#VALUE!</v>
      </c>
      <c r="AF649" s="3" t="e">
        <f t="shared" si="17"/>
        <v>#VALUE!</v>
      </c>
      <c r="AG649" s="3"/>
      <c r="AH649" s="3"/>
      <c r="AI649" s="3"/>
      <c r="AJ649" s="3"/>
      <c r="AK649" s="3"/>
    </row>
    <row r="650" spans="1:37" ht="12.75" customHeight="1" x14ac:dyDescent="0.2">
      <c r="A650" s="14">
        <v>641</v>
      </c>
      <c r="B650" s="4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4"/>
      <c r="Y650" s="23"/>
      <c r="Z650" s="4" t="str">
        <f t="shared" si="12"/>
        <v/>
      </c>
      <c r="AA650" s="4" t="str">
        <f t="shared" si="13"/>
        <v/>
      </c>
      <c r="AB650" s="4" t="str">
        <f t="shared" si="14"/>
        <v/>
      </c>
      <c r="AC650" s="4">
        <v>0.43655902346952402</v>
      </c>
      <c r="AD650" s="4">
        <f t="shared" si="15"/>
        <v>-0.5736926953886039</v>
      </c>
      <c r="AE650" s="4" t="e">
        <f t="shared" si="16"/>
        <v>#VALUE!</v>
      </c>
      <c r="AF650" s="3" t="e">
        <f t="shared" si="17"/>
        <v>#VALUE!</v>
      </c>
      <c r="AG650" s="3"/>
      <c r="AH650" s="3"/>
      <c r="AI650" s="3"/>
      <c r="AJ650" s="3"/>
      <c r="AK650" s="3"/>
    </row>
    <row r="651" spans="1:37" ht="12.75" customHeight="1" x14ac:dyDescent="0.2">
      <c r="A651" s="14">
        <v>642</v>
      </c>
      <c r="B651" s="4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4"/>
      <c r="Y651" s="23"/>
      <c r="Z651" s="4" t="str">
        <f t="shared" si="12"/>
        <v/>
      </c>
      <c r="AA651" s="4" t="str">
        <f t="shared" si="13"/>
        <v/>
      </c>
      <c r="AB651" s="4" t="str">
        <f t="shared" si="14"/>
        <v/>
      </c>
      <c r="AC651" s="4">
        <v>0.43655902346952402</v>
      </c>
      <c r="AD651" s="4">
        <f t="shared" si="15"/>
        <v>-0.5736926953886039</v>
      </c>
      <c r="AE651" s="4" t="e">
        <f t="shared" si="16"/>
        <v>#VALUE!</v>
      </c>
      <c r="AF651" s="3" t="e">
        <f t="shared" si="17"/>
        <v>#VALUE!</v>
      </c>
      <c r="AG651" s="3"/>
      <c r="AH651" s="3"/>
      <c r="AI651" s="3"/>
      <c r="AJ651" s="3"/>
      <c r="AK651" s="3"/>
    </row>
    <row r="652" spans="1:37" ht="12.75" customHeight="1" x14ac:dyDescent="0.2">
      <c r="A652" s="14">
        <v>643</v>
      </c>
      <c r="B652" s="4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4"/>
      <c r="Y652" s="23"/>
      <c r="Z652" s="4" t="str">
        <f t="shared" si="12"/>
        <v/>
      </c>
      <c r="AA652" s="4" t="str">
        <f t="shared" si="13"/>
        <v/>
      </c>
      <c r="AB652" s="4" t="str">
        <f t="shared" si="14"/>
        <v/>
      </c>
      <c r="AC652" s="4">
        <v>0.43655902346952402</v>
      </c>
      <c r="AD652" s="4">
        <f t="shared" si="15"/>
        <v>-0.5736926953886039</v>
      </c>
      <c r="AE652" s="4" t="e">
        <f t="shared" si="16"/>
        <v>#VALUE!</v>
      </c>
      <c r="AF652" s="3" t="e">
        <f t="shared" si="17"/>
        <v>#VALUE!</v>
      </c>
      <c r="AG652" s="3"/>
      <c r="AH652" s="3"/>
      <c r="AI652" s="3"/>
      <c r="AJ652" s="3"/>
      <c r="AK652" s="3"/>
    </row>
    <row r="653" spans="1:37" ht="12.75" customHeight="1" x14ac:dyDescent="0.2">
      <c r="A653" s="14">
        <v>644</v>
      </c>
      <c r="B653" s="4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4"/>
      <c r="Y653" s="23"/>
      <c r="Z653" s="4" t="str">
        <f t="shared" si="12"/>
        <v/>
      </c>
      <c r="AA653" s="4" t="str">
        <f t="shared" si="13"/>
        <v/>
      </c>
      <c r="AB653" s="4" t="str">
        <f t="shared" si="14"/>
        <v/>
      </c>
      <c r="AC653" s="4">
        <v>0.43655902346952402</v>
      </c>
      <c r="AD653" s="4">
        <f t="shared" si="15"/>
        <v>-0.5736926953886039</v>
      </c>
      <c r="AE653" s="4" t="e">
        <f t="shared" si="16"/>
        <v>#VALUE!</v>
      </c>
      <c r="AF653" s="3" t="e">
        <f t="shared" si="17"/>
        <v>#VALUE!</v>
      </c>
      <c r="AG653" s="3"/>
      <c r="AH653" s="3"/>
      <c r="AI653" s="3"/>
      <c r="AJ653" s="3"/>
      <c r="AK653" s="3"/>
    </row>
    <row r="654" spans="1:37" ht="12.75" customHeight="1" x14ac:dyDescent="0.2">
      <c r="A654" s="14">
        <v>645</v>
      </c>
      <c r="B654" s="4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4"/>
      <c r="Y654" s="23"/>
      <c r="Z654" s="4" t="str">
        <f t="shared" si="12"/>
        <v/>
      </c>
      <c r="AA654" s="4" t="str">
        <f t="shared" si="13"/>
        <v/>
      </c>
      <c r="AB654" s="4" t="str">
        <f t="shared" si="14"/>
        <v/>
      </c>
      <c r="AC654" s="4">
        <v>0.43655902346952402</v>
      </c>
      <c r="AD654" s="4">
        <f t="shared" si="15"/>
        <v>-0.5736926953886039</v>
      </c>
      <c r="AE654" s="4" t="e">
        <f t="shared" si="16"/>
        <v>#VALUE!</v>
      </c>
      <c r="AF654" s="3" t="e">
        <f t="shared" si="17"/>
        <v>#VALUE!</v>
      </c>
      <c r="AG654" s="3"/>
      <c r="AH654" s="3"/>
      <c r="AI654" s="3"/>
      <c r="AJ654" s="3"/>
      <c r="AK654" s="3"/>
    </row>
    <row r="655" spans="1:37" ht="12.75" customHeight="1" x14ac:dyDescent="0.2">
      <c r="A655" s="14">
        <v>646</v>
      </c>
      <c r="B655" s="4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4"/>
      <c r="Y655" s="23"/>
      <c r="Z655" s="4" t="str">
        <f t="shared" si="12"/>
        <v/>
      </c>
      <c r="AA655" s="4" t="str">
        <f t="shared" si="13"/>
        <v/>
      </c>
      <c r="AB655" s="4" t="str">
        <f t="shared" si="14"/>
        <v/>
      </c>
      <c r="AC655" s="4">
        <v>0.43655902346952402</v>
      </c>
      <c r="AD655" s="4">
        <f t="shared" si="15"/>
        <v>-0.5736926953886039</v>
      </c>
      <c r="AE655" s="4" t="e">
        <f t="shared" si="16"/>
        <v>#VALUE!</v>
      </c>
      <c r="AF655" s="3" t="e">
        <f t="shared" si="17"/>
        <v>#VALUE!</v>
      </c>
      <c r="AG655" s="3"/>
      <c r="AH655" s="3"/>
      <c r="AI655" s="3"/>
      <c r="AJ655" s="3"/>
      <c r="AK655" s="3"/>
    </row>
    <row r="656" spans="1:37" ht="12.75" customHeight="1" x14ac:dyDescent="0.2">
      <c r="A656" s="14">
        <v>647</v>
      </c>
      <c r="B656" s="4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4"/>
      <c r="Y656" s="23"/>
      <c r="Z656" s="4" t="str">
        <f t="shared" si="12"/>
        <v/>
      </c>
      <c r="AA656" s="4" t="str">
        <f t="shared" si="13"/>
        <v/>
      </c>
      <c r="AB656" s="4" t="str">
        <f t="shared" si="14"/>
        <v/>
      </c>
      <c r="AC656" s="4">
        <v>0.43655902346952402</v>
      </c>
      <c r="AD656" s="4">
        <f t="shared" si="15"/>
        <v>-0.5736926953886039</v>
      </c>
      <c r="AE656" s="4" t="e">
        <f t="shared" si="16"/>
        <v>#VALUE!</v>
      </c>
      <c r="AF656" s="3" t="e">
        <f t="shared" si="17"/>
        <v>#VALUE!</v>
      </c>
      <c r="AG656" s="3"/>
      <c r="AH656" s="3"/>
      <c r="AI656" s="3"/>
      <c r="AJ656" s="3"/>
      <c r="AK656" s="3"/>
    </row>
    <row r="657" spans="1:37" ht="12.75" customHeight="1" x14ac:dyDescent="0.2">
      <c r="A657" s="14">
        <v>648</v>
      </c>
      <c r="B657" s="4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4"/>
      <c r="Y657" s="23"/>
      <c r="Z657" s="4" t="str">
        <f t="shared" si="12"/>
        <v/>
      </c>
      <c r="AA657" s="4" t="str">
        <f t="shared" si="13"/>
        <v/>
      </c>
      <c r="AB657" s="4" t="str">
        <f t="shared" si="14"/>
        <v/>
      </c>
      <c r="AC657" s="4">
        <v>0.43655902346952402</v>
      </c>
      <c r="AD657" s="4">
        <f t="shared" si="15"/>
        <v>-0.5736926953886039</v>
      </c>
      <c r="AE657" s="4" t="e">
        <f t="shared" si="16"/>
        <v>#VALUE!</v>
      </c>
      <c r="AF657" s="3" t="e">
        <f t="shared" si="17"/>
        <v>#VALUE!</v>
      </c>
      <c r="AG657" s="3"/>
      <c r="AH657" s="3"/>
      <c r="AI657" s="3"/>
      <c r="AJ657" s="3"/>
      <c r="AK657" s="3"/>
    </row>
    <row r="658" spans="1:37" ht="12.75" customHeight="1" x14ac:dyDescent="0.2">
      <c r="A658" s="14">
        <v>649</v>
      </c>
      <c r="B658" s="4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4"/>
      <c r="Y658" s="23"/>
      <c r="Z658" s="4" t="str">
        <f t="shared" si="12"/>
        <v/>
      </c>
      <c r="AA658" s="4" t="str">
        <f t="shared" si="13"/>
        <v/>
      </c>
      <c r="AB658" s="4" t="str">
        <f t="shared" si="14"/>
        <v/>
      </c>
      <c r="AC658" s="4">
        <v>0.43655902346952402</v>
      </c>
      <c r="AD658" s="4">
        <f t="shared" si="15"/>
        <v>-0.5736926953886039</v>
      </c>
      <c r="AE658" s="4" t="e">
        <f t="shared" si="16"/>
        <v>#VALUE!</v>
      </c>
      <c r="AF658" s="3" t="e">
        <f t="shared" si="17"/>
        <v>#VALUE!</v>
      </c>
      <c r="AG658" s="3"/>
      <c r="AH658" s="3"/>
      <c r="AI658" s="3"/>
      <c r="AJ658" s="3"/>
      <c r="AK658" s="3"/>
    </row>
    <row r="659" spans="1:37" ht="12.75" customHeight="1" x14ac:dyDescent="0.2">
      <c r="A659" s="14">
        <v>650</v>
      </c>
      <c r="B659" s="4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4"/>
      <c r="Y659" s="23"/>
      <c r="Z659" s="4" t="str">
        <f t="shared" si="12"/>
        <v/>
      </c>
      <c r="AA659" s="4" t="str">
        <f t="shared" si="13"/>
        <v/>
      </c>
      <c r="AB659" s="4" t="str">
        <f t="shared" si="14"/>
        <v/>
      </c>
      <c r="AC659" s="4">
        <v>0.43655902346952402</v>
      </c>
      <c r="AD659" s="4">
        <f t="shared" si="15"/>
        <v>-0.5736926953886039</v>
      </c>
      <c r="AE659" s="4" t="e">
        <f t="shared" si="16"/>
        <v>#VALUE!</v>
      </c>
      <c r="AF659" s="3" t="e">
        <f t="shared" si="17"/>
        <v>#VALUE!</v>
      </c>
      <c r="AG659" s="3"/>
      <c r="AH659" s="3"/>
      <c r="AI659" s="3"/>
      <c r="AJ659" s="3"/>
      <c r="AK659" s="3"/>
    </row>
    <row r="660" spans="1:37" ht="12.75" customHeight="1" x14ac:dyDescent="0.2">
      <c r="A660" s="14">
        <v>651</v>
      </c>
      <c r="B660" s="4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4"/>
      <c r="Y660" s="23"/>
      <c r="Z660" s="4" t="str">
        <f t="shared" si="12"/>
        <v/>
      </c>
      <c r="AA660" s="4" t="str">
        <f t="shared" si="13"/>
        <v/>
      </c>
      <c r="AB660" s="4" t="str">
        <f t="shared" si="14"/>
        <v/>
      </c>
      <c r="AC660" s="4">
        <v>0.43655902346952402</v>
      </c>
      <c r="AD660" s="4">
        <f t="shared" si="15"/>
        <v>-0.5736926953886039</v>
      </c>
      <c r="AE660" s="4" t="e">
        <f t="shared" si="16"/>
        <v>#VALUE!</v>
      </c>
      <c r="AF660" s="3" t="e">
        <f t="shared" si="17"/>
        <v>#VALUE!</v>
      </c>
      <c r="AG660" s="3"/>
      <c r="AH660" s="3"/>
      <c r="AI660" s="3"/>
      <c r="AJ660" s="3"/>
      <c r="AK660" s="3"/>
    </row>
    <row r="661" spans="1:37" ht="12.75" customHeight="1" x14ac:dyDescent="0.2">
      <c r="A661" s="14">
        <v>652</v>
      </c>
      <c r="B661" s="4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4"/>
      <c r="Y661" s="23"/>
      <c r="Z661" s="4" t="str">
        <f t="shared" si="12"/>
        <v/>
      </c>
      <c r="AA661" s="4" t="str">
        <f t="shared" si="13"/>
        <v/>
      </c>
      <c r="AB661" s="4" t="str">
        <f t="shared" si="14"/>
        <v/>
      </c>
      <c r="AC661" s="4">
        <v>0.43655902346952402</v>
      </c>
      <c r="AD661" s="4">
        <f t="shared" si="15"/>
        <v>-0.5736926953886039</v>
      </c>
      <c r="AE661" s="4" t="e">
        <f t="shared" si="16"/>
        <v>#VALUE!</v>
      </c>
      <c r="AF661" s="3" t="e">
        <f t="shared" si="17"/>
        <v>#VALUE!</v>
      </c>
      <c r="AG661" s="3"/>
      <c r="AH661" s="3"/>
      <c r="AI661" s="3"/>
      <c r="AJ661" s="3"/>
      <c r="AK661" s="3"/>
    </row>
    <row r="662" spans="1:37" ht="12.75" customHeight="1" x14ac:dyDescent="0.2">
      <c r="A662" s="14">
        <v>653</v>
      </c>
      <c r="B662" s="4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4"/>
      <c r="Y662" s="23"/>
      <c r="Z662" s="4" t="str">
        <f t="shared" si="12"/>
        <v/>
      </c>
      <c r="AA662" s="4" t="str">
        <f t="shared" si="13"/>
        <v/>
      </c>
      <c r="AB662" s="4" t="str">
        <f t="shared" si="14"/>
        <v/>
      </c>
      <c r="AC662" s="4">
        <v>0.43655902346952402</v>
      </c>
      <c r="AD662" s="4">
        <f t="shared" si="15"/>
        <v>-0.5736926953886039</v>
      </c>
      <c r="AE662" s="4" t="e">
        <f t="shared" si="16"/>
        <v>#VALUE!</v>
      </c>
      <c r="AF662" s="3" t="e">
        <f t="shared" si="17"/>
        <v>#VALUE!</v>
      </c>
      <c r="AG662" s="3"/>
      <c r="AH662" s="3"/>
      <c r="AI662" s="3"/>
      <c r="AJ662" s="3"/>
      <c r="AK662" s="3"/>
    </row>
    <row r="663" spans="1:37" ht="12.75" customHeight="1" x14ac:dyDescent="0.2">
      <c r="A663" s="14">
        <v>654</v>
      </c>
      <c r="B663" s="4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4"/>
      <c r="Y663" s="23"/>
      <c r="Z663" s="4" t="str">
        <f t="shared" si="12"/>
        <v/>
      </c>
      <c r="AA663" s="4" t="str">
        <f t="shared" si="13"/>
        <v/>
      </c>
      <c r="AB663" s="4" t="str">
        <f t="shared" si="14"/>
        <v/>
      </c>
      <c r="AC663" s="4">
        <v>0.43655902346952402</v>
      </c>
      <c r="AD663" s="4">
        <f t="shared" si="15"/>
        <v>-0.5736926953886039</v>
      </c>
      <c r="AE663" s="4" t="e">
        <f t="shared" si="16"/>
        <v>#VALUE!</v>
      </c>
      <c r="AF663" s="3" t="e">
        <f t="shared" si="17"/>
        <v>#VALUE!</v>
      </c>
      <c r="AG663" s="3"/>
      <c r="AH663" s="3"/>
      <c r="AI663" s="3"/>
      <c r="AJ663" s="3"/>
      <c r="AK663" s="3"/>
    </row>
    <row r="664" spans="1:37" ht="12.75" customHeight="1" x14ac:dyDescent="0.2">
      <c r="A664" s="14">
        <v>655</v>
      </c>
      <c r="B664" s="4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4"/>
      <c r="Y664" s="23"/>
      <c r="Z664" s="4" t="str">
        <f t="shared" si="12"/>
        <v/>
      </c>
      <c r="AA664" s="4" t="str">
        <f t="shared" si="13"/>
        <v/>
      </c>
      <c r="AB664" s="4" t="str">
        <f t="shared" si="14"/>
        <v/>
      </c>
      <c r="AC664" s="4">
        <v>0.43655902346952402</v>
      </c>
      <c r="AD664" s="4">
        <f t="shared" si="15"/>
        <v>-0.5736926953886039</v>
      </c>
      <c r="AE664" s="4" t="e">
        <f t="shared" si="16"/>
        <v>#VALUE!</v>
      </c>
      <c r="AF664" s="3" t="e">
        <f t="shared" si="17"/>
        <v>#VALUE!</v>
      </c>
      <c r="AG664" s="3"/>
      <c r="AH664" s="3"/>
      <c r="AI664" s="3"/>
      <c r="AJ664" s="3"/>
      <c r="AK664" s="3"/>
    </row>
    <row r="665" spans="1:37" ht="12.75" customHeight="1" x14ac:dyDescent="0.2">
      <c r="A665" s="14">
        <v>656</v>
      </c>
      <c r="B665" s="4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4"/>
      <c r="Y665" s="23"/>
      <c r="Z665" s="4" t="str">
        <f t="shared" si="12"/>
        <v/>
      </c>
      <c r="AA665" s="4" t="str">
        <f t="shared" si="13"/>
        <v/>
      </c>
      <c r="AB665" s="4" t="str">
        <f t="shared" si="14"/>
        <v/>
      </c>
      <c r="AC665" s="4">
        <v>0.43655902346952402</v>
      </c>
      <c r="AD665" s="4">
        <f t="shared" si="15"/>
        <v>-0.5736926953886039</v>
      </c>
      <c r="AE665" s="4" t="e">
        <f t="shared" si="16"/>
        <v>#VALUE!</v>
      </c>
      <c r="AF665" s="3" t="e">
        <f t="shared" si="17"/>
        <v>#VALUE!</v>
      </c>
      <c r="AG665" s="3"/>
      <c r="AH665" s="3"/>
      <c r="AI665" s="3"/>
      <c r="AJ665" s="3"/>
      <c r="AK665" s="3"/>
    </row>
    <row r="666" spans="1:37" ht="12.75" customHeight="1" x14ac:dyDescent="0.2">
      <c r="A666" s="14">
        <v>657</v>
      </c>
      <c r="B666" s="4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4"/>
      <c r="Y666" s="23"/>
      <c r="Z666" s="4" t="str">
        <f t="shared" si="12"/>
        <v/>
      </c>
      <c r="AA666" s="4" t="str">
        <f t="shared" si="13"/>
        <v/>
      </c>
      <c r="AB666" s="4" t="str">
        <f t="shared" si="14"/>
        <v/>
      </c>
      <c r="AC666" s="4">
        <v>0.43655902346952402</v>
      </c>
      <c r="AD666" s="4">
        <f t="shared" si="15"/>
        <v>-0.5736926953886039</v>
      </c>
      <c r="AE666" s="4" t="e">
        <f t="shared" si="16"/>
        <v>#VALUE!</v>
      </c>
      <c r="AF666" s="3" t="e">
        <f t="shared" si="17"/>
        <v>#VALUE!</v>
      </c>
      <c r="AG666" s="3"/>
      <c r="AH666" s="3"/>
      <c r="AI666" s="3"/>
      <c r="AJ666" s="3"/>
      <c r="AK666" s="3"/>
    </row>
    <row r="667" spans="1:37" ht="12.75" customHeight="1" x14ac:dyDescent="0.2">
      <c r="A667" s="14">
        <v>658</v>
      </c>
      <c r="B667" s="4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4"/>
      <c r="Y667" s="23"/>
      <c r="Z667" s="4" t="str">
        <f t="shared" si="12"/>
        <v/>
      </c>
      <c r="AA667" s="4" t="str">
        <f t="shared" si="13"/>
        <v/>
      </c>
      <c r="AB667" s="4" t="str">
        <f t="shared" si="14"/>
        <v/>
      </c>
      <c r="AC667" s="4">
        <v>0.43655902346952402</v>
      </c>
      <c r="AD667" s="4">
        <f t="shared" si="15"/>
        <v>-0.5736926953886039</v>
      </c>
      <c r="AE667" s="4" t="e">
        <f t="shared" si="16"/>
        <v>#VALUE!</v>
      </c>
      <c r="AF667" s="3" t="e">
        <f t="shared" si="17"/>
        <v>#VALUE!</v>
      </c>
      <c r="AG667" s="3"/>
      <c r="AH667" s="3"/>
      <c r="AI667" s="3"/>
      <c r="AJ667" s="3"/>
      <c r="AK667" s="3"/>
    </row>
    <row r="668" spans="1:37" ht="12.75" customHeight="1" x14ac:dyDescent="0.2">
      <c r="A668" s="14">
        <v>659</v>
      </c>
      <c r="B668" s="4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4"/>
      <c r="Y668" s="23"/>
      <c r="Z668" s="4" t="str">
        <f t="shared" si="12"/>
        <v/>
      </c>
      <c r="AA668" s="4" t="str">
        <f t="shared" si="13"/>
        <v/>
      </c>
      <c r="AB668" s="4" t="str">
        <f t="shared" si="14"/>
        <v/>
      </c>
      <c r="AC668" s="4">
        <v>0.43655902346952402</v>
      </c>
      <c r="AD668" s="4">
        <f t="shared" si="15"/>
        <v>-0.5736926953886039</v>
      </c>
      <c r="AE668" s="4" t="e">
        <f t="shared" si="16"/>
        <v>#VALUE!</v>
      </c>
      <c r="AF668" s="3" t="e">
        <f t="shared" si="17"/>
        <v>#VALUE!</v>
      </c>
      <c r="AG668" s="3"/>
      <c r="AH668" s="3"/>
      <c r="AI668" s="3"/>
      <c r="AJ668" s="3"/>
      <c r="AK668" s="3"/>
    </row>
    <row r="669" spans="1:37" ht="12.75" customHeight="1" x14ac:dyDescent="0.2">
      <c r="A669" s="14">
        <v>660</v>
      </c>
      <c r="B669" s="4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4"/>
      <c r="Y669" s="23"/>
      <c r="Z669" s="4" t="str">
        <f t="shared" si="12"/>
        <v/>
      </c>
      <c r="AA669" s="4" t="str">
        <f t="shared" si="13"/>
        <v/>
      </c>
      <c r="AB669" s="4" t="str">
        <f t="shared" si="14"/>
        <v/>
      </c>
      <c r="AC669" s="4">
        <v>0.43655902346952402</v>
      </c>
      <c r="AD669" s="4">
        <f t="shared" si="15"/>
        <v>-0.5736926953886039</v>
      </c>
      <c r="AE669" s="4" t="e">
        <f t="shared" si="16"/>
        <v>#VALUE!</v>
      </c>
      <c r="AF669" s="3" t="e">
        <f t="shared" si="17"/>
        <v>#VALUE!</v>
      </c>
      <c r="AG669" s="3"/>
      <c r="AH669" s="3"/>
      <c r="AI669" s="3"/>
      <c r="AJ669" s="3"/>
      <c r="AK669" s="3"/>
    </row>
    <row r="670" spans="1:37" ht="12.75" customHeight="1" x14ac:dyDescent="0.2">
      <c r="A670" s="14">
        <v>661</v>
      </c>
      <c r="B670" s="4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4"/>
      <c r="Y670" s="23"/>
      <c r="Z670" s="4" t="str">
        <f t="shared" si="12"/>
        <v/>
      </c>
      <c r="AA670" s="4" t="str">
        <f t="shared" si="13"/>
        <v/>
      </c>
      <c r="AB670" s="4" t="str">
        <f t="shared" si="14"/>
        <v/>
      </c>
      <c r="AC670" s="4">
        <v>0.43655902346952402</v>
      </c>
      <c r="AD670" s="4">
        <f t="shared" si="15"/>
        <v>-0.5736926953886039</v>
      </c>
      <c r="AE670" s="4" t="e">
        <f t="shared" si="16"/>
        <v>#VALUE!</v>
      </c>
      <c r="AF670" s="3" t="e">
        <f t="shared" si="17"/>
        <v>#VALUE!</v>
      </c>
      <c r="AG670" s="3"/>
      <c r="AH670" s="3"/>
      <c r="AI670" s="3"/>
      <c r="AJ670" s="3"/>
      <c r="AK670" s="3"/>
    </row>
    <row r="671" spans="1:37" ht="12.75" customHeight="1" x14ac:dyDescent="0.2">
      <c r="A671" s="14">
        <v>662</v>
      </c>
      <c r="B671" s="4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4"/>
      <c r="Y671" s="23"/>
      <c r="Z671" s="4" t="str">
        <f t="shared" si="12"/>
        <v/>
      </c>
      <c r="AA671" s="4" t="str">
        <f t="shared" si="13"/>
        <v/>
      </c>
      <c r="AB671" s="4" t="str">
        <f t="shared" si="14"/>
        <v/>
      </c>
      <c r="AC671" s="4">
        <v>0.42717066704889683</v>
      </c>
      <c r="AD671" s="4">
        <f t="shared" si="15"/>
        <v>-0.55716745488587216</v>
      </c>
      <c r="AE671" s="4" t="e">
        <f t="shared" si="16"/>
        <v>#VALUE!</v>
      </c>
      <c r="AF671" s="3" t="e">
        <f t="shared" si="17"/>
        <v>#VALUE!</v>
      </c>
      <c r="AG671" s="3"/>
      <c r="AH671" s="3"/>
      <c r="AI671" s="3"/>
      <c r="AJ671" s="3"/>
      <c r="AK671" s="3"/>
    </row>
    <row r="672" spans="1:37" ht="12.75" customHeight="1" x14ac:dyDescent="0.2">
      <c r="A672" s="14">
        <v>663</v>
      </c>
      <c r="B672" s="4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4"/>
      <c r="Y672" s="23"/>
      <c r="Z672" s="4" t="str">
        <f t="shared" si="12"/>
        <v/>
      </c>
      <c r="AA672" s="4" t="str">
        <f t="shared" si="13"/>
        <v/>
      </c>
      <c r="AB672" s="4" t="str">
        <f t="shared" si="14"/>
        <v/>
      </c>
      <c r="AC672" s="4">
        <v>0.42717066704889683</v>
      </c>
      <c r="AD672" s="4">
        <f t="shared" si="15"/>
        <v>-0.55716745488587216</v>
      </c>
      <c r="AE672" s="4" t="e">
        <f t="shared" si="16"/>
        <v>#VALUE!</v>
      </c>
      <c r="AF672" s="3" t="e">
        <f t="shared" si="17"/>
        <v>#VALUE!</v>
      </c>
      <c r="AG672" s="3"/>
      <c r="AH672" s="3"/>
      <c r="AI672" s="3"/>
      <c r="AJ672" s="3"/>
      <c r="AK672" s="3"/>
    </row>
    <row r="673" spans="1:37" ht="12.75" customHeight="1" x14ac:dyDescent="0.2">
      <c r="A673" s="14">
        <v>664</v>
      </c>
      <c r="B673" s="4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4"/>
      <c r="Y673" s="23"/>
      <c r="Z673" s="4" t="str">
        <f t="shared" si="12"/>
        <v/>
      </c>
      <c r="AA673" s="4" t="str">
        <f t="shared" si="13"/>
        <v/>
      </c>
      <c r="AB673" s="4" t="str">
        <f t="shared" si="14"/>
        <v/>
      </c>
      <c r="AC673" s="4">
        <v>0.42717066704889683</v>
      </c>
      <c r="AD673" s="4">
        <f t="shared" si="15"/>
        <v>-0.55716745488587216</v>
      </c>
      <c r="AE673" s="4" t="e">
        <f t="shared" si="16"/>
        <v>#VALUE!</v>
      </c>
      <c r="AF673" s="3" t="e">
        <f t="shared" si="17"/>
        <v>#VALUE!</v>
      </c>
      <c r="AG673" s="3"/>
      <c r="AH673" s="3"/>
      <c r="AI673" s="3"/>
      <c r="AJ673" s="3"/>
      <c r="AK673" s="3"/>
    </row>
    <row r="674" spans="1:37" ht="12.75" customHeight="1" x14ac:dyDescent="0.2">
      <c r="A674" s="14">
        <v>665</v>
      </c>
      <c r="B674" s="4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4"/>
      <c r="Y674" s="23"/>
      <c r="Z674" s="4" t="str">
        <f t="shared" si="12"/>
        <v/>
      </c>
      <c r="AA674" s="4" t="str">
        <f t="shared" si="13"/>
        <v/>
      </c>
      <c r="AB674" s="4" t="str">
        <f t="shared" si="14"/>
        <v/>
      </c>
      <c r="AC674" s="4">
        <v>0.42717066704889683</v>
      </c>
      <c r="AD674" s="4">
        <f t="shared" si="15"/>
        <v>-0.55716745488587216</v>
      </c>
      <c r="AE674" s="4" t="e">
        <f t="shared" si="16"/>
        <v>#VALUE!</v>
      </c>
      <c r="AF674" s="3" t="e">
        <f t="shared" si="17"/>
        <v>#VALUE!</v>
      </c>
      <c r="AG674" s="3"/>
      <c r="AH674" s="3"/>
      <c r="AI674" s="3"/>
      <c r="AJ674" s="3"/>
      <c r="AK674" s="3"/>
    </row>
    <row r="675" spans="1:37" ht="12.75" customHeight="1" x14ac:dyDescent="0.2">
      <c r="A675" s="14">
        <v>666</v>
      </c>
      <c r="B675" s="4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4"/>
      <c r="Y675" s="23"/>
      <c r="Z675" s="4" t="str">
        <f t="shared" si="12"/>
        <v/>
      </c>
      <c r="AA675" s="4" t="str">
        <f t="shared" si="13"/>
        <v/>
      </c>
      <c r="AB675" s="4" t="str">
        <f t="shared" si="14"/>
        <v/>
      </c>
      <c r="AC675" s="4">
        <v>0.41782337966106287</v>
      </c>
      <c r="AD675" s="4">
        <f t="shared" si="15"/>
        <v>-0.54098140591607813</v>
      </c>
      <c r="AE675" s="4" t="e">
        <f t="shared" si="16"/>
        <v>#VALUE!</v>
      </c>
      <c r="AF675" s="3" t="e">
        <f t="shared" si="17"/>
        <v>#VALUE!</v>
      </c>
      <c r="AG675" s="3"/>
      <c r="AH675" s="3"/>
      <c r="AI675" s="3"/>
      <c r="AJ675" s="3"/>
      <c r="AK675" s="3"/>
    </row>
    <row r="676" spans="1:37" ht="12.75" customHeight="1" x14ac:dyDescent="0.2">
      <c r="A676" s="14">
        <v>667</v>
      </c>
      <c r="B676" s="4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4"/>
      <c r="Y676" s="23"/>
      <c r="Z676" s="4" t="str">
        <f t="shared" si="12"/>
        <v/>
      </c>
      <c r="AA676" s="4" t="str">
        <f t="shared" si="13"/>
        <v/>
      </c>
      <c r="AB676" s="4" t="str">
        <f t="shared" si="14"/>
        <v/>
      </c>
      <c r="AC676" s="4">
        <v>0.41782337966106287</v>
      </c>
      <c r="AD676" s="4">
        <f t="shared" si="15"/>
        <v>-0.54098140591607813</v>
      </c>
      <c r="AE676" s="4" t="e">
        <f t="shared" si="16"/>
        <v>#VALUE!</v>
      </c>
      <c r="AF676" s="3" t="e">
        <f t="shared" si="17"/>
        <v>#VALUE!</v>
      </c>
      <c r="AG676" s="3"/>
      <c r="AH676" s="3"/>
      <c r="AI676" s="3"/>
      <c r="AJ676" s="3"/>
      <c r="AK676" s="3"/>
    </row>
    <row r="677" spans="1:37" ht="12.75" customHeight="1" x14ac:dyDescent="0.2">
      <c r="A677" s="14">
        <v>668</v>
      </c>
      <c r="B677" s="4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4"/>
      <c r="Y677" s="23"/>
      <c r="Z677" s="4" t="str">
        <f t="shared" si="12"/>
        <v/>
      </c>
      <c r="AA677" s="4" t="str">
        <f t="shared" si="13"/>
        <v/>
      </c>
      <c r="AB677" s="4" t="str">
        <f t="shared" si="14"/>
        <v/>
      </c>
      <c r="AC677" s="4">
        <v>0.41782337966106287</v>
      </c>
      <c r="AD677" s="4">
        <f t="shared" si="15"/>
        <v>-0.54098140591607813</v>
      </c>
      <c r="AE677" s="4" t="e">
        <f t="shared" si="16"/>
        <v>#VALUE!</v>
      </c>
      <c r="AF677" s="3" t="e">
        <f t="shared" si="17"/>
        <v>#VALUE!</v>
      </c>
      <c r="AG677" s="3"/>
      <c r="AH677" s="3"/>
      <c r="AI677" s="3"/>
      <c r="AJ677" s="3"/>
      <c r="AK677" s="3"/>
    </row>
    <row r="678" spans="1:37" ht="12.75" customHeight="1" x14ac:dyDescent="0.2">
      <c r="A678" s="14">
        <v>669</v>
      </c>
      <c r="B678" s="4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4"/>
      <c r="Y678" s="23"/>
      <c r="Z678" s="4" t="str">
        <f t="shared" si="12"/>
        <v/>
      </c>
      <c r="AA678" s="4" t="str">
        <f t="shared" si="13"/>
        <v/>
      </c>
      <c r="AB678" s="4" t="str">
        <f t="shared" si="14"/>
        <v/>
      </c>
      <c r="AC678" s="4">
        <v>0.41782337966106287</v>
      </c>
      <c r="AD678" s="4">
        <f t="shared" si="15"/>
        <v>-0.54098140591607813</v>
      </c>
      <c r="AE678" s="4" t="e">
        <f t="shared" si="16"/>
        <v>#VALUE!</v>
      </c>
      <c r="AF678" s="3" t="e">
        <f t="shared" si="17"/>
        <v>#VALUE!</v>
      </c>
      <c r="AG678" s="3"/>
      <c r="AH678" s="3"/>
      <c r="AI678" s="3"/>
      <c r="AJ678" s="3"/>
      <c r="AK678" s="3"/>
    </row>
    <row r="679" spans="1:37" ht="12.75" customHeight="1" x14ac:dyDescent="0.2">
      <c r="A679" s="14">
        <v>670</v>
      </c>
      <c r="B679" s="4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4"/>
      <c r="Y679" s="23"/>
      <c r="Z679" s="4" t="str">
        <f t="shared" si="12"/>
        <v/>
      </c>
      <c r="AA679" s="4" t="str">
        <f t="shared" si="13"/>
        <v/>
      </c>
      <c r="AB679" s="4" t="str">
        <f t="shared" si="14"/>
        <v/>
      </c>
      <c r="AC679" s="4">
        <v>0.41782337966106287</v>
      </c>
      <c r="AD679" s="4">
        <f t="shared" si="15"/>
        <v>-0.54098140591607813</v>
      </c>
      <c r="AE679" s="4" t="e">
        <f t="shared" si="16"/>
        <v>#VALUE!</v>
      </c>
      <c r="AF679" s="3" t="e">
        <f t="shared" si="17"/>
        <v>#VALUE!</v>
      </c>
      <c r="AG679" s="3"/>
      <c r="AH679" s="3"/>
      <c r="AI679" s="3"/>
      <c r="AJ679" s="3"/>
      <c r="AK679" s="3"/>
    </row>
    <row r="680" spans="1:37" ht="12.75" customHeight="1" x14ac:dyDescent="0.2">
      <c r="A680" s="14">
        <v>671</v>
      </c>
      <c r="B680" s="4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4"/>
      <c r="Y680" s="23"/>
      <c r="Z680" s="4" t="str">
        <f t="shared" si="12"/>
        <v/>
      </c>
      <c r="AA680" s="4" t="str">
        <f t="shared" si="13"/>
        <v/>
      </c>
      <c r="AB680" s="4" t="str">
        <f t="shared" si="14"/>
        <v/>
      </c>
      <c r="AC680" s="4">
        <v>0.41782337966106287</v>
      </c>
      <c r="AD680" s="4">
        <f t="shared" si="15"/>
        <v>-0.54098140591607813</v>
      </c>
      <c r="AE680" s="4" t="e">
        <f t="shared" si="16"/>
        <v>#VALUE!</v>
      </c>
      <c r="AF680" s="3" t="e">
        <f t="shared" si="17"/>
        <v>#VALUE!</v>
      </c>
      <c r="AG680" s="3"/>
      <c r="AH680" s="3"/>
      <c r="AI680" s="3"/>
      <c r="AJ680" s="3"/>
      <c r="AK680" s="3"/>
    </row>
    <row r="681" spans="1:37" ht="12.75" customHeight="1" x14ac:dyDescent="0.2">
      <c r="A681" s="14">
        <v>672</v>
      </c>
      <c r="B681" s="4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4"/>
      <c r="Y681" s="23"/>
      <c r="Z681" s="4" t="str">
        <f t="shared" si="12"/>
        <v/>
      </c>
      <c r="AA681" s="4" t="str">
        <f t="shared" si="13"/>
        <v/>
      </c>
      <c r="AB681" s="4" t="str">
        <f t="shared" si="14"/>
        <v/>
      </c>
      <c r="AC681" s="4">
        <v>0.41782337966106287</v>
      </c>
      <c r="AD681" s="4">
        <f t="shared" si="15"/>
        <v>-0.54098140591607813</v>
      </c>
      <c r="AE681" s="4" t="e">
        <f t="shared" si="16"/>
        <v>#VALUE!</v>
      </c>
      <c r="AF681" s="3" t="e">
        <f t="shared" si="17"/>
        <v>#VALUE!</v>
      </c>
      <c r="AG681" s="3"/>
      <c r="AH681" s="3"/>
      <c r="AI681" s="3"/>
      <c r="AJ681" s="3"/>
      <c r="AK681" s="3"/>
    </row>
    <row r="682" spans="1:37" ht="12.75" customHeight="1" x14ac:dyDescent="0.2">
      <c r="A682" s="14">
        <v>673</v>
      </c>
      <c r="B682" s="4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4"/>
      <c r="Y682" s="23"/>
      <c r="Z682" s="4" t="str">
        <f t="shared" si="12"/>
        <v/>
      </c>
      <c r="AA682" s="4" t="str">
        <f t="shared" si="13"/>
        <v/>
      </c>
      <c r="AB682" s="4" t="str">
        <f t="shared" si="14"/>
        <v/>
      </c>
      <c r="AC682" s="4">
        <v>0.408522287162985</v>
      </c>
      <c r="AD682" s="4">
        <f t="shared" si="15"/>
        <v>-0.5251312753318701</v>
      </c>
      <c r="AE682" s="4" t="e">
        <f t="shared" si="16"/>
        <v>#VALUE!</v>
      </c>
      <c r="AF682" s="3" t="e">
        <f t="shared" si="17"/>
        <v>#VALUE!</v>
      </c>
      <c r="AG682" s="3"/>
      <c r="AH682" s="3"/>
      <c r="AI682" s="3"/>
      <c r="AJ682" s="3"/>
      <c r="AK682" s="3"/>
    </row>
    <row r="683" spans="1:37" ht="12.75" customHeight="1" x14ac:dyDescent="0.2">
      <c r="A683" s="14">
        <v>674</v>
      </c>
      <c r="B683" s="4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4"/>
      <c r="Y683" s="23"/>
      <c r="Z683" s="4" t="str">
        <f t="shared" si="12"/>
        <v/>
      </c>
      <c r="AA683" s="4" t="str">
        <f t="shared" si="13"/>
        <v/>
      </c>
      <c r="AB683" s="4" t="str">
        <f t="shared" si="14"/>
        <v/>
      </c>
      <c r="AC683" s="4">
        <v>0.408522287162985</v>
      </c>
      <c r="AD683" s="4">
        <f t="shared" si="15"/>
        <v>-0.5251312753318701</v>
      </c>
      <c r="AE683" s="4" t="e">
        <f t="shared" si="16"/>
        <v>#VALUE!</v>
      </c>
      <c r="AF683" s="3" t="e">
        <f t="shared" si="17"/>
        <v>#VALUE!</v>
      </c>
      <c r="AG683" s="3"/>
      <c r="AH683" s="3"/>
      <c r="AI683" s="3"/>
      <c r="AJ683" s="3"/>
      <c r="AK683" s="3"/>
    </row>
    <row r="684" spans="1:37" ht="12.75" customHeight="1" x14ac:dyDescent="0.2">
      <c r="A684" s="14">
        <v>675</v>
      </c>
      <c r="B684" s="4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4"/>
      <c r="Y684" s="23"/>
      <c r="Z684" s="4" t="str">
        <f t="shared" si="12"/>
        <v/>
      </c>
      <c r="AA684" s="4" t="str">
        <f t="shared" si="13"/>
        <v/>
      </c>
      <c r="AB684" s="4" t="str">
        <f t="shared" si="14"/>
        <v/>
      </c>
      <c r="AC684" s="4">
        <v>0.408522287162985</v>
      </c>
      <c r="AD684" s="4">
        <f t="shared" si="15"/>
        <v>-0.5251312753318701</v>
      </c>
      <c r="AE684" s="4" t="e">
        <f t="shared" si="16"/>
        <v>#VALUE!</v>
      </c>
      <c r="AF684" s="3" t="e">
        <f t="shared" si="17"/>
        <v>#VALUE!</v>
      </c>
      <c r="AG684" s="3"/>
      <c r="AH684" s="3"/>
      <c r="AI684" s="3"/>
      <c r="AJ684" s="3"/>
      <c r="AK684" s="3"/>
    </row>
    <row r="685" spans="1:37" ht="12.75" customHeight="1" x14ac:dyDescent="0.2">
      <c r="A685" s="14">
        <v>676</v>
      </c>
      <c r="B685" s="4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4"/>
      <c r="Y685" s="23"/>
      <c r="Z685" s="4" t="str">
        <f t="shared" si="12"/>
        <v/>
      </c>
      <c r="AA685" s="4" t="str">
        <f t="shared" si="13"/>
        <v/>
      </c>
      <c r="AB685" s="4" t="str">
        <f t="shared" si="14"/>
        <v/>
      </c>
      <c r="AC685" s="4">
        <v>0.408522287162985</v>
      </c>
      <c r="AD685" s="4">
        <f t="shared" si="15"/>
        <v>-0.5251312753318701</v>
      </c>
      <c r="AE685" s="4" t="e">
        <f t="shared" si="16"/>
        <v>#VALUE!</v>
      </c>
      <c r="AF685" s="3" t="e">
        <f t="shared" si="17"/>
        <v>#VALUE!</v>
      </c>
      <c r="AG685" s="3"/>
      <c r="AH685" s="3"/>
      <c r="AI685" s="3"/>
      <c r="AJ685" s="3"/>
      <c r="AK685" s="3"/>
    </row>
    <row r="686" spans="1:37" ht="12.75" customHeight="1" x14ac:dyDescent="0.2">
      <c r="A686" s="14">
        <v>677</v>
      </c>
      <c r="B686" s="4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4"/>
      <c r="Y686" s="23"/>
      <c r="Z686" s="4" t="str">
        <f t="shared" si="12"/>
        <v/>
      </c>
      <c r="AA686" s="4" t="str">
        <f t="shared" si="13"/>
        <v/>
      </c>
      <c r="AB686" s="4" t="str">
        <f t="shared" si="14"/>
        <v/>
      </c>
      <c r="AC686" s="4">
        <v>0.408522287162985</v>
      </c>
      <c r="AD686" s="4">
        <f t="shared" si="15"/>
        <v>-0.5251312753318701</v>
      </c>
      <c r="AE686" s="4" t="e">
        <f t="shared" si="16"/>
        <v>#VALUE!</v>
      </c>
      <c r="AF686" s="3" t="e">
        <f t="shared" si="17"/>
        <v>#VALUE!</v>
      </c>
      <c r="AG686" s="3"/>
      <c r="AH686" s="3"/>
      <c r="AI686" s="3"/>
      <c r="AJ686" s="3"/>
      <c r="AK686" s="3"/>
    </row>
    <row r="687" spans="1:37" ht="12.75" customHeight="1" x14ac:dyDescent="0.2">
      <c r="A687" s="14">
        <v>678</v>
      </c>
      <c r="B687" s="4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4"/>
      <c r="Y687" s="23"/>
      <c r="Z687" s="4" t="str">
        <f t="shared" si="12"/>
        <v/>
      </c>
      <c r="AA687" s="4" t="str">
        <f t="shared" si="13"/>
        <v/>
      </c>
      <c r="AB687" s="4" t="str">
        <f t="shared" si="14"/>
        <v/>
      </c>
      <c r="AC687" s="4">
        <v>0.408522287162985</v>
      </c>
      <c r="AD687" s="4">
        <f t="shared" si="15"/>
        <v>-0.5251312753318701</v>
      </c>
      <c r="AE687" s="4" t="e">
        <f t="shared" si="16"/>
        <v>#VALUE!</v>
      </c>
      <c r="AF687" s="3" t="e">
        <f t="shared" si="17"/>
        <v>#VALUE!</v>
      </c>
      <c r="AG687" s="3"/>
      <c r="AH687" s="3"/>
      <c r="AI687" s="3"/>
      <c r="AJ687" s="3"/>
      <c r="AK687" s="3"/>
    </row>
    <row r="688" spans="1:37" ht="12.75" customHeight="1" x14ac:dyDescent="0.2">
      <c r="A688" s="14">
        <v>679</v>
      </c>
      <c r="B688" s="4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4"/>
      <c r="Y688" s="23"/>
      <c r="Z688" s="4" t="str">
        <f t="shared" si="12"/>
        <v/>
      </c>
      <c r="AA688" s="4" t="str">
        <f t="shared" si="13"/>
        <v/>
      </c>
      <c r="AB688" s="4" t="str">
        <f t="shared" si="14"/>
        <v/>
      </c>
      <c r="AC688" s="4">
        <v>0.408522287162985</v>
      </c>
      <c r="AD688" s="4">
        <f t="shared" si="15"/>
        <v>-0.5251312753318701</v>
      </c>
      <c r="AE688" s="4" t="e">
        <f t="shared" si="16"/>
        <v>#VALUE!</v>
      </c>
      <c r="AF688" s="3" t="e">
        <f t="shared" si="17"/>
        <v>#VALUE!</v>
      </c>
      <c r="AG688" s="3"/>
      <c r="AH688" s="3"/>
      <c r="AI688" s="3"/>
      <c r="AJ688" s="3"/>
      <c r="AK688" s="3"/>
    </row>
    <row r="689" spans="1:37" ht="12.75" customHeight="1" x14ac:dyDescent="0.2">
      <c r="A689" s="14">
        <v>680</v>
      </c>
      <c r="B689" s="4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4"/>
      <c r="Y689" s="23"/>
      <c r="Z689" s="4" t="str">
        <f t="shared" si="12"/>
        <v/>
      </c>
      <c r="AA689" s="4" t="str">
        <f t="shared" si="13"/>
        <v/>
      </c>
      <c r="AB689" s="4" t="str">
        <f t="shared" si="14"/>
        <v/>
      </c>
      <c r="AC689" s="4">
        <v>0.39927243794951384</v>
      </c>
      <c r="AD689" s="4">
        <f t="shared" si="15"/>
        <v>-0.50961375495823757</v>
      </c>
      <c r="AE689" s="4" t="e">
        <f t="shared" si="16"/>
        <v>#VALUE!</v>
      </c>
      <c r="AF689" s="3" t="e">
        <f t="shared" si="17"/>
        <v>#VALUE!</v>
      </c>
      <c r="AG689" s="3"/>
      <c r="AH689" s="3"/>
      <c r="AI689" s="3"/>
      <c r="AJ689" s="3"/>
      <c r="AK689" s="3"/>
    </row>
    <row r="690" spans="1:37" ht="12.75" customHeight="1" x14ac:dyDescent="0.2">
      <c r="A690" s="14">
        <v>681</v>
      </c>
      <c r="B690" s="4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4"/>
      <c r="Y690" s="23"/>
      <c r="Z690" s="4" t="str">
        <f t="shared" si="12"/>
        <v/>
      </c>
      <c r="AA690" s="4" t="str">
        <f t="shared" si="13"/>
        <v/>
      </c>
      <c r="AB690" s="4" t="str">
        <f t="shared" si="14"/>
        <v/>
      </c>
      <c r="AC690" s="4">
        <v>0.39927243794951384</v>
      </c>
      <c r="AD690" s="4">
        <f t="shared" si="15"/>
        <v>-0.50961375495823757</v>
      </c>
      <c r="AE690" s="4" t="e">
        <f t="shared" si="16"/>
        <v>#VALUE!</v>
      </c>
      <c r="AF690" s="3" t="e">
        <f t="shared" si="17"/>
        <v>#VALUE!</v>
      </c>
      <c r="AG690" s="3"/>
      <c r="AH690" s="3"/>
      <c r="AI690" s="3"/>
      <c r="AJ690" s="3"/>
      <c r="AK690" s="3"/>
    </row>
    <row r="691" spans="1:37" ht="12.75" customHeight="1" x14ac:dyDescent="0.2">
      <c r="A691" s="14">
        <v>682</v>
      </c>
      <c r="B691" s="4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4"/>
      <c r="Y691" s="23"/>
      <c r="Z691" s="4" t="str">
        <f t="shared" si="12"/>
        <v/>
      </c>
      <c r="AA691" s="4" t="str">
        <f t="shared" si="13"/>
        <v/>
      </c>
      <c r="AB691" s="4" t="str">
        <f t="shared" si="14"/>
        <v/>
      </c>
      <c r="AC691" s="4">
        <v>0.39927243794951384</v>
      </c>
      <c r="AD691" s="4">
        <f t="shared" si="15"/>
        <v>-0.50961375495823757</v>
      </c>
      <c r="AE691" s="4" t="e">
        <f t="shared" si="16"/>
        <v>#VALUE!</v>
      </c>
      <c r="AF691" s="3" t="e">
        <f t="shared" si="17"/>
        <v>#VALUE!</v>
      </c>
      <c r="AG691" s="3"/>
      <c r="AH691" s="3"/>
      <c r="AI691" s="3"/>
      <c r="AJ691" s="3"/>
      <c r="AK691" s="3"/>
    </row>
    <row r="692" spans="1:37" ht="12.75" customHeight="1" x14ac:dyDescent="0.2">
      <c r="A692" s="14">
        <v>683</v>
      </c>
      <c r="B692" s="4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4"/>
      <c r="Y692" s="23"/>
      <c r="Z692" s="4" t="str">
        <f t="shared" si="12"/>
        <v/>
      </c>
      <c r="AA692" s="4" t="str">
        <f t="shared" si="13"/>
        <v/>
      </c>
      <c r="AB692" s="4" t="str">
        <f t="shared" si="14"/>
        <v/>
      </c>
      <c r="AC692" s="4">
        <v>0.39927243794951384</v>
      </c>
      <c r="AD692" s="4">
        <f t="shared" si="15"/>
        <v>-0.50961375495823757</v>
      </c>
      <c r="AE692" s="4" t="e">
        <f t="shared" si="16"/>
        <v>#VALUE!</v>
      </c>
      <c r="AF692" s="3" t="e">
        <f t="shared" si="17"/>
        <v>#VALUE!</v>
      </c>
      <c r="AG692" s="3"/>
      <c r="AH692" s="3"/>
      <c r="AI692" s="3"/>
      <c r="AJ692" s="3"/>
      <c r="AK692" s="3"/>
    </row>
    <row r="693" spans="1:37" ht="12.75" customHeight="1" x14ac:dyDescent="0.2">
      <c r="A693" s="14">
        <v>684</v>
      </c>
      <c r="B693" s="4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4"/>
      <c r="Y693" s="23"/>
      <c r="Z693" s="4" t="str">
        <f t="shared" si="12"/>
        <v/>
      </c>
      <c r="AA693" s="4" t="str">
        <f t="shared" si="13"/>
        <v/>
      </c>
      <c r="AB693" s="4" t="str">
        <f t="shared" si="14"/>
        <v/>
      </c>
      <c r="AC693" s="4">
        <v>0.39927243794951384</v>
      </c>
      <c r="AD693" s="4">
        <f t="shared" si="15"/>
        <v>-0.50961375495823757</v>
      </c>
      <c r="AE693" s="4" t="e">
        <f t="shared" si="16"/>
        <v>#VALUE!</v>
      </c>
      <c r="AF693" s="3" t="e">
        <f t="shared" si="17"/>
        <v>#VALUE!</v>
      </c>
      <c r="AG693" s="3"/>
      <c r="AH693" s="3"/>
      <c r="AI693" s="3"/>
      <c r="AJ693" s="3"/>
      <c r="AK693" s="3"/>
    </row>
    <row r="694" spans="1:37" ht="12.75" customHeight="1" x14ac:dyDescent="0.2">
      <c r="A694" s="14">
        <v>685</v>
      </c>
      <c r="B694" s="4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4"/>
      <c r="Y694" s="23"/>
      <c r="Z694" s="4" t="str">
        <f t="shared" si="12"/>
        <v/>
      </c>
      <c r="AA694" s="4" t="str">
        <f t="shared" si="13"/>
        <v/>
      </c>
      <c r="AB694" s="4" t="str">
        <f t="shared" si="14"/>
        <v/>
      </c>
      <c r="AC694" s="4">
        <v>0.39927243794951384</v>
      </c>
      <c r="AD694" s="4">
        <f t="shared" si="15"/>
        <v>-0.50961375495823757</v>
      </c>
      <c r="AE694" s="4" t="e">
        <f t="shared" si="16"/>
        <v>#VALUE!</v>
      </c>
      <c r="AF694" s="3" t="e">
        <f t="shared" si="17"/>
        <v>#VALUE!</v>
      </c>
      <c r="AG694" s="3"/>
      <c r="AH694" s="3"/>
      <c r="AI694" s="3"/>
      <c r="AJ694" s="3"/>
      <c r="AK694" s="3"/>
    </row>
    <row r="695" spans="1:37" ht="12.75" customHeight="1" x14ac:dyDescent="0.2">
      <c r="A695" s="14">
        <v>686</v>
      </c>
      <c r="B695" s="4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4"/>
      <c r="Y695" s="23"/>
      <c r="Z695" s="4" t="str">
        <f t="shared" si="12"/>
        <v/>
      </c>
      <c r="AA695" s="4" t="str">
        <f t="shared" si="13"/>
        <v/>
      </c>
      <c r="AB695" s="4" t="str">
        <f t="shared" si="14"/>
        <v/>
      </c>
      <c r="AC695" s="4">
        <v>0.39927243794951384</v>
      </c>
      <c r="AD695" s="4">
        <f t="shared" si="15"/>
        <v>-0.50961375495823757</v>
      </c>
      <c r="AE695" s="4" t="e">
        <f t="shared" si="16"/>
        <v>#VALUE!</v>
      </c>
      <c r="AF695" s="3" t="e">
        <f t="shared" si="17"/>
        <v>#VALUE!</v>
      </c>
      <c r="AG695" s="3"/>
      <c r="AH695" s="3"/>
      <c r="AI695" s="3"/>
      <c r="AJ695" s="3"/>
      <c r="AK695" s="3"/>
    </row>
    <row r="696" spans="1:37" ht="12.75" customHeight="1" x14ac:dyDescent="0.2">
      <c r="A696" s="14">
        <v>687</v>
      </c>
      <c r="B696" s="4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4"/>
      <c r="Y696" s="23"/>
      <c r="Z696" s="4" t="str">
        <f t="shared" si="12"/>
        <v/>
      </c>
      <c r="AA696" s="4" t="str">
        <f t="shared" si="13"/>
        <v/>
      </c>
      <c r="AB696" s="4" t="str">
        <f t="shared" si="14"/>
        <v/>
      </c>
      <c r="AC696" s="4">
        <v>0.39927243794951384</v>
      </c>
      <c r="AD696" s="4">
        <f t="shared" si="15"/>
        <v>-0.50961375495823757</v>
      </c>
      <c r="AE696" s="4" t="e">
        <f t="shared" si="16"/>
        <v>#VALUE!</v>
      </c>
      <c r="AF696" s="3" t="e">
        <f t="shared" si="17"/>
        <v>#VALUE!</v>
      </c>
      <c r="AG696" s="3"/>
      <c r="AH696" s="3"/>
      <c r="AI696" s="3"/>
      <c r="AJ696" s="3"/>
      <c r="AK696" s="3"/>
    </row>
    <row r="697" spans="1:37" ht="12.75" customHeight="1" x14ac:dyDescent="0.2">
      <c r="A697" s="14">
        <v>688</v>
      </c>
      <c r="B697" s="4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4"/>
      <c r="Y697" s="23"/>
      <c r="Z697" s="4" t="str">
        <f t="shared" si="12"/>
        <v/>
      </c>
      <c r="AA697" s="4" t="str">
        <f t="shared" si="13"/>
        <v/>
      </c>
      <c r="AB697" s="4" t="str">
        <f t="shared" si="14"/>
        <v/>
      </c>
      <c r="AC697" s="4">
        <v>0.39927243794951384</v>
      </c>
      <c r="AD697" s="4">
        <f t="shared" si="15"/>
        <v>-0.50961375495823757</v>
      </c>
      <c r="AE697" s="4" t="e">
        <f t="shared" si="16"/>
        <v>#VALUE!</v>
      </c>
      <c r="AF697" s="3" t="e">
        <f t="shared" si="17"/>
        <v>#VALUE!</v>
      </c>
      <c r="AG697" s="3"/>
      <c r="AH697" s="3"/>
      <c r="AI697" s="3"/>
      <c r="AJ697" s="3"/>
      <c r="AK697" s="3"/>
    </row>
    <row r="698" spans="1:37" ht="12.75" customHeight="1" x14ac:dyDescent="0.2">
      <c r="A698" s="14">
        <v>689</v>
      </c>
      <c r="B698" s="4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4"/>
      <c r="Y698" s="23"/>
      <c r="Z698" s="4" t="str">
        <f t="shared" si="12"/>
        <v/>
      </c>
      <c r="AA698" s="4" t="str">
        <f t="shared" si="13"/>
        <v/>
      </c>
      <c r="AB698" s="4" t="str">
        <f t="shared" si="14"/>
        <v/>
      </c>
      <c r="AC698" s="4">
        <v>0.39927243794951384</v>
      </c>
      <c r="AD698" s="4">
        <f t="shared" si="15"/>
        <v>-0.50961375495823757</v>
      </c>
      <c r="AE698" s="4" t="e">
        <f t="shared" si="16"/>
        <v>#VALUE!</v>
      </c>
      <c r="AF698" s="3" t="e">
        <f t="shared" si="17"/>
        <v>#VALUE!</v>
      </c>
      <c r="AG698" s="3"/>
      <c r="AH698" s="3"/>
      <c r="AI698" s="3"/>
      <c r="AJ698" s="3"/>
      <c r="AK698" s="3"/>
    </row>
    <row r="699" spans="1:37" ht="12.75" customHeight="1" x14ac:dyDescent="0.2">
      <c r="A699" s="14">
        <v>690</v>
      </c>
      <c r="B699" s="4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4"/>
      <c r="Y699" s="23"/>
      <c r="Z699" s="4" t="str">
        <f t="shared" si="12"/>
        <v/>
      </c>
      <c r="AA699" s="4" t="str">
        <f t="shared" si="13"/>
        <v/>
      </c>
      <c r="AB699" s="4" t="str">
        <f t="shared" si="14"/>
        <v/>
      </c>
      <c r="AC699" s="4">
        <v>0.39927243794951384</v>
      </c>
      <c r="AD699" s="4">
        <f t="shared" si="15"/>
        <v>-0.50961375495823757</v>
      </c>
      <c r="AE699" s="4" t="e">
        <f t="shared" si="16"/>
        <v>#VALUE!</v>
      </c>
      <c r="AF699" s="3" t="e">
        <f t="shared" si="17"/>
        <v>#VALUE!</v>
      </c>
      <c r="AG699" s="3"/>
      <c r="AH699" s="3"/>
      <c r="AI699" s="3"/>
      <c r="AJ699" s="3"/>
      <c r="AK699" s="3"/>
    </row>
    <row r="700" spans="1:37" ht="12.75" customHeight="1" x14ac:dyDescent="0.2">
      <c r="A700" s="14">
        <v>691</v>
      </c>
      <c r="B700" s="4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4"/>
      <c r="Y700" s="23"/>
      <c r="Z700" s="4" t="str">
        <f t="shared" si="12"/>
        <v/>
      </c>
      <c r="AA700" s="4" t="str">
        <f t="shared" si="13"/>
        <v/>
      </c>
      <c r="AB700" s="4" t="str">
        <f t="shared" si="14"/>
        <v/>
      </c>
      <c r="AC700" s="4">
        <v>0.39927243794951384</v>
      </c>
      <c r="AD700" s="4">
        <f t="shared" si="15"/>
        <v>-0.50961375495823757</v>
      </c>
      <c r="AE700" s="4" t="e">
        <f t="shared" si="16"/>
        <v>#VALUE!</v>
      </c>
      <c r="AF700" s="3" t="e">
        <f t="shared" si="17"/>
        <v>#VALUE!</v>
      </c>
      <c r="AG700" s="3"/>
      <c r="AH700" s="3"/>
      <c r="AI700" s="3"/>
      <c r="AJ700" s="3"/>
      <c r="AK700" s="3"/>
    </row>
    <row r="701" spans="1:37" ht="12.75" customHeight="1" x14ac:dyDescent="0.2">
      <c r="A701" s="14">
        <v>692</v>
      </c>
      <c r="B701" s="4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4"/>
      <c r="Y701" s="23"/>
      <c r="Z701" s="4" t="str">
        <f t="shared" si="12"/>
        <v/>
      </c>
      <c r="AA701" s="4" t="str">
        <f t="shared" si="13"/>
        <v/>
      </c>
      <c r="AB701" s="4" t="str">
        <f t="shared" si="14"/>
        <v/>
      </c>
      <c r="AC701" s="4">
        <v>0.39927243794951384</v>
      </c>
      <c r="AD701" s="4">
        <f t="shared" si="15"/>
        <v>-0.50961375495823757</v>
      </c>
      <c r="AE701" s="4" t="e">
        <f t="shared" si="16"/>
        <v>#VALUE!</v>
      </c>
      <c r="AF701" s="3" t="e">
        <f t="shared" si="17"/>
        <v>#VALUE!</v>
      </c>
      <c r="AG701" s="3"/>
      <c r="AH701" s="3"/>
      <c r="AI701" s="3"/>
      <c r="AJ701" s="3"/>
      <c r="AK701" s="3"/>
    </row>
    <row r="702" spans="1:37" ht="12.75" customHeight="1" x14ac:dyDescent="0.2">
      <c r="A702" s="14">
        <v>693</v>
      </c>
      <c r="B702" s="4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4"/>
      <c r="Y702" s="23"/>
      <c r="Z702" s="4" t="str">
        <f t="shared" si="12"/>
        <v/>
      </c>
      <c r="AA702" s="4" t="str">
        <f t="shared" si="13"/>
        <v/>
      </c>
      <c r="AB702" s="4" t="str">
        <f t="shared" si="14"/>
        <v/>
      </c>
      <c r="AC702" s="4">
        <v>0.39007879465900996</v>
      </c>
      <c r="AD702" s="4">
        <f t="shared" si="15"/>
        <v>-0.49442550173029359</v>
      </c>
      <c r="AE702" s="4" t="e">
        <f t="shared" si="16"/>
        <v>#VALUE!</v>
      </c>
      <c r="AF702" s="3" t="e">
        <f t="shared" si="17"/>
        <v>#VALUE!</v>
      </c>
      <c r="AG702" s="3"/>
      <c r="AH702" s="3"/>
      <c r="AI702" s="3"/>
      <c r="AJ702" s="3"/>
      <c r="AK702" s="3"/>
    </row>
    <row r="703" spans="1:37" ht="12.75" customHeight="1" x14ac:dyDescent="0.2">
      <c r="A703" s="14">
        <v>694</v>
      </c>
      <c r="B703" s="4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4"/>
      <c r="Y703" s="23"/>
      <c r="Z703" s="4" t="str">
        <f t="shared" si="12"/>
        <v/>
      </c>
      <c r="AA703" s="4" t="str">
        <f t="shared" si="13"/>
        <v/>
      </c>
      <c r="AB703" s="4" t="str">
        <f t="shared" si="14"/>
        <v/>
      </c>
      <c r="AC703" s="4">
        <v>0.39007879465900996</v>
      </c>
      <c r="AD703" s="4">
        <f t="shared" si="15"/>
        <v>-0.49442550173029359</v>
      </c>
      <c r="AE703" s="4" t="e">
        <f t="shared" si="16"/>
        <v>#VALUE!</v>
      </c>
      <c r="AF703" s="3" t="e">
        <f t="shared" si="17"/>
        <v>#VALUE!</v>
      </c>
      <c r="AG703" s="3"/>
      <c r="AH703" s="3"/>
      <c r="AI703" s="3"/>
      <c r="AJ703" s="3"/>
      <c r="AK703" s="3"/>
    </row>
    <row r="704" spans="1:37" ht="12.75" customHeight="1" x14ac:dyDescent="0.2">
      <c r="A704" s="14">
        <v>695</v>
      </c>
      <c r="B704" s="4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4"/>
      <c r="Y704" s="23"/>
      <c r="Z704" s="4" t="str">
        <f t="shared" si="12"/>
        <v/>
      </c>
      <c r="AA704" s="4" t="str">
        <f t="shared" si="13"/>
        <v/>
      </c>
      <c r="AB704" s="4" t="str">
        <f t="shared" si="14"/>
        <v/>
      </c>
      <c r="AC704" s="4">
        <v>0.39007879465900996</v>
      </c>
      <c r="AD704" s="4">
        <f t="shared" si="15"/>
        <v>-0.49442550173029359</v>
      </c>
      <c r="AE704" s="4" t="e">
        <f t="shared" si="16"/>
        <v>#VALUE!</v>
      </c>
      <c r="AF704" s="3" t="e">
        <f t="shared" si="17"/>
        <v>#VALUE!</v>
      </c>
      <c r="AG704" s="3"/>
      <c r="AH704" s="3"/>
      <c r="AI704" s="3"/>
      <c r="AJ704" s="3"/>
      <c r="AK704" s="3"/>
    </row>
    <row r="705" spans="1:37" ht="12.75" customHeight="1" x14ac:dyDescent="0.2">
      <c r="A705" s="14">
        <v>696</v>
      </c>
      <c r="B705" s="4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4"/>
      <c r="Y705" s="23"/>
      <c r="Z705" s="4" t="str">
        <f t="shared" si="12"/>
        <v/>
      </c>
      <c r="AA705" s="4" t="str">
        <f t="shared" si="13"/>
        <v/>
      </c>
      <c r="AB705" s="4" t="str">
        <f t="shared" si="14"/>
        <v/>
      </c>
      <c r="AC705" s="4">
        <v>0.39007879465900996</v>
      </c>
      <c r="AD705" s="4">
        <f t="shared" si="15"/>
        <v>-0.49442550173029359</v>
      </c>
      <c r="AE705" s="4" t="e">
        <f t="shared" si="16"/>
        <v>#VALUE!</v>
      </c>
      <c r="AF705" s="3" t="e">
        <f t="shared" si="17"/>
        <v>#VALUE!</v>
      </c>
      <c r="AG705" s="3"/>
      <c r="AH705" s="3"/>
      <c r="AI705" s="3"/>
      <c r="AJ705" s="3"/>
      <c r="AK705" s="3"/>
    </row>
    <row r="706" spans="1:37" ht="12.75" customHeight="1" x14ac:dyDescent="0.2">
      <c r="A706" s="14">
        <v>697</v>
      </c>
      <c r="B706" s="4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4"/>
      <c r="Y706" s="23"/>
      <c r="Z706" s="4" t="str">
        <f t="shared" si="12"/>
        <v/>
      </c>
      <c r="AA706" s="4" t="str">
        <f t="shared" si="13"/>
        <v/>
      </c>
      <c r="AB706" s="4" t="str">
        <f t="shared" si="14"/>
        <v/>
      </c>
      <c r="AC706" s="4">
        <v>0.39007879465900996</v>
      </c>
      <c r="AD706" s="4">
        <f t="shared" si="15"/>
        <v>-0.49442550173029359</v>
      </c>
      <c r="AE706" s="4" t="e">
        <f t="shared" si="16"/>
        <v>#VALUE!</v>
      </c>
      <c r="AF706" s="3" t="e">
        <f t="shared" si="17"/>
        <v>#VALUE!</v>
      </c>
      <c r="AG706" s="3"/>
      <c r="AH706" s="3"/>
      <c r="AI706" s="3"/>
      <c r="AJ706" s="3"/>
      <c r="AK706" s="3"/>
    </row>
    <row r="707" spans="1:37" ht="12.75" customHeight="1" x14ac:dyDescent="0.2">
      <c r="A707" s="14">
        <v>698</v>
      </c>
      <c r="B707" s="4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4"/>
      <c r="Y707" s="23"/>
      <c r="Z707" s="4" t="str">
        <f t="shared" si="12"/>
        <v/>
      </c>
      <c r="AA707" s="4" t="str">
        <f t="shared" si="13"/>
        <v/>
      </c>
      <c r="AB707" s="4" t="str">
        <f t="shared" si="14"/>
        <v/>
      </c>
      <c r="AC707" s="4">
        <v>0.39007879465900996</v>
      </c>
      <c r="AD707" s="4">
        <f t="shared" si="15"/>
        <v>-0.49442550173029359</v>
      </c>
      <c r="AE707" s="4" t="e">
        <f t="shared" si="16"/>
        <v>#VALUE!</v>
      </c>
      <c r="AF707" s="3" t="e">
        <f t="shared" si="17"/>
        <v>#VALUE!</v>
      </c>
      <c r="AG707" s="3"/>
      <c r="AH707" s="3"/>
      <c r="AI707" s="3"/>
      <c r="AJ707" s="3"/>
      <c r="AK707" s="3"/>
    </row>
    <row r="708" spans="1:37" ht="12.75" customHeight="1" x14ac:dyDescent="0.2">
      <c r="A708" s="14">
        <v>699</v>
      </c>
      <c r="B708" s="4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4"/>
      <c r="Y708" s="23"/>
      <c r="Z708" s="4" t="str">
        <f t="shared" si="12"/>
        <v/>
      </c>
      <c r="AA708" s="4" t="str">
        <f t="shared" si="13"/>
        <v/>
      </c>
      <c r="AB708" s="4" t="str">
        <f t="shared" si="14"/>
        <v/>
      </c>
      <c r="AC708" s="4">
        <v>0.39007879465900996</v>
      </c>
      <c r="AD708" s="4">
        <f t="shared" si="15"/>
        <v>-0.49442550173029359</v>
      </c>
      <c r="AE708" s="4" t="e">
        <f t="shared" si="16"/>
        <v>#VALUE!</v>
      </c>
      <c r="AF708" s="3" t="e">
        <f t="shared" si="17"/>
        <v>#VALUE!</v>
      </c>
      <c r="AG708" s="3"/>
      <c r="AH708" s="3"/>
      <c r="AI708" s="3"/>
      <c r="AJ708" s="3"/>
      <c r="AK708" s="3"/>
    </row>
    <row r="709" spans="1:37" ht="12.75" customHeight="1" x14ac:dyDescent="0.2">
      <c r="A709" s="14">
        <v>700</v>
      </c>
      <c r="B709" s="4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4"/>
      <c r="Y709" s="23"/>
      <c r="Z709" s="4" t="str">
        <f t="shared" si="12"/>
        <v/>
      </c>
      <c r="AA709" s="4" t="str">
        <f t="shared" si="13"/>
        <v/>
      </c>
      <c r="AB709" s="4" t="str">
        <f t="shared" si="14"/>
        <v/>
      </c>
      <c r="AC709" s="4">
        <v>0.38094622613168916</v>
      </c>
      <c r="AD709" s="4">
        <f t="shared" si="15"/>
        <v>-0.47956313790865562</v>
      </c>
      <c r="AE709" s="4" t="e">
        <f t="shared" si="16"/>
        <v>#VALUE!</v>
      </c>
      <c r="AF709" s="3" t="e">
        <f t="shared" si="17"/>
        <v>#VALUE!</v>
      </c>
      <c r="AG709" s="3"/>
      <c r="AH709" s="3"/>
      <c r="AI709" s="3"/>
      <c r="AJ709" s="3"/>
      <c r="AK709" s="3"/>
    </row>
    <row r="710" spans="1:37" ht="12.75" customHeight="1" x14ac:dyDescent="0.2">
      <c r="A710" s="14">
        <v>701</v>
      </c>
      <c r="B710" s="4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4"/>
      <c r="Y710" s="23"/>
      <c r="Z710" s="4" t="str">
        <f t="shared" si="12"/>
        <v/>
      </c>
      <c r="AA710" s="4" t="str">
        <f t="shared" si="13"/>
        <v/>
      </c>
      <c r="AB710" s="4" t="str">
        <f t="shared" si="14"/>
        <v/>
      </c>
      <c r="AC710" s="4">
        <v>0.38094622613168916</v>
      </c>
      <c r="AD710" s="4">
        <f t="shared" si="15"/>
        <v>-0.47956313790865562</v>
      </c>
      <c r="AE710" s="4" t="e">
        <f t="shared" si="16"/>
        <v>#VALUE!</v>
      </c>
      <c r="AF710" s="3" t="e">
        <f t="shared" si="17"/>
        <v>#VALUE!</v>
      </c>
      <c r="AG710" s="3"/>
      <c r="AH710" s="3"/>
      <c r="AI710" s="3"/>
      <c r="AJ710" s="3"/>
      <c r="AK710" s="3"/>
    </row>
    <row r="711" spans="1:37" ht="12.75" customHeight="1" x14ac:dyDescent="0.2">
      <c r="A711" s="14">
        <v>702</v>
      </c>
      <c r="B711" s="4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4"/>
      <c r="Y711" s="23"/>
      <c r="Z711" s="4" t="str">
        <f t="shared" si="12"/>
        <v/>
      </c>
      <c r="AA711" s="4" t="str">
        <f t="shared" si="13"/>
        <v/>
      </c>
      <c r="AB711" s="4" t="str">
        <f t="shared" si="14"/>
        <v/>
      </c>
      <c r="AC711" s="4">
        <v>0.38094622613168916</v>
      </c>
      <c r="AD711" s="4">
        <f t="shared" si="15"/>
        <v>-0.47956313790865562</v>
      </c>
      <c r="AE711" s="4" t="e">
        <f t="shared" si="16"/>
        <v>#VALUE!</v>
      </c>
      <c r="AF711" s="3" t="e">
        <f t="shared" si="17"/>
        <v>#VALUE!</v>
      </c>
      <c r="AG711" s="3"/>
      <c r="AH711" s="3"/>
      <c r="AI711" s="3"/>
      <c r="AJ711" s="3"/>
      <c r="AK711" s="3"/>
    </row>
    <row r="712" spans="1:37" ht="12.75" customHeight="1" x14ac:dyDescent="0.2">
      <c r="A712" s="14">
        <v>703</v>
      </c>
      <c r="B712" s="4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4"/>
      <c r="Y712" s="23"/>
      <c r="Z712" s="4" t="str">
        <f t="shared" si="12"/>
        <v/>
      </c>
      <c r="AA712" s="4" t="str">
        <f t="shared" si="13"/>
        <v/>
      </c>
      <c r="AB712" s="4" t="str">
        <f t="shared" si="14"/>
        <v/>
      </c>
      <c r="AC712" s="4">
        <v>0.38094622613168916</v>
      </c>
      <c r="AD712" s="4">
        <f t="shared" si="15"/>
        <v>-0.47956313790865562</v>
      </c>
      <c r="AE712" s="4" t="e">
        <f t="shared" si="16"/>
        <v>#VALUE!</v>
      </c>
      <c r="AF712" s="3" t="e">
        <f t="shared" si="17"/>
        <v>#VALUE!</v>
      </c>
      <c r="AG712" s="3"/>
      <c r="AH712" s="3"/>
      <c r="AI712" s="3"/>
      <c r="AJ712" s="3"/>
      <c r="AK712" s="3"/>
    </row>
    <row r="713" spans="1:37" ht="12.75" customHeight="1" x14ac:dyDescent="0.2">
      <c r="A713" s="14">
        <v>704</v>
      </c>
      <c r="B713" s="4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4"/>
      <c r="Y713" s="23"/>
      <c r="Z713" s="4" t="str">
        <f t="shared" si="12"/>
        <v/>
      </c>
      <c r="AA713" s="4" t="str">
        <f t="shared" si="13"/>
        <v/>
      </c>
      <c r="AB713" s="4" t="str">
        <f t="shared" si="14"/>
        <v/>
      </c>
      <c r="AC713" s="4">
        <v>0.38094622613168916</v>
      </c>
      <c r="AD713" s="4">
        <f t="shared" si="15"/>
        <v>-0.47956313790865562</v>
      </c>
      <c r="AE713" s="4" t="e">
        <f t="shared" si="16"/>
        <v>#VALUE!</v>
      </c>
      <c r="AF713" s="3" t="e">
        <f t="shared" si="17"/>
        <v>#VALUE!</v>
      </c>
      <c r="AG713" s="3"/>
      <c r="AH713" s="3"/>
      <c r="AI713" s="3"/>
      <c r="AJ713" s="3"/>
      <c r="AK713" s="3"/>
    </row>
    <row r="714" spans="1:37" ht="12.75" customHeight="1" x14ac:dyDescent="0.2">
      <c r="A714" s="14">
        <v>705</v>
      </c>
      <c r="B714" s="4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4"/>
      <c r="Y714" s="23"/>
      <c r="Z714" s="4" t="str">
        <f t="shared" si="12"/>
        <v/>
      </c>
      <c r="AA714" s="4" t="str">
        <f t="shared" si="13"/>
        <v/>
      </c>
      <c r="AB714" s="4" t="str">
        <f t="shared" si="14"/>
        <v/>
      </c>
      <c r="AC714" s="4">
        <v>0.38094622613168916</v>
      </c>
      <c r="AD714" s="4">
        <f t="shared" si="15"/>
        <v>-0.47956313790865562</v>
      </c>
      <c r="AE714" s="4" t="e">
        <f t="shared" si="16"/>
        <v>#VALUE!</v>
      </c>
      <c r="AF714" s="3" t="e">
        <f t="shared" si="17"/>
        <v>#VALUE!</v>
      </c>
      <c r="AG714" s="3"/>
      <c r="AH714" s="3"/>
      <c r="AI714" s="3"/>
      <c r="AJ714" s="3"/>
      <c r="AK714" s="3"/>
    </row>
    <row r="715" spans="1:37" ht="12.75" customHeight="1" x14ac:dyDescent="0.2">
      <c r="A715" s="14">
        <v>706</v>
      </c>
      <c r="B715" s="4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4"/>
      <c r="Y715" s="23"/>
      <c r="Z715" s="4" t="str">
        <f t="shared" si="12"/>
        <v/>
      </c>
      <c r="AA715" s="4" t="str">
        <f t="shared" si="13"/>
        <v/>
      </c>
      <c r="AB715" s="4" t="str">
        <f t="shared" si="14"/>
        <v/>
      </c>
      <c r="AC715" s="4">
        <v>0.38094622613168916</v>
      </c>
      <c r="AD715" s="4">
        <f t="shared" si="15"/>
        <v>-0.47956313790865562</v>
      </c>
      <c r="AE715" s="4" t="e">
        <f t="shared" si="16"/>
        <v>#VALUE!</v>
      </c>
      <c r="AF715" s="3" t="e">
        <f t="shared" si="17"/>
        <v>#VALUE!</v>
      </c>
      <c r="AG715" s="3"/>
      <c r="AH715" s="3"/>
      <c r="AI715" s="3"/>
      <c r="AJ715" s="3"/>
      <c r="AK715" s="3"/>
    </row>
    <row r="716" spans="1:37" ht="12.75" customHeight="1" x14ac:dyDescent="0.2">
      <c r="A716" s="14">
        <v>707</v>
      </c>
      <c r="B716" s="4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4"/>
      <c r="Y716" s="23"/>
      <c r="Z716" s="4" t="str">
        <f t="shared" si="12"/>
        <v/>
      </c>
      <c r="AA716" s="4" t="str">
        <f t="shared" si="13"/>
        <v/>
      </c>
      <c r="AB716" s="4" t="str">
        <f t="shared" si="14"/>
        <v/>
      </c>
      <c r="AC716" s="4">
        <v>0.38094622613168916</v>
      </c>
      <c r="AD716" s="4">
        <f t="shared" si="15"/>
        <v>-0.47956313790865562</v>
      </c>
      <c r="AE716" s="4" t="e">
        <f t="shared" si="16"/>
        <v>#VALUE!</v>
      </c>
      <c r="AF716" s="3" t="e">
        <f t="shared" si="17"/>
        <v>#VALUE!</v>
      </c>
      <c r="AG716" s="3"/>
      <c r="AH716" s="3"/>
      <c r="AI716" s="3"/>
      <c r="AJ716" s="3"/>
      <c r="AK716" s="3"/>
    </row>
    <row r="717" spans="1:37" ht="12.75" customHeight="1" x14ac:dyDescent="0.2">
      <c r="A717" s="14">
        <v>708</v>
      </c>
      <c r="B717" s="4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4"/>
      <c r="Y717" s="23"/>
      <c r="Z717" s="4" t="str">
        <f t="shared" si="12"/>
        <v/>
      </c>
      <c r="AA717" s="4" t="str">
        <f t="shared" si="13"/>
        <v/>
      </c>
      <c r="AB717" s="4" t="str">
        <f t="shared" si="14"/>
        <v/>
      </c>
      <c r="AC717" s="4">
        <v>0.38094622613168916</v>
      </c>
      <c r="AD717" s="4">
        <f t="shared" si="15"/>
        <v>-0.47956313790865562</v>
      </c>
      <c r="AE717" s="4" t="e">
        <f t="shared" si="16"/>
        <v>#VALUE!</v>
      </c>
      <c r="AF717" s="3" t="e">
        <f t="shared" si="17"/>
        <v>#VALUE!</v>
      </c>
      <c r="AG717" s="3"/>
      <c r="AH717" s="3"/>
      <c r="AI717" s="3"/>
      <c r="AJ717" s="3"/>
      <c r="AK717" s="3"/>
    </row>
    <row r="718" spans="1:37" ht="12.75" customHeight="1" x14ac:dyDescent="0.2">
      <c r="A718" s="14">
        <v>709</v>
      </c>
      <c r="B718" s="4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4"/>
      <c r="Y718" s="23"/>
      <c r="Z718" s="4" t="str">
        <f t="shared" si="12"/>
        <v/>
      </c>
      <c r="AA718" s="4" t="str">
        <f t="shared" si="13"/>
        <v/>
      </c>
      <c r="AB718" s="4" t="str">
        <f t="shared" si="14"/>
        <v/>
      </c>
      <c r="AC718" s="4">
        <v>0.37187949964086431</v>
      </c>
      <c r="AD718" s="4">
        <f t="shared" si="15"/>
        <v>-0.4650232513677014</v>
      </c>
      <c r="AE718" s="4" t="e">
        <f t="shared" si="16"/>
        <v>#VALUE!</v>
      </c>
      <c r="AF718" s="3" t="e">
        <f t="shared" si="17"/>
        <v>#VALUE!</v>
      </c>
      <c r="AG718" s="3"/>
      <c r="AH718" s="3"/>
      <c r="AI718" s="3"/>
      <c r="AJ718" s="3"/>
      <c r="AK718" s="3"/>
    </row>
    <row r="719" spans="1:37" ht="12.75" customHeight="1" x14ac:dyDescent="0.2">
      <c r="A719" s="14">
        <v>710</v>
      </c>
      <c r="B719" s="4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4"/>
      <c r="Y719" s="23"/>
      <c r="Z719" s="4" t="str">
        <f t="shared" si="12"/>
        <v/>
      </c>
      <c r="AA719" s="4" t="str">
        <f t="shared" si="13"/>
        <v/>
      </c>
      <c r="AB719" s="4" t="str">
        <f t="shared" si="14"/>
        <v/>
      </c>
      <c r="AC719" s="4">
        <v>0.37187949964086431</v>
      </c>
      <c r="AD719" s="4">
        <f t="shared" si="15"/>
        <v>-0.4650232513677014</v>
      </c>
      <c r="AE719" s="4" t="e">
        <f t="shared" si="16"/>
        <v>#VALUE!</v>
      </c>
      <c r="AF719" s="3" t="e">
        <f t="shared" si="17"/>
        <v>#VALUE!</v>
      </c>
      <c r="AG719" s="3"/>
      <c r="AH719" s="3"/>
      <c r="AI719" s="3"/>
      <c r="AJ719" s="3"/>
      <c r="AK719" s="3"/>
    </row>
    <row r="720" spans="1:37" ht="12.75" customHeight="1" x14ac:dyDescent="0.2">
      <c r="A720" s="14">
        <v>711</v>
      </c>
      <c r="B720" s="4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4"/>
      <c r="Y720" s="23"/>
      <c r="Z720" s="4" t="str">
        <f t="shared" si="12"/>
        <v/>
      </c>
      <c r="AA720" s="4" t="str">
        <f t="shared" si="13"/>
        <v/>
      </c>
      <c r="AB720" s="4" t="str">
        <f t="shared" si="14"/>
        <v/>
      </c>
      <c r="AC720" s="4">
        <v>0.37187949964086431</v>
      </c>
      <c r="AD720" s="4">
        <f t="shared" si="15"/>
        <v>-0.4650232513677014</v>
      </c>
      <c r="AE720" s="4" t="e">
        <f t="shared" si="16"/>
        <v>#VALUE!</v>
      </c>
      <c r="AF720" s="3" t="e">
        <f t="shared" si="17"/>
        <v>#VALUE!</v>
      </c>
      <c r="AG720" s="3"/>
      <c r="AH720" s="3"/>
      <c r="AI720" s="3"/>
      <c r="AJ720" s="3"/>
      <c r="AK720" s="3"/>
    </row>
    <row r="721" spans="1:37" ht="12.75" customHeight="1" x14ac:dyDescent="0.2">
      <c r="A721" s="14">
        <v>712</v>
      </c>
      <c r="B721" s="4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4"/>
      <c r="Y721" s="23"/>
      <c r="Z721" s="4" t="str">
        <f t="shared" si="12"/>
        <v/>
      </c>
      <c r="AA721" s="4" t="str">
        <f t="shared" si="13"/>
        <v/>
      </c>
      <c r="AB721" s="4" t="str">
        <f t="shared" si="14"/>
        <v/>
      </c>
      <c r="AC721" s="4">
        <v>0.37187949964086431</v>
      </c>
      <c r="AD721" s="4">
        <f t="shared" si="15"/>
        <v>-0.4650232513677014</v>
      </c>
      <c r="AE721" s="4" t="e">
        <f t="shared" si="16"/>
        <v>#VALUE!</v>
      </c>
      <c r="AF721" s="3" t="e">
        <f t="shared" si="17"/>
        <v>#VALUE!</v>
      </c>
      <c r="AG721" s="3"/>
      <c r="AH721" s="3"/>
      <c r="AI721" s="3"/>
      <c r="AJ721" s="3"/>
      <c r="AK721" s="3"/>
    </row>
    <row r="722" spans="1:37" ht="12.75" customHeight="1" x14ac:dyDescent="0.2">
      <c r="A722" s="14">
        <v>713</v>
      </c>
      <c r="B722" s="4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4"/>
      <c r="Y722" s="23"/>
      <c r="Z722" s="4" t="str">
        <f t="shared" si="12"/>
        <v/>
      </c>
      <c r="AA722" s="4" t="str">
        <f t="shared" si="13"/>
        <v/>
      </c>
      <c r="AB722" s="4" t="str">
        <f t="shared" si="14"/>
        <v/>
      </c>
      <c r="AC722" s="4">
        <v>0.37187949964086431</v>
      </c>
      <c r="AD722" s="4">
        <f t="shared" si="15"/>
        <v>-0.4650232513677014</v>
      </c>
      <c r="AE722" s="4" t="e">
        <f t="shared" si="16"/>
        <v>#VALUE!</v>
      </c>
      <c r="AF722" s="3" t="e">
        <f t="shared" si="17"/>
        <v>#VALUE!</v>
      </c>
      <c r="AG722" s="3"/>
      <c r="AH722" s="3"/>
      <c r="AI722" s="3"/>
      <c r="AJ722" s="3"/>
      <c r="AK722" s="3"/>
    </row>
    <row r="723" spans="1:37" ht="12.75" customHeight="1" x14ac:dyDescent="0.2">
      <c r="A723" s="14">
        <v>714</v>
      </c>
      <c r="B723" s="4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4"/>
      <c r="Y723" s="23"/>
      <c r="Z723" s="4" t="str">
        <f t="shared" si="12"/>
        <v/>
      </c>
      <c r="AA723" s="4" t="str">
        <f t="shared" si="13"/>
        <v/>
      </c>
      <c r="AB723" s="4" t="str">
        <f t="shared" si="14"/>
        <v/>
      </c>
      <c r="AC723" s="4">
        <v>0.37187949964086431</v>
      </c>
      <c r="AD723" s="4">
        <f t="shared" si="15"/>
        <v>-0.4650232513677014</v>
      </c>
      <c r="AE723" s="4" t="e">
        <f t="shared" si="16"/>
        <v>#VALUE!</v>
      </c>
      <c r="AF723" s="3" t="e">
        <f t="shared" si="17"/>
        <v>#VALUE!</v>
      </c>
      <c r="AG723" s="3"/>
      <c r="AH723" s="3"/>
      <c r="AI723" s="3"/>
      <c r="AJ723" s="3"/>
      <c r="AK723" s="3"/>
    </row>
    <row r="724" spans="1:37" ht="12.75" customHeight="1" x14ac:dyDescent="0.2">
      <c r="A724" s="14">
        <v>715</v>
      </c>
      <c r="B724" s="4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4"/>
      <c r="Y724" s="23"/>
      <c r="Z724" s="4" t="str">
        <f t="shared" si="12"/>
        <v/>
      </c>
      <c r="AA724" s="4" t="str">
        <f t="shared" si="13"/>
        <v/>
      </c>
      <c r="AB724" s="4" t="str">
        <f t="shared" si="14"/>
        <v/>
      </c>
      <c r="AC724" s="4">
        <v>0.37187949964086431</v>
      </c>
      <c r="AD724" s="4">
        <f t="shared" si="15"/>
        <v>-0.4650232513677014</v>
      </c>
      <c r="AE724" s="4" t="e">
        <f t="shared" si="16"/>
        <v>#VALUE!</v>
      </c>
      <c r="AF724" s="3" t="e">
        <f t="shared" si="17"/>
        <v>#VALUE!</v>
      </c>
      <c r="AG724" s="3"/>
      <c r="AH724" s="3"/>
      <c r="AI724" s="3"/>
      <c r="AJ724" s="3"/>
      <c r="AK724" s="3"/>
    </row>
    <row r="725" spans="1:37" ht="12.75" customHeight="1" x14ac:dyDescent="0.2">
      <c r="A725" s="14">
        <v>716</v>
      </c>
      <c r="B725" s="4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4"/>
      <c r="Y725" s="23"/>
      <c r="Z725" s="4" t="str">
        <f t="shared" si="12"/>
        <v/>
      </c>
      <c r="AA725" s="4" t="str">
        <f t="shared" si="13"/>
        <v/>
      </c>
      <c r="AB725" s="4" t="str">
        <f t="shared" si="14"/>
        <v/>
      </c>
      <c r="AC725" s="4">
        <v>0.36288327341627902</v>
      </c>
      <c r="AD725" s="4">
        <f t="shared" si="15"/>
        <v>-0.45080239595268962</v>
      </c>
      <c r="AE725" s="4" t="e">
        <f t="shared" si="16"/>
        <v>#VALUE!</v>
      </c>
      <c r="AF725" s="3" t="e">
        <f t="shared" si="17"/>
        <v>#VALUE!</v>
      </c>
      <c r="AG725" s="3"/>
      <c r="AH725" s="3"/>
      <c r="AI725" s="3"/>
      <c r="AJ725" s="3"/>
      <c r="AK725" s="3"/>
    </row>
    <row r="726" spans="1:37" ht="12.75" customHeight="1" x14ac:dyDescent="0.2">
      <c r="A726" s="14">
        <v>717</v>
      </c>
      <c r="B726" s="4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4"/>
      <c r="Y726" s="23"/>
      <c r="Z726" s="4" t="str">
        <f t="shared" si="12"/>
        <v/>
      </c>
      <c r="AA726" s="4" t="str">
        <f t="shared" si="13"/>
        <v/>
      </c>
      <c r="AB726" s="4" t="str">
        <f t="shared" si="14"/>
        <v/>
      </c>
      <c r="AC726" s="4">
        <v>0.36288327341627902</v>
      </c>
      <c r="AD726" s="4">
        <f t="shared" si="15"/>
        <v>-0.45080239595268962</v>
      </c>
      <c r="AE726" s="4" t="e">
        <f t="shared" si="16"/>
        <v>#VALUE!</v>
      </c>
      <c r="AF726" s="3" t="e">
        <f t="shared" si="17"/>
        <v>#VALUE!</v>
      </c>
      <c r="AG726" s="3"/>
      <c r="AH726" s="3"/>
      <c r="AI726" s="3"/>
      <c r="AJ726" s="3"/>
      <c r="AK726" s="3"/>
    </row>
    <row r="727" spans="1:37" ht="12.75" customHeight="1" x14ac:dyDescent="0.2">
      <c r="A727" s="14">
        <v>718</v>
      </c>
      <c r="B727" s="4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4"/>
      <c r="Y727" s="23"/>
      <c r="Z727" s="4" t="str">
        <f t="shared" si="12"/>
        <v/>
      </c>
      <c r="AA727" s="4" t="str">
        <f t="shared" si="13"/>
        <v/>
      </c>
      <c r="AB727" s="4" t="str">
        <f t="shared" si="14"/>
        <v/>
      </c>
      <c r="AC727" s="4">
        <v>0.36288327341627902</v>
      </c>
      <c r="AD727" s="4">
        <f t="shared" si="15"/>
        <v>-0.45080239595268962</v>
      </c>
      <c r="AE727" s="4" t="e">
        <f t="shared" si="16"/>
        <v>#VALUE!</v>
      </c>
      <c r="AF727" s="3" t="e">
        <f t="shared" si="17"/>
        <v>#VALUE!</v>
      </c>
      <c r="AG727" s="3"/>
      <c r="AH727" s="3"/>
      <c r="AI727" s="3"/>
      <c r="AJ727" s="3"/>
      <c r="AK727" s="3"/>
    </row>
    <row r="728" spans="1:37" ht="12.75" customHeight="1" x14ac:dyDescent="0.2">
      <c r="A728" s="14">
        <v>719</v>
      </c>
      <c r="B728" s="4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4"/>
      <c r="Y728" s="23"/>
      <c r="Z728" s="4" t="str">
        <f t="shared" si="12"/>
        <v/>
      </c>
      <c r="AA728" s="4" t="str">
        <f t="shared" si="13"/>
        <v/>
      </c>
      <c r="AB728" s="4" t="str">
        <f t="shared" si="14"/>
        <v/>
      </c>
      <c r="AC728" s="4">
        <v>0.36288327341627902</v>
      </c>
      <c r="AD728" s="4">
        <f t="shared" si="15"/>
        <v>-0.45080239595268962</v>
      </c>
      <c r="AE728" s="4" t="e">
        <f t="shared" si="16"/>
        <v>#VALUE!</v>
      </c>
      <c r="AF728" s="3" t="e">
        <f t="shared" si="17"/>
        <v>#VALUE!</v>
      </c>
      <c r="AG728" s="3"/>
      <c r="AH728" s="3"/>
      <c r="AI728" s="3"/>
      <c r="AJ728" s="3"/>
      <c r="AK728" s="3"/>
    </row>
    <row r="729" spans="1:37" ht="12.75" customHeight="1" x14ac:dyDescent="0.2">
      <c r="A729" s="14">
        <v>720</v>
      </c>
      <c r="B729" s="4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4"/>
      <c r="Y729" s="23"/>
      <c r="Z729" s="4" t="str">
        <f t="shared" si="12"/>
        <v/>
      </c>
      <c r="AA729" s="4" t="str">
        <f t="shared" si="13"/>
        <v/>
      </c>
      <c r="AB729" s="4" t="str">
        <f t="shared" si="14"/>
        <v/>
      </c>
      <c r="AC729" s="4">
        <v>0.36288327341627902</v>
      </c>
      <c r="AD729" s="4">
        <f t="shared" si="15"/>
        <v>-0.45080239595268962</v>
      </c>
      <c r="AE729" s="4" t="e">
        <f t="shared" si="16"/>
        <v>#VALUE!</v>
      </c>
      <c r="AF729" s="3" t="e">
        <f t="shared" si="17"/>
        <v>#VALUE!</v>
      </c>
      <c r="AG729" s="3"/>
      <c r="AH729" s="3"/>
      <c r="AI729" s="3"/>
      <c r="AJ729" s="3"/>
      <c r="AK729" s="3"/>
    </row>
    <row r="730" spans="1:37" ht="12.75" customHeight="1" x14ac:dyDescent="0.2">
      <c r="A730" s="14">
        <v>721</v>
      </c>
      <c r="B730" s="4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4"/>
      <c r="Y730" s="23"/>
      <c r="Z730" s="4" t="str">
        <f t="shared" si="12"/>
        <v/>
      </c>
      <c r="AA730" s="4" t="str">
        <f t="shared" si="13"/>
        <v/>
      </c>
      <c r="AB730" s="4" t="str">
        <f t="shared" si="14"/>
        <v/>
      </c>
      <c r="AC730" s="4">
        <v>0.35396208947771135</v>
      </c>
      <c r="AD730" s="4">
        <f t="shared" si="15"/>
        <v>-0.43689709190241088</v>
      </c>
      <c r="AE730" s="4" t="e">
        <f t="shared" si="16"/>
        <v>#VALUE!</v>
      </c>
      <c r="AF730" s="3" t="e">
        <f t="shared" si="17"/>
        <v>#VALUE!</v>
      </c>
      <c r="AG730" s="3"/>
      <c r="AH730" s="3"/>
      <c r="AI730" s="3"/>
      <c r="AJ730" s="3"/>
      <c r="AK730" s="3"/>
    </row>
    <row r="731" spans="1:37" ht="12.75" customHeight="1" x14ac:dyDescent="0.2">
      <c r="A731" s="14">
        <v>722</v>
      </c>
      <c r="B731" s="4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4"/>
      <c r="Y731" s="23"/>
      <c r="Z731" s="4" t="str">
        <f t="shared" si="12"/>
        <v/>
      </c>
      <c r="AA731" s="4" t="str">
        <f t="shared" si="13"/>
        <v/>
      </c>
      <c r="AB731" s="4" t="str">
        <f t="shared" si="14"/>
        <v/>
      </c>
      <c r="AC731" s="4">
        <v>0.35396208947771135</v>
      </c>
      <c r="AD731" s="4">
        <f t="shared" si="15"/>
        <v>-0.43689709190241088</v>
      </c>
      <c r="AE731" s="4" t="e">
        <f t="shared" si="16"/>
        <v>#VALUE!</v>
      </c>
      <c r="AF731" s="3" t="e">
        <f t="shared" si="17"/>
        <v>#VALUE!</v>
      </c>
      <c r="AG731" s="3"/>
      <c r="AH731" s="3"/>
      <c r="AI731" s="3"/>
      <c r="AJ731" s="3"/>
      <c r="AK731" s="3"/>
    </row>
    <row r="732" spans="1:37" ht="12.75" customHeight="1" x14ac:dyDescent="0.2">
      <c r="A732" s="14">
        <v>723</v>
      </c>
      <c r="B732" s="4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4"/>
      <c r="Y732" s="23"/>
      <c r="Z732" s="4" t="str">
        <f t="shared" si="12"/>
        <v/>
      </c>
      <c r="AA732" s="4" t="str">
        <f t="shared" si="13"/>
        <v/>
      </c>
      <c r="AB732" s="4" t="str">
        <f t="shared" si="14"/>
        <v/>
      </c>
      <c r="AC732" s="4">
        <v>0.35396208947771135</v>
      </c>
      <c r="AD732" s="4">
        <f t="shared" si="15"/>
        <v>-0.43689709190241088</v>
      </c>
      <c r="AE732" s="4" t="e">
        <f t="shared" si="16"/>
        <v>#VALUE!</v>
      </c>
      <c r="AF732" s="3" t="e">
        <f t="shared" si="17"/>
        <v>#VALUE!</v>
      </c>
      <c r="AG732" s="3"/>
      <c r="AH732" s="3"/>
      <c r="AI732" s="3"/>
      <c r="AJ732" s="3"/>
      <c r="AK732" s="3"/>
    </row>
    <row r="733" spans="1:37" ht="12.75" customHeight="1" x14ac:dyDescent="0.2">
      <c r="A733" s="14">
        <v>724</v>
      </c>
      <c r="B733" s="4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4"/>
      <c r="Y733" s="23"/>
      <c r="Z733" s="4" t="str">
        <f t="shared" si="12"/>
        <v/>
      </c>
      <c r="AA733" s="4" t="str">
        <f t="shared" si="13"/>
        <v/>
      </c>
      <c r="AB733" s="4" t="str">
        <f t="shared" si="14"/>
        <v/>
      </c>
      <c r="AC733" s="4">
        <v>0.35396208947771135</v>
      </c>
      <c r="AD733" s="4">
        <f t="shared" si="15"/>
        <v>-0.43689709190241088</v>
      </c>
      <c r="AE733" s="4" t="e">
        <f t="shared" si="16"/>
        <v>#VALUE!</v>
      </c>
      <c r="AF733" s="3" t="e">
        <f t="shared" si="17"/>
        <v>#VALUE!</v>
      </c>
      <c r="AG733" s="3"/>
      <c r="AH733" s="3"/>
      <c r="AI733" s="3"/>
      <c r="AJ733" s="3"/>
      <c r="AK733" s="3"/>
    </row>
    <row r="734" spans="1:37" ht="12.75" customHeight="1" x14ac:dyDescent="0.2">
      <c r="A734" s="14">
        <v>725</v>
      </c>
      <c r="B734" s="4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4"/>
      <c r="Y734" s="23"/>
      <c r="Z734" s="4" t="str">
        <f t="shared" si="12"/>
        <v/>
      </c>
      <c r="AA734" s="4" t="str">
        <f t="shared" si="13"/>
        <v/>
      </c>
      <c r="AB734" s="4" t="str">
        <f t="shared" si="14"/>
        <v/>
      </c>
      <c r="AC734" s="4">
        <v>0.35396208947771135</v>
      </c>
      <c r="AD734" s="4">
        <f t="shared" si="15"/>
        <v>-0.43689709190241088</v>
      </c>
      <c r="AE734" s="4" t="e">
        <f t="shared" si="16"/>
        <v>#VALUE!</v>
      </c>
      <c r="AF734" s="3" t="e">
        <f t="shared" si="17"/>
        <v>#VALUE!</v>
      </c>
      <c r="AG734" s="3"/>
      <c r="AH734" s="3"/>
      <c r="AI734" s="3"/>
      <c r="AJ734" s="3"/>
      <c r="AK734" s="3"/>
    </row>
    <row r="735" spans="1:37" ht="12.75" customHeight="1" x14ac:dyDescent="0.2">
      <c r="A735" s="14">
        <v>726</v>
      </c>
      <c r="B735" s="4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4"/>
      <c r="Y735" s="23"/>
      <c r="Z735" s="4" t="str">
        <f t="shared" si="12"/>
        <v/>
      </c>
      <c r="AA735" s="4" t="str">
        <f t="shared" si="13"/>
        <v/>
      </c>
      <c r="AB735" s="4" t="str">
        <f t="shared" si="14"/>
        <v/>
      </c>
      <c r="AC735" s="4">
        <v>0.35396208947771135</v>
      </c>
      <c r="AD735" s="4">
        <f t="shared" si="15"/>
        <v>-0.43689709190241088</v>
      </c>
      <c r="AE735" s="4" t="e">
        <f t="shared" si="16"/>
        <v>#VALUE!</v>
      </c>
      <c r="AF735" s="3" t="e">
        <f t="shared" si="17"/>
        <v>#VALUE!</v>
      </c>
      <c r="AG735" s="3"/>
      <c r="AH735" s="3"/>
      <c r="AI735" s="3"/>
      <c r="AJ735" s="3"/>
      <c r="AK735" s="3"/>
    </row>
    <row r="736" spans="1:37" ht="12.75" customHeight="1" x14ac:dyDescent="0.2">
      <c r="A736" s="14">
        <v>727</v>
      </c>
      <c r="B736" s="4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4"/>
      <c r="Y736" s="23"/>
      <c r="Z736" s="4" t="str">
        <f t="shared" si="12"/>
        <v/>
      </c>
      <c r="AA736" s="4" t="str">
        <f t="shared" si="13"/>
        <v/>
      </c>
      <c r="AB736" s="4" t="str">
        <f t="shared" si="14"/>
        <v/>
      </c>
      <c r="AC736" s="4">
        <v>0.35396208947771135</v>
      </c>
      <c r="AD736" s="4">
        <f t="shared" si="15"/>
        <v>-0.43689709190241088</v>
      </c>
      <c r="AE736" s="4" t="e">
        <f t="shared" si="16"/>
        <v>#VALUE!</v>
      </c>
      <c r="AF736" s="3" t="e">
        <f t="shared" si="17"/>
        <v>#VALUE!</v>
      </c>
      <c r="AG736" s="3"/>
      <c r="AH736" s="3"/>
      <c r="AI736" s="3"/>
      <c r="AJ736" s="3"/>
      <c r="AK736" s="3"/>
    </row>
    <row r="737" spans="1:37" ht="12.75" customHeight="1" x14ac:dyDescent="0.2">
      <c r="A737" s="14">
        <v>728</v>
      </c>
      <c r="B737" s="4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4"/>
      <c r="Y737" s="23"/>
      <c r="Z737" s="4" t="str">
        <f t="shared" si="12"/>
        <v/>
      </c>
      <c r="AA737" s="4" t="str">
        <f t="shared" si="13"/>
        <v/>
      </c>
      <c r="AB737" s="4" t="str">
        <f t="shared" si="14"/>
        <v/>
      </c>
      <c r="AC737" s="4">
        <v>0.34512036679589952</v>
      </c>
      <c r="AD737" s="4">
        <f t="shared" si="15"/>
        <v>-0.42330382633455382</v>
      </c>
      <c r="AE737" s="4" t="e">
        <f t="shared" si="16"/>
        <v>#VALUE!</v>
      </c>
      <c r="AF737" s="3" t="e">
        <f t="shared" si="17"/>
        <v>#VALUE!</v>
      </c>
      <c r="AG737" s="3"/>
      <c r="AH737" s="3"/>
      <c r="AI737" s="3"/>
      <c r="AJ737" s="3"/>
      <c r="AK737" s="3"/>
    </row>
    <row r="738" spans="1:37" ht="12.75" customHeight="1" x14ac:dyDescent="0.2">
      <c r="A738" s="14">
        <v>729</v>
      </c>
      <c r="B738" s="4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4"/>
      <c r="Y738" s="23"/>
      <c r="Z738" s="4" t="str">
        <f t="shared" si="12"/>
        <v/>
      </c>
      <c r="AA738" s="4" t="str">
        <f t="shared" si="13"/>
        <v/>
      </c>
      <c r="AB738" s="4" t="str">
        <f t="shared" si="14"/>
        <v/>
      </c>
      <c r="AC738" s="4">
        <v>0.34512036679589952</v>
      </c>
      <c r="AD738" s="4">
        <f t="shared" si="15"/>
        <v>-0.42330382633455382</v>
      </c>
      <c r="AE738" s="4" t="e">
        <f t="shared" si="16"/>
        <v>#VALUE!</v>
      </c>
      <c r="AF738" s="3" t="e">
        <f t="shared" si="17"/>
        <v>#VALUE!</v>
      </c>
      <c r="AG738" s="3"/>
      <c r="AH738" s="3"/>
      <c r="AI738" s="3"/>
      <c r="AJ738" s="3"/>
      <c r="AK738" s="3"/>
    </row>
    <row r="739" spans="1:37" ht="12.75" customHeight="1" x14ac:dyDescent="0.2">
      <c r="A739" s="14">
        <v>730</v>
      </c>
      <c r="B739" s="4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4"/>
      <c r="Y739" s="23"/>
      <c r="Z739" s="4" t="str">
        <f t="shared" si="12"/>
        <v/>
      </c>
      <c r="AA739" s="4" t="str">
        <f t="shared" si="13"/>
        <v/>
      </c>
      <c r="AB739" s="4" t="str">
        <f t="shared" si="14"/>
        <v/>
      </c>
      <c r="AC739" s="4">
        <v>0.34512036679589952</v>
      </c>
      <c r="AD739" s="4">
        <f t="shared" si="15"/>
        <v>-0.42330382633455382</v>
      </c>
      <c r="AE739" s="4" t="e">
        <f t="shared" si="16"/>
        <v>#VALUE!</v>
      </c>
      <c r="AF739" s="3" t="e">
        <f t="shared" si="17"/>
        <v>#VALUE!</v>
      </c>
      <c r="AG739" s="3"/>
      <c r="AH739" s="3"/>
      <c r="AI739" s="3"/>
      <c r="AJ739" s="3"/>
      <c r="AK739" s="3"/>
    </row>
    <row r="740" spans="1:37" ht="12.75" customHeight="1" x14ac:dyDescent="0.2">
      <c r="A740" s="14">
        <v>731</v>
      </c>
      <c r="B740" s="4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4"/>
      <c r="Y740" s="23"/>
      <c r="Z740" s="4" t="str">
        <f t="shared" si="12"/>
        <v/>
      </c>
      <c r="AA740" s="4" t="str">
        <f t="shared" si="13"/>
        <v/>
      </c>
      <c r="AB740" s="4" t="str">
        <f t="shared" si="14"/>
        <v/>
      </c>
      <c r="AC740" s="4">
        <v>0.34512036679589952</v>
      </c>
      <c r="AD740" s="4">
        <f t="shared" si="15"/>
        <v>-0.42330382633455382</v>
      </c>
      <c r="AE740" s="4" t="e">
        <f t="shared" si="16"/>
        <v>#VALUE!</v>
      </c>
      <c r="AF740" s="3" t="e">
        <f t="shared" si="17"/>
        <v>#VALUE!</v>
      </c>
      <c r="AG740" s="3"/>
      <c r="AH740" s="3"/>
      <c r="AI740" s="3"/>
      <c r="AJ740" s="3"/>
      <c r="AK740" s="3"/>
    </row>
    <row r="741" spans="1:37" ht="12.75" customHeight="1" x14ac:dyDescent="0.2">
      <c r="A741" s="14">
        <v>732</v>
      </c>
      <c r="B741" s="4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4"/>
      <c r="Y741" s="23"/>
      <c r="Z741" s="4" t="str">
        <f t="shared" si="12"/>
        <v/>
      </c>
      <c r="AA741" s="4" t="str">
        <f t="shared" si="13"/>
        <v/>
      </c>
      <c r="AB741" s="4" t="str">
        <f t="shared" si="14"/>
        <v/>
      </c>
      <c r="AC741" s="4">
        <v>0.34512036679589952</v>
      </c>
      <c r="AD741" s="4">
        <f t="shared" si="15"/>
        <v>-0.42330382633455382</v>
      </c>
      <c r="AE741" s="4" t="e">
        <f t="shared" si="16"/>
        <v>#VALUE!</v>
      </c>
      <c r="AF741" s="3" t="e">
        <f t="shared" si="17"/>
        <v>#VALUE!</v>
      </c>
      <c r="AG741" s="3"/>
      <c r="AH741" s="3"/>
      <c r="AI741" s="3"/>
      <c r="AJ741" s="3"/>
      <c r="AK741" s="3"/>
    </row>
    <row r="742" spans="1:37" ht="12.75" customHeight="1" x14ac:dyDescent="0.2">
      <c r="A742" s="14">
        <v>733</v>
      </c>
      <c r="B742" s="4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4"/>
      <c r="Y742" s="23"/>
      <c r="Z742" s="4" t="str">
        <f t="shared" si="12"/>
        <v/>
      </c>
      <c r="AA742" s="4" t="str">
        <f t="shared" si="13"/>
        <v/>
      </c>
      <c r="AB742" s="4" t="str">
        <f t="shared" si="14"/>
        <v/>
      </c>
      <c r="AC742" s="4">
        <v>0.34512036679589952</v>
      </c>
      <c r="AD742" s="4">
        <f t="shared" si="15"/>
        <v>-0.42330382633455382</v>
      </c>
      <c r="AE742" s="4" t="e">
        <f t="shared" si="16"/>
        <v>#VALUE!</v>
      </c>
      <c r="AF742" s="3" t="e">
        <f t="shared" si="17"/>
        <v>#VALUE!</v>
      </c>
      <c r="AG742" s="3"/>
      <c r="AH742" s="3"/>
      <c r="AI742" s="3"/>
      <c r="AJ742" s="3"/>
      <c r="AK742" s="3"/>
    </row>
    <row r="743" spans="1:37" ht="12.75" customHeight="1" x14ac:dyDescent="0.2">
      <c r="A743" s="14">
        <v>734</v>
      </c>
      <c r="B743" s="4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4"/>
      <c r="Y743" s="23"/>
      <c r="Z743" s="4" t="str">
        <f t="shared" si="12"/>
        <v/>
      </c>
      <c r="AA743" s="4" t="str">
        <f t="shared" si="13"/>
        <v/>
      </c>
      <c r="AB743" s="4" t="str">
        <f t="shared" si="14"/>
        <v/>
      </c>
      <c r="AC743" s="4">
        <v>0.34512036679589952</v>
      </c>
      <c r="AD743" s="4">
        <f t="shared" si="15"/>
        <v>-0.42330382633455382</v>
      </c>
      <c r="AE743" s="4" t="e">
        <f t="shared" si="16"/>
        <v>#VALUE!</v>
      </c>
      <c r="AF743" s="3" t="e">
        <f t="shared" si="17"/>
        <v>#VALUE!</v>
      </c>
      <c r="AG743" s="3"/>
      <c r="AH743" s="3"/>
      <c r="AI743" s="3"/>
      <c r="AJ743" s="3"/>
      <c r="AK743" s="3"/>
    </row>
    <row r="744" spans="1:37" ht="12.75" customHeight="1" x14ac:dyDescent="0.2">
      <c r="A744" s="14">
        <v>735</v>
      </c>
      <c r="B744" s="4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4"/>
      <c r="Y744" s="23"/>
      <c r="Z744" s="4" t="str">
        <f t="shared" si="12"/>
        <v/>
      </c>
      <c r="AA744" s="4" t="str">
        <f t="shared" si="13"/>
        <v/>
      </c>
      <c r="AB744" s="4" t="str">
        <f t="shared" si="14"/>
        <v/>
      </c>
      <c r="AC744" s="4">
        <v>0.34512036679589952</v>
      </c>
      <c r="AD744" s="4">
        <f t="shared" si="15"/>
        <v>-0.42330382633455382</v>
      </c>
      <c r="AE744" s="4" t="e">
        <f t="shared" si="16"/>
        <v>#VALUE!</v>
      </c>
      <c r="AF744" s="3" t="e">
        <f t="shared" si="17"/>
        <v>#VALUE!</v>
      </c>
      <c r="AG744" s="3"/>
      <c r="AH744" s="3"/>
      <c r="AI744" s="3"/>
      <c r="AJ744" s="3"/>
      <c r="AK744" s="3"/>
    </row>
    <row r="745" spans="1:37" ht="12.75" customHeight="1" x14ac:dyDescent="0.2">
      <c r="A745" s="14">
        <v>736</v>
      </c>
      <c r="B745" s="4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4"/>
      <c r="Y745" s="23"/>
      <c r="Z745" s="4" t="str">
        <f t="shared" si="12"/>
        <v/>
      </c>
      <c r="AA745" s="4" t="str">
        <f t="shared" si="13"/>
        <v/>
      </c>
      <c r="AB745" s="4" t="str">
        <f t="shared" si="14"/>
        <v/>
      </c>
      <c r="AC745" s="4">
        <v>0.34512036679589952</v>
      </c>
      <c r="AD745" s="4">
        <f t="shared" si="15"/>
        <v>-0.42330382633455382</v>
      </c>
      <c r="AE745" s="4" t="e">
        <f t="shared" si="16"/>
        <v>#VALUE!</v>
      </c>
      <c r="AF745" s="3" t="e">
        <f t="shared" si="17"/>
        <v>#VALUE!</v>
      </c>
      <c r="AG745" s="3"/>
      <c r="AH745" s="3"/>
      <c r="AI745" s="3"/>
      <c r="AJ745" s="3"/>
      <c r="AK745" s="3"/>
    </row>
    <row r="746" spans="1:37" ht="12.75" customHeight="1" x14ac:dyDescent="0.2">
      <c r="A746" s="14">
        <v>737</v>
      </c>
      <c r="B746" s="4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4"/>
      <c r="Y746" s="23"/>
      <c r="Z746" s="4" t="str">
        <f t="shared" si="12"/>
        <v/>
      </c>
      <c r="AA746" s="4" t="str">
        <f t="shared" si="13"/>
        <v/>
      </c>
      <c r="AB746" s="4" t="str">
        <f t="shared" si="14"/>
        <v/>
      </c>
      <c r="AC746" s="4">
        <v>0.34512036679589952</v>
      </c>
      <c r="AD746" s="4">
        <f t="shared" si="15"/>
        <v>-0.42330382633455382</v>
      </c>
      <c r="AE746" s="4" t="e">
        <f t="shared" si="16"/>
        <v>#VALUE!</v>
      </c>
      <c r="AF746" s="3" t="e">
        <f t="shared" si="17"/>
        <v>#VALUE!</v>
      </c>
      <c r="AG746" s="3"/>
      <c r="AH746" s="3"/>
      <c r="AI746" s="3"/>
      <c r="AJ746" s="3"/>
      <c r="AK746" s="3"/>
    </row>
    <row r="747" spans="1:37" ht="12.75" customHeight="1" x14ac:dyDescent="0.2">
      <c r="A747" s="14">
        <v>738</v>
      </c>
      <c r="B747" s="4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4"/>
      <c r="Y747" s="23"/>
      <c r="Z747" s="4" t="str">
        <f t="shared" si="12"/>
        <v/>
      </c>
      <c r="AA747" s="4" t="str">
        <f t="shared" si="13"/>
        <v/>
      </c>
      <c r="AB747" s="4" t="str">
        <f t="shared" si="14"/>
        <v/>
      </c>
      <c r="AC747" s="4">
        <v>0.34512036679589952</v>
      </c>
      <c r="AD747" s="4">
        <f t="shared" si="15"/>
        <v>-0.42330382633455382</v>
      </c>
      <c r="AE747" s="4" t="e">
        <f t="shared" si="16"/>
        <v>#VALUE!</v>
      </c>
      <c r="AF747" s="3" t="e">
        <f t="shared" si="17"/>
        <v>#VALUE!</v>
      </c>
      <c r="AG747" s="3"/>
      <c r="AH747" s="3"/>
      <c r="AI747" s="3"/>
      <c r="AJ747" s="3"/>
      <c r="AK747" s="3"/>
    </row>
    <row r="748" spans="1:37" ht="12.75" customHeight="1" x14ac:dyDescent="0.2">
      <c r="A748" s="14">
        <v>739</v>
      </c>
      <c r="B748" s="4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4"/>
      <c r="Y748" s="23"/>
      <c r="Z748" s="4" t="str">
        <f t="shared" si="12"/>
        <v/>
      </c>
      <c r="AA748" s="4" t="str">
        <f t="shared" si="13"/>
        <v/>
      </c>
      <c r="AB748" s="4" t="str">
        <f t="shared" si="14"/>
        <v/>
      </c>
      <c r="AC748" s="4">
        <v>0.34512036679589952</v>
      </c>
      <c r="AD748" s="4">
        <f t="shared" si="15"/>
        <v>-0.42330382633455382</v>
      </c>
      <c r="AE748" s="4" t="e">
        <f t="shared" si="16"/>
        <v>#VALUE!</v>
      </c>
      <c r="AF748" s="3" t="e">
        <f t="shared" si="17"/>
        <v>#VALUE!</v>
      </c>
      <c r="AG748" s="3"/>
      <c r="AH748" s="3"/>
      <c r="AI748" s="3"/>
      <c r="AJ748" s="3"/>
      <c r="AK748" s="3"/>
    </row>
    <row r="749" spans="1:37" ht="12.75" customHeight="1" x14ac:dyDescent="0.2">
      <c r="A749" s="14">
        <v>740</v>
      </c>
      <c r="B749" s="4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4"/>
      <c r="Y749" s="23"/>
      <c r="Z749" s="4" t="str">
        <f t="shared" si="12"/>
        <v/>
      </c>
      <c r="AA749" s="4" t="str">
        <f t="shared" si="13"/>
        <v/>
      </c>
      <c r="AB749" s="4" t="str">
        <f t="shared" si="14"/>
        <v/>
      </c>
      <c r="AC749" s="4">
        <v>0.34512036679589952</v>
      </c>
      <c r="AD749" s="4">
        <f t="shared" si="15"/>
        <v>-0.42330382633455382</v>
      </c>
      <c r="AE749" s="4" t="e">
        <f t="shared" si="16"/>
        <v>#VALUE!</v>
      </c>
      <c r="AF749" s="3" t="e">
        <f t="shared" si="17"/>
        <v>#VALUE!</v>
      </c>
      <c r="AG749" s="3"/>
      <c r="AH749" s="3"/>
      <c r="AI749" s="3"/>
      <c r="AJ749" s="3"/>
      <c r="AK749" s="3"/>
    </row>
    <row r="750" spans="1:37" ht="12.75" customHeight="1" x14ac:dyDescent="0.2">
      <c r="A750" s="14">
        <v>741</v>
      </c>
      <c r="B750" s="4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4"/>
      <c r="Y750" s="23"/>
      <c r="Z750" s="4" t="str">
        <f t="shared" si="12"/>
        <v/>
      </c>
      <c r="AA750" s="4" t="str">
        <f t="shared" si="13"/>
        <v/>
      </c>
      <c r="AB750" s="4" t="str">
        <f t="shared" si="14"/>
        <v/>
      </c>
      <c r="AC750" s="4">
        <v>0.34512036679589952</v>
      </c>
      <c r="AD750" s="4">
        <f t="shared" si="15"/>
        <v>-0.42330382633455382</v>
      </c>
      <c r="AE750" s="4" t="e">
        <f t="shared" si="16"/>
        <v>#VALUE!</v>
      </c>
      <c r="AF750" s="3" t="e">
        <f t="shared" si="17"/>
        <v>#VALUE!</v>
      </c>
      <c r="AG750" s="3"/>
      <c r="AH750" s="3"/>
      <c r="AI750" s="3"/>
      <c r="AJ750" s="3"/>
      <c r="AK750" s="3"/>
    </row>
    <row r="751" spans="1:37" ht="12.75" customHeight="1" x14ac:dyDescent="0.2">
      <c r="A751" s="14">
        <v>742</v>
      </c>
      <c r="B751" s="4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4"/>
      <c r="Y751" s="23"/>
      <c r="Z751" s="4" t="str">
        <f t="shared" si="12"/>
        <v/>
      </c>
      <c r="AA751" s="4" t="str">
        <f t="shared" si="13"/>
        <v/>
      </c>
      <c r="AB751" s="4" t="str">
        <f t="shared" si="14"/>
        <v/>
      </c>
      <c r="AC751" s="4">
        <v>0.34512036679589952</v>
      </c>
      <c r="AD751" s="4">
        <f t="shared" si="15"/>
        <v>-0.42330382633455382</v>
      </c>
      <c r="AE751" s="4" t="e">
        <f t="shared" si="16"/>
        <v>#VALUE!</v>
      </c>
      <c r="AF751" s="3" t="e">
        <f t="shared" si="17"/>
        <v>#VALUE!</v>
      </c>
      <c r="AG751" s="3"/>
      <c r="AH751" s="3"/>
      <c r="AI751" s="3"/>
      <c r="AJ751" s="3"/>
      <c r="AK751" s="3"/>
    </row>
    <row r="752" spans="1:37" ht="12.75" customHeight="1" x14ac:dyDescent="0.2">
      <c r="A752" s="14">
        <v>743</v>
      </c>
      <c r="B752" s="4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4"/>
      <c r="Y752" s="23"/>
      <c r="Z752" s="4" t="str">
        <f t="shared" si="12"/>
        <v/>
      </c>
      <c r="AA752" s="4" t="str">
        <f t="shared" si="13"/>
        <v/>
      </c>
      <c r="AB752" s="4" t="str">
        <f t="shared" si="14"/>
        <v/>
      </c>
      <c r="AC752" s="4">
        <v>0.34512036679589952</v>
      </c>
      <c r="AD752" s="4">
        <f t="shared" si="15"/>
        <v>-0.42330382633455382</v>
      </c>
      <c r="AE752" s="4" t="e">
        <f t="shared" si="16"/>
        <v>#VALUE!</v>
      </c>
      <c r="AF752" s="3" t="e">
        <f t="shared" si="17"/>
        <v>#VALUE!</v>
      </c>
      <c r="AG752" s="3"/>
      <c r="AH752" s="3"/>
      <c r="AI752" s="3"/>
      <c r="AJ752" s="3"/>
      <c r="AK752" s="3"/>
    </row>
    <row r="753" spans="1:37" ht="12.75" customHeight="1" x14ac:dyDescent="0.2">
      <c r="A753" s="14">
        <v>744</v>
      </c>
      <c r="B753" s="4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4"/>
      <c r="Y753" s="23"/>
      <c r="Z753" s="4" t="str">
        <f t="shared" si="12"/>
        <v/>
      </c>
      <c r="AA753" s="4" t="str">
        <f t="shared" si="13"/>
        <v/>
      </c>
      <c r="AB753" s="4" t="str">
        <f t="shared" si="14"/>
        <v/>
      </c>
      <c r="AC753" s="4">
        <v>0.34512036679589952</v>
      </c>
      <c r="AD753" s="4">
        <f t="shared" si="15"/>
        <v>-0.42330382633455382</v>
      </c>
      <c r="AE753" s="4" t="e">
        <f t="shared" si="16"/>
        <v>#VALUE!</v>
      </c>
      <c r="AF753" s="3" t="e">
        <f t="shared" si="17"/>
        <v>#VALUE!</v>
      </c>
      <c r="AG753" s="3"/>
      <c r="AH753" s="3"/>
      <c r="AI753" s="3"/>
      <c r="AJ753" s="3"/>
      <c r="AK753" s="3"/>
    </row>
    <row r="754" spans="1:37" ht="12.75" customHeight="1" x14ac:dyDescent="0.2">
      <c r="A754" s="14">
        <v>745</v>
      </c>
      <c r="B754" s="4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4"/>
      <c r="Y754" s="23"/>
      <c r="Z754" s="4" t="str">
        <f t="shared" si="12"/>
        <v/>
      </c>
      <c r="AA754" s="4" t="str">
        <f t="shared" si="13"/>
        <v/>
      </c>
      <c r="AB754" s="4" t="str">
        <f t="shared" si="14"/>
        <v/>
      </c>
      <c r="AC754" s="4">
        <v>0.34512036679589952</v>
      </c>
      <c r="AD754" s="4">
        <f t="shared" si="15"/>
        <v>-0.42330382633455382</v>
      </c>
      <c r="AE754" s="4" t="e">
        <f t="shared" si="16"/>
        <v>#VALUE!</v>
      </c>
      <c r="AF754" s="3" t="e">
        <f t="shared" si="17"/>
        <v>#VALUE!</v>
      </c>
      <c r="AG754" s="3"/>
      <c r="AH754" s="3"/>
      <c r="AI754" s="3"/>
      <c r="AJ754" s="3"/>
      <c r="AK754" s="3"/>
    </row>
    <row r="755" spans="1:37" ht="12.75" customHeight="1" x14ac:dyDescent="0.2">
      <c r="A755" s="14">
        <v>746</v>
      </c>
      <c r="B755" s="4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4"/>
      <c r="Y755" s="23"/>
      <c r="Z755" s="4" t="str">
        <f t="shared" si="12"/>
        <v/>
      </c>
      <c r="AA755" s="4" t="str">
        <f t="shared" si="13"/>
        <v/>
      </c>
      <c r="AB755" s="4" t="str">
        <f t="shared" si="14"/>
        <v/>
      </c>
      <c r="AC755" s="4">
        <v>0.34512036679589952</v>
      </c>
      <c r="AD755" s="4">
        <f t="shared" si="15"/>
        <v>-0.42330382633455382</v>
      </c>
      <c r="AE755" s="4" t="e">
        <f t="shared" si="16"/>
        <v>#VALUE!</v>
      </c>
      <c r="AF755" s="3" t="e">
        <f t="shared" si="17"/>
        <v>#VALUE!</v>
      </c>
      <c r="AG755" s="3"/>
      <c r="AH755" s="3"/>
      <c r="AI755" s="3"/>
      <c r="AJ755" s="3"/>
      <c r="AK755" s="3"/>
    </row>
    <row r="756" spans="1:37" ht="12.75" customHeight="1" x14ac:dyDescent="0.2">
      <c r="A756" s="14">
        <v>747</v>
      </c>
      <c r="B756" s="4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4"/>
      <c r="Y756" s="23"/>
      <c r="Z756" s="4" t="str">
        <f t="shared" si="12"/>
        <v/>
      </c>
      <c r="AA756" s="4" t="str">
        <f t="shared" si="13"/>
        <v/>
      </c>
      <c r="AB756" s="4" t="str">
        <f t="shared" si="14"/>
        <v/>
      </c>
      <c r="AC756" s="4">
        <v>0.34512036679589952</v>
      </c>
      <c r="AD756" s="4">
        <f t="shared" si="15"/>
        <v>-0.42330382633455382</v>
      </c>
      <c r="AE756" s="4" t="e">
        <f t="shared" si="16"/>
        <v>#VALUE!</v>
      </c>
      <c r="AF756" s="3" t="e">
        <f t="shared" si="17"/>
        <v>#VALUE!</v>
      </c>
      <c r="AG756" s="3"/>
      <c r="AH756" s="3"/>
      <c r="AI756" s="3"/>
      <c r="AJ756" s="3"/>
      <c r="AK756" s="3"/>
    </row>
    <row r="757" spans="1:37" ht="12.75" customHeight="1" x14ac:dyDescent="0.2">
      <c r="A757" s="14">
        <v>748</v>
      </c>
      <c r="B757" s="4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4"/>
      <c r="Y757" s="23"/>
      <c r="Z757" s="4" t="str">
        <f t="shared" si="12"/>
        <v/>
      </c>
      <c r="AA757" s="4" t="str">
        <f t="shared" si="13"/>
        <v/>
      </c>
      <c r="AB757" s="4" t="str">
        <f t="shared" si="14"/>
        <v/>
      </c>
      <c r="AC757" s="4">
        <v>0.34512036679589952</v>
      </c>
      <c r="AD757" s="4">
        <f t="shared" si="15"/>
        <v>-0.42330382633455382</v>
      </c>
      <c r="AE757" s="4" t="e">
        <f t="shared" si="16"/>
        <v>#VALUE!</v>
      </c>
      <c r="AF757" s="3" t="e">
        <f t="shared" si="17"/>
        <v>#VALUE!</v>
      </c>
      <c r="AG757" s="3"/>
      <c r="AH757" s="3"/>
      <c r="AI757" s="3"/>
      <c r="AJ757" s="3"/>
      <c r="AK757" s="3"/>
    </row>
    <row r="758" spans="1:37" ht="12.75" customHeight="1" x14ac:dyDescent="0.2">
      <c r="A758" s="14">
        <v>749</v>
      </c>
      <c r="B758" s="4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4"/>
      <c r="Y758" s="23"/>
      <c r="Z758" s="4" t="str">
        <f t="shared" si="12"/>
        <v/>
      </c>
      <c r="AA758" s="4" t="str">
        <f t="shared" si="13"/>
        <v/>
      </c>
      <c r="AB758" s="4" t="str">
        <f t="shared" si="14"/>
        <v/>
      </c>
      <c r="AC758" s="4">
        <v>0.34512036679589952</v>
      </c>
      <c r="AD758" s="4">
        <f t="shared" si="15"/>
        <v>-0.42330382633455382</v>
      </c>
      <c r="AE758" s="4" t="e">
        <f t="shared" si="16"/>
        <v>#VALUE!</v>
      </c>
      <c r="AF758" s="3" t="e">
        <f t="shared" si="17"/>
        <v>#VALUE!</v>
      </c>
      <c r="AG758" s="3"/>
      <c r="AH758" s="3"/>
      <c r="AI758" s="3"/>
      <c r="AJ758" s="3"/>
      <c r="AK758" s="3"/>
    </row>
    <row r="759" spans="1:37" ht="12.75" customHeight="1" x14ac:dyDescent="0.2">
      <c r="A759" s="14">
        <v>750</v>
      </c>
      <c r="B759" s="4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4"/>
      <c r="Y759" s="23"/>
      <c r="Z759" s="4" t="str">
        <f t="shared" si="12"/>
        <v/>
      </c>
      <c r="AA759" s="4" t="str">
        <f t="shared" si="13"/>
        <v/>
      </c>
      <c r="AB759" s="4" t="str">
        <f t="shared" si="14"/>
        <v/>
      </c>
      <c r="AC759" s="4">
        <v>0.34512036679589952</v>
      </c>
      <c r="AD759" s="4">
        <f t="shared" si="15"/>
        <v>-0.42330382633455382</v>
      </c>
      <c r="AE759" s="4" t="e">
        <f t="shared" si="16"/>
        <v>#VALUE!</v>
      </c>
      <c r="AF759" s="3" t="e">
        <f t="shared" si="17"/>
        <v>#VALUE!</v>
      </c>
      <c r="AG759" s="3"/>
      <c r="AH759" s="3"/>
      <c r="AI759" s="3"/>
      <c r="AJ759" s="3"/>
      <c r="AK759" s="3"/>
    </row>
    <row r="760" spans="1:37" ht="12.75" customHeight="1" x14ac:dyDescent="0.2">
      <c r="A760" s="14">
        <v>751</v>
      </c>
      <c r="B760" s="4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4"/>
      <c r="Y760" s="23"/>
      <c r="Z760" s="4" t="str">
        <f t="shared" si="12"/>
        <v/>
      </c>
      <c r="AA760" s="4" t="str">
        <f t="shared" si="13"/>
        <v/>
      </c>
      <c r="AB760" s="4" t="str">
        <f t="shared" si="14"/>
        <v/>
      </c>
      <c r="AC760" s="4">
        <v>0.34512036679589952</v>
      </c>
      <c r="AD760" s="4">
        <f t="shared" si="15"/>
        <v>-0.42330382633455382</v>
      </c>
      <c r="AE760" s="4" t="e">
        <f t="shared" si="16"/>
        <v>#VALUE!</v>
      </c>
      <c r="AF760" s="3" t="e">
        <f t="shared" si="17"/>
        <v>#VALUE!</v>
      </c>
      <c r="AG760" s="3"/>
      <c r="AH760" s="3"/>
      <c r="AI760" s="3"/>
      <c r="AJ760" s="3"/>
      <c r="AK760" s="3"/>
    </row>
    <row r="761" spans="1:37" ht="12.75" customHeight="1" x14ac:dyDescent="0.2">
      <c r="A761" s="14">
        <v>752</v>
      </c>
      <c r="B761" s="4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4"/>
      <c r="Y761" s="23"/>
      <c r="Z761" s="4" t="str">
        <f t="shared" si="12"/>
        <v/>
      </c>
      <c r="AA761" s="4" t="str">
        <f t="shared" si="13"/>
        <v/>
      </c>
      <c r="AB761" s="4" t="str">
        <f t="shared" si="14"/>
        <v/>
      </c>
      <c r="AC761" s="4">
        <v>0.34512036679589952</v>
      </c>
      <c r="AD761" s="4">
        <f t="shared" si="15"/>
        <v>-0.42330382633455382</v>
      </c>
      <c r="AE761" s="4" t="e">
        <f t="shared" si="16"/>
        <v>#VALUE!</v>
      </c>
      <c r="AF761" s="3" t="e">
        <f t="shared" si="17"/>
        <v>#VALUE!</v>
      </c>
      <c r="AG761" s="3"/>
      <c r="AH761" s="3"/>
      <c r="AI761" s="3"/>
      <c r="AJ761" s="3"/>
      <c r="AK761" s="3"/>
    </row>
    <row r="762" spans="1:37" ht="12.75" customHeight="1" x14ac:dyDescent="0.2">
      <c r="A762" s="14">
        <v>753</v>
      </c>
      <c r="B762" s="4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4"/>
      <c r="Y762" s="23"/>
      <c r="Z762" s="4" t="str">
        <f t="shared" si="12"/>
        <v/>
      </c>
      <c r="AA762" s="4" t="str">
        <f t="shared" si="13"/>
        <v/>
      </c>
      <c r="AB762" s="4" t="str">
        <f t="shared" si="14"/>
        <v/>
      </c>
      <c r="AC762" s="4">
        <v>0.34512036679589952</v>
      </c>
      <c r="AD762" s="4">
        <f t="shared" si="15"/>
        <v>-0.42330382633455382</v>
      </c>
      <c r="AE762" s="4" t="e">
        <f t="shared" si="16"/>
        <v>#VALUE!</v>
      </c>
      <c r="AF762" s="3" t="e">
        <f t="shared" si="17"/>
        <v>#VALUE!</v>
      </c>
      <c r="AG762" s="3"/>
      <c r="AH762" s="3"/>
      <c r="AI762" s="3"/>
      <c r="AJ762" s="3"/>
      <c r="AK762" s="3"/>
    </row>
    <row r="763" spans="1:37" ht="12.75" customHeight="1" x14ac:dyDescent="0.2">
      <c r="A763" s="14">
        <v>754</v>
      </c>
      <c r="B763" s="4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4"/>
      <c r="Y763" s="23"/>
      <c r="Z763" s="4" t="str">
        <f t="shared" si="12"/>
        <v/>
      </c>
      <c r="AA763" s="4" t="str">
        <f t="shared" si="13"/>
        <v/>
      </c>
      <c r="AB763" s="4" t="str">
        <f t="shared" si="14"/>
        <v/>
      </c>
      <c r="AC763" s="4">
        <v>0.34512036679589952</v>
      </c>
      <c r="AD763" s="4">
        <f t="shared" si="15"/>
        <v>-0.42330382633455382</v>
      </c>
      <c r="AE763" s="4" t="e">
        <f t="shared" si="16"/>
        <v>#VALUE!</v>
      </c>
      <c r="AF763" s="3" t="e">
        <f t="shared" si="17"/>
        <v>#VALUE!</v>
      </c>
      <c r="AG763" s="3"/>
      <c r="AH763" s="3"/>
      <c r="AI763" s="3"/>
      <c r="AJ763" s="3"/>
      <c r="AK763" s="3"/>
    </row>
    <row r="764" spans="1:37" ht="12.75" customHeight="1" x14ac:dyDescent="0.2">
      <c r="A764" s="14">
        <v>755</v>
      </c>
      <c r="B764" s="4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4"/>
      <c r="Y764" s="23"/>
      <c r="Z764" s="4" t="str">
        <f t="shared" si="12"/>
        <v/>
      </c>
      <c r="AA764" s="4" t="str">
        <f t="shared" si="13"/>
        <v/>
      </c>
      <c r="AB764" s="4" t="str">
        <f t="shared" si="14"/>
        <v/>
      </c>
      <c r="AC764" s="4">
        <v>0.34512036679589952</v>
      </c>
      <c r="AD764" s="4">
        <f t="shared" si="15"/>
        <v>-0.42330382633455382</v>
      </c>
      <c r="AE764" s="4" t="e">
        <f t="shared" si="16"/>
        <v>#VALUE!</v>
      </c>
      <c r="AF764" s="3" t="e">
        <f t="shared" si="17"/>
        <v>#VALUE!</v>
      </c>
      <c r="AG764" s="3"/>
      <c r="AH764" s="3"/>
      <c r="AI764" s="3"/>
      <c r="AJ764" s="3"/>
      <c r="AK764" s="3"/>
    </row>
    <row r="765" spans="1:37" ht="12.75" customHeight="1" x14ac:dyDescent="0.2">
      <c r="A765" s="14">
        <v>756</v>
      </c>
      <c r="B765" s="4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4"/>
      <c r="Y765" s="23"/>
      <c r="Z765" s="4" t="str">
        <f t="shared" si="12"/>
        <v/>
      </c>
      <c r="AA765" s="4" t="str">
        <f t="shared" si="13"/>
        <v/>
      </c>
      <c r="AB765" s="4" t="str">
        <f t="shared" si="14"/>
        <v/>
      </c>
      <c r="AC765" s="4">
        <v>0.34512036679589952</v>
      </c>
      <c r="AD765" s="4">
        <f t="shared" si="15"/>
        <v>-0.42330382633455382</v>
      </c>
      <c r="AE765" s="4" t="e">
        <f t="shared" si="16"/>
        <v>#VALUE!</v>
      </c>
      <c r="AF765" s="3" t="e">
        <f t="shared" si="17"/>
        <v>#VALUE!</v>
      </c>
      <c r="AG765" s="3"/>
      <c r="AH765" s="3"/>
      <c r="AI765" s="3"/>
      <c r="AJ765" s="3"/>
      <c r="AK765" s="3"/>
    </row>
    <row r="766" spans="1:37" ht="12.75" customHeight="1" x14ac:dyDescent="0.2">
      <c r="A766" s="14">
        <v>757</v>
      </c>
      <c r="B766" s="4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4"/>
      <c r="Y766" s="23"/>
      <c r="Z766" s="4" t="str">
        <f t="shared" si="12"/>
        <v/>
      </c>
      <c r="AA766" s="4" t="str">
        <f t="shared" si="13"/>
        <v/>
      </c>
      <c r="AB766" s="4" t="str">
        <f t="shared" si="14"/>
        <v/>
      </c>
      <c r="AC766" s="4">
        <v>0.34512036679589952</v>
      </c>
      <c r="AD766" s="4">
        <f t="shared" si="15"/>
        <v>-0.42330382633455382</v>
      </c>
      <c r="AE766" s="4" t="e">
        <f t="shared" si="16"/>
        <v>#VALUE!</v>
      </c>
      <c r="AF766" s="3" t="e">
        <f t="shared" si="17"/>
        <v>#VALUE!</v>
      </c>
      <c r="AG766" s="3"/>
      <c r="AH766" s="3"/>
      <c r="AI766" s="3"/>
      <c r="AJ766" s="3"/>
      <c r="AK766" s="3"/>
    </row>
    <row r="767" spans="1:37" ht="12.75" customHeight="1" x14ac:dyDescent="0.2">
      <c r="A767" s="14">
        <v>758</v>
      </c>
      <c r="B767" s="4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4"/>
      <c r="Y767" s="23"/>
      <c r="Z767" s="4" t="str">
        <f t="shared" si="12"/>
        <v/>
      </c>
      <c r="AA767" s="4" t="str">
        <f t="shared" si="13"/>
        <v/>
      </c>
      <c r="AB767" s="4" t="str">
        <f t="shared" si="14"/>
        <v/>
      </c>
      <c r="AC767" s="4">
        <v>0.34512036679589952</v>
      </c>
      <c r="AD767" s="4">
        <f t="shared" si="15"/>
        <v>-0.42330382633455382</v>
      </c>
      <c r="AE767" s="4" t="e">
        <f t="shared" si="16"/>
        <v>#VALUE!</v>
      </c>
      <c r="AF767" s="3" t="e">
        <f t="shared" si="17"/>
        <v>#VALUE!</v>
      </c>
      <c r="AG767" s="3"/>
      <c r="AH767" s="3"/>
      <c r="AI767" s="3"/>
      <c r="AJ767" s="3"/>
      <c r="AK767" s="3"/>
    </row>
    <row r="768" spans="1:37" ht="12.75" customHeight="1" x14ac:dyDescent="0.2">
      <c r="A768" s="14">
        <v>759</v>
      </c>
      <c r="B768" s="4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4"/>
      <c r="Y768" s="23"/>
      <c r="Z768" s="4" t="str">
        <f t="shared" si="12"/>
        <v/>
      </c>
      <c r="AA768" s="4" t="str">
        <f t="shared" si="13"/>
        <v/>
      </c>
      <c r="AB768" s="4" t="str">
        <f t="shared" si="14"/>
        <v/>
      </c>
      <c r="AC768" s="4">
        <v>0.34512036679589952</v>
      </c>
      <c r="AD768" s="4">
        <f t="shared" si="15"/>
        <v>-0.42330382633455382</v>
      </c>
      <c r="AE768" s="4" t="e">
        <f t="shared" si="16"/>
        <v>#VALUE!</v>
      </c>
      <c r="AF768" s="3" t="e">
        <f t="shared" si="17"/>
        <v>#VALUE!</v>
      </c>
      <c r="AG768" s="3"/>
      <c r="AH768" s="3"/>
      <c r="AI768" s="3"/>
      <c r="AJ768" s="3"/>
      <c r="AK768" s="3"/>
    </row>
    <row r="769" spans="1:37" ht="12.75" customHeight="1" x14ac:dyDescent="0.2">
      <c r="A769" s="14">
        <v>760</v>
      </c>
      <c r="B769" s="4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4"/>
      <c r="Y769" s="23"/>
      <c r="Z769" s="4" t="str">
        <f t="shared" si="12"/>
        <v/>
      </c>
      <c r="AA769" s="4" t="str">
        <f t="shared" si="13"/>
        <v/>
      </c>
      <c r="AB769" s="4" t="str">
        <f t="shared" si="14"/>
        <v/>
      </c>
      <c r="AC769" s="4">
        <v>0.34512036679589952</v>
      </c>
      <c r="AD769" s="4">
        <f t="shared" si="15"/>
        <v>-0.42330382633455382</v>
      </c>
      <c r="AE769" s="4" t="e">
        <f t="shared" si="16"/>
        <v>#VALUE!</v>
      </c>
      <c r="AF769" s="3" t="e">
        <f t="shared" si="17"/>
        <v>#VALUE!</v>
      </c>
      <c r="AG769" s="3"/>
      <c r="AH769" s="3"/>
      <c r="AI769" s="3"/>
      <c r="AJ769" s="3"/>
      <c r="AK769" s="3"/>
    </row>
    <row r="770" spans="1:37" ht="12.75" customHeight="1" x14ac:dyDescent="0.2">
      <c r="A770" s="14">
        <v>761</v>
      </c>
      <c r="B770" s="4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4"/>
      <c r="Y770" s="23"/>
      <c r="Z770" s="4" t="str">
        <f t="shared" si="12"/>
        <v/>
      </c>
      <c r="AA770" s="4" t="str">
        <f t="shared" si="13"/>
        <v/>
      </c>
      <c r="AB770" s="4" t="str">
        <f t="shared" si="14"/>
        <v/>
      </c>
      <c r="AC770" s="4">
        <v>0.34512036679589952</v>
      </c>
      <c r="AD770" s="4">
        <f t="shared" si="15"/>
        <v>-0.42330382633455382</v>
      </c>
      <c r="AE770" s="4" t="e">
        <f t="shared" si="16"/>
        <v>#VALUE!</v>
      </c>
      <c r="AF770" s="3" t="e">
        <f t="shared" si="17"/>
        <v>#VALUE!</v>
      </c>
      <c r="AG770" s="3"/>
      <c r="AH770" s="3"/>
      <c r="AI770" s="3"/>
      <c r="AJ770" s="3"/>
      <c r="AK770" s="3"/>
    </row>
    <row r="771" spans="1:37" ht="12.75" customHeight="1" x14ac:dyDescent="0.2">
      <c r="A771" s="14">
        <v>762</v>
      </c>
      <c r="B771" s="4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4"/>
      <c r="Y771" s="23"/>
      <c r="Z771" s="4" t="str">
        <f t="shared" si="12"/>
        <v/>
      </c>
      <c r="AA771" s="4" t="str">
        <f t="shared" si="13"/>
        <v/>
      </c>
      <c r="AB771" s="4" t="str">
        <f t="shared" si="14"/>
        <v/>
      </c>
      <c r="AC771" s="4">
        <v>0.34512036679589952</v>
      </c>
      <c r="AD771" s="4">
        <f t="shared" si="15"/>
        <v>-0.42330382633455382</v>
      </c>
      <c r="AE771" s="4" t="e">
        <f t="shared" si="16"/>
        <v>#VALUE!</v>
      </c>
      <c r="AF771" s="3" t="e">
        <f t="shared" si="17"/>
        <v>#VALUE!</v>
      </c>
      <c r="AG771" s="3"/>
      <c r="AH771" s="3"/>
      <c r="AI771" s="3"/>
      <c r="AJ771" s="3"/>
      <c r="AK771" s="3"/>
    </row>
    <row r="772" spans="1:37" ht="12.75" customHeight="1" x14ac:dyDescent="0.2">
      <c r="A772" s="14">
        <v>763</v>
      </c>
      <c r="B772" s="4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4"/>
      <c r="Y772" s="23"/>
      <c r="Z772" s="4" t="str">
        <f t="shared" si="12"/>
        <v/>
      </c>
      <c r="AA772" s="4" t="str">
        <f t="shared" si="13"/>
        <v/>
      </c>
      <c r="AB772" s="4" t="str">
        <f t="shared" si="14"/>
        <v/>
      </c>
      <c r="AC772" s="4">
        <v>0.34512036679589952</v>
      </c>
      <c r="AD772" s="4">
        <f t="shared" si="15"/>
        <v>-0.42330382633455382</v>
      </c>
      <c r="AE772" s="4" t="e">
        <f t="shared" si="16"/>
        <v>#VALUE!</v>
      </c>
      <c r="AF772" s="3" t="e">
        <f t="shared" si="17"/>
        <v>#VALUE!</v>
      </c>
      <c r="AG772" s="3"/>
      <c r="AH772" s="3"/>
      <c r="AI772" s="3"/>
      <c r="AJ772" s="3"/>
      <c r="AK772" s="3"/>
    </row>
    <row r="773" spans="1:37" ht="12.75" customHeight="1" x14ac:dyDescent="0.2">
      <c r="A773" s="14">
        <v>764</v>
      </c>
      <c r="B773" s="4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4"/>
      <c r="Y773" s="23"/>
      <c r="Z773" s="4" t="str">
        <f t="shared" si="12"/>
        <v/>
      </c>
      <c r="AA773" s="4" t="str">
        <f t="shared" si="13"/>
        <v/>
      </c>
      <c r="AB773" s="4" t="str">
        <f t="shared" si="14"/>
        <v/>
      </c>
      <c r="AC773" s="4">
        <v>0.34512036679589952</v>
      </c>
      <c r="AD773" s="4">
        <f t="shared" si="15"/>
        <v>-0.42330382633455382</v>
      </c>
      <c r="AE773" s="4" t="e">
        <f t="shared" si="16"/>
        <v>#VALUE!</v>
      </c>
      <c r="AF773" s="3" t="e">
        <f t="shared" si="17"/>
        <v>#VALUE!</v>
      </c>
      <c r="AG773" s="3"/>
      <c r="AH773" s="3"/>
      <c r="AI773" s="3"/>
      <c r="AJ773" s="3"/>
      <c r="AK773" s="3"/>
    </row>
    <row r="774" spans="1:37" ht="12.75" customHeight="1" x14ac:dyDescent="0.2">
      <c r="A774" s="14">
        <v>765</v>
      </c>
      <c r="B774" s="4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4"/>
      <c r="Y774" s="23"/>
      <c r="Z774" s="4" t="str">
        <f t="shared" si="12"/>
        <v/>
      </c>
      <c r="AA774" s="4" t="str">
        <f t="shared" si="13"/>
        <v/>
      </c>
      <c r="AB774" s="4" t="str">
        <f t="shared" si="14"/>
        <v/>
      </c>
      <c r="AC774" s="4">
        <v>0.34512036679589952</v>
      </c>
      <c r="AD774" s="4">
        <f t="shared" si="15"/>
        <v>-0.42330382633455382</v>
      </c>
      <c r="AE774" s="4" t="e">
        <f t="shared" si="16"/>
        <v>#VALUE!</v>
      </c>
      <c r="AF774" s="3" t="e">
        <f t="shared" si="17"/>
        <v>#VALUE!</v>
      </c>
      <c r="AG774" s="3"/>
      <c r="AH774" s="3"/>
      <c r="AI774" s="3"/>
      <c r="AJ774" s="3"/>
      <c r="AK774" s="3"/>
    </row>
    <row r="775" spans="1:37" ht="12.75" customHeight="1" x14ac:dyDescent="0.2">
      <c r="A775" s="14">
        <v>766</v>
      </c>
      <c r="B775" s="4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4"/>
      <c r="Y775" s="23"/>
      <c r="Z775" s="4" t="str">
        <f t="shared" ref="Z775:Z1009" si="18">IF(A775&gt;$AE$6,"",(B775-$B$5)/$B$6)</f>
        <v/>
      </c>
      <c r="AA775" s="4" t="str">
        <f t="shared" ref="AA775:AA1009" si="19">IF(A775&gt;$AE$6,"",IF(NORMSDIST(Z775)=1,0.999999999,IF(NORMSDIST(Z775)=0,0.0000000000000001,NORMSDIST(Z775))))</f>
        <v/>
      </c>
      <c r="AB775" s="4" t="str">
        <f t="shared" ref="AB775:AB1009" si="20">IF(A775&gt;$AE$6, "", LN(AA775))</f>
        <v/>
      </c>
      <c r="AC775" s="4">
        <v>0.34512036679589952</v>
      </c>
      <c r="AD775" s="4">
        <f t="shared" ref="AD775:AD1009" si="21">LN(1-AC775)</f>
        <v>-0.42330382633455382</v>
      </c>
      <c r="AE775" s="4" t="e">
        <f t="shared" ref="AE775:AE1009" si="22">-1*(2*A775-1)*(AB775+AD775)/$AE$6</f>
        <v>#VALUE!</v>
      </c>
      <c r="AF775" s="3" t="e">
        <f t="shared" si="17"/>
        <v>#VALUE!</v>
      </c>
      <c r="AG775" s="3"/>
      <c r="AH775" s="3"/>
      <c r="AI775" s="3"/>
      <c r="AJ775" s="3"/>
      <c r="AK775" s="3"/>
    </row>
    <row r="776" spans="1:37" ht="12.75" customHeight="1" x14ac:dyDescent="0.2">
      <c r="A776" s="14">
        <v>767</v>
      </c>
      <c r="B776" s="4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4"/>
      <c r="Y776" s="23"/>
      <c r="Z776" s="4" t="str">
        <f t="shared" si="18"/>
        <v/>
      </c>
      <c r="AA776" s="4" t="str">
        <f t="shared" si="19"/>
        <v/>
      </c>
      <c r="AB776" s="4" t="str">
        <f t="shared" si="20"/>
        <v/>
      </c>
      <c r="AC776" s="4">
        <v>0.34512036679589952</v>
      </c>
      <c r="AD776" s="4">
        <f t="shared" si="21"/>
        <v>-0.42330382633455382</v>
      </c>
      <c r="AE776" s="4" t="e">
        <f t="shared" si="22"/>
        <v>#VALUE!</v>
      </c>
      <c r="AF776" s="3" t="e">
        <f t="shared" ref="AF776:AF1009" si="23">IF(A776="", AF775, AF775+AE776)</f>
        <v>#VALUE!</v>
      </c>
      <c r="AG776" s="3"/>
      <c r="AH776" s="3"/>
      <c r="AI776" s="3"/>
      <c r="AJ776" s="3"/>
      <c r="AK776" s="3"/>
    </row>
    <row r="777" spans="1:37" ht="12.75" customHeight="1" x14ac:dyDescent="0.2">
      <c r="A777" s="14">
        <v>768</v>
      </c>
      <c r="B777" s="4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4"/>
      <c r="Y777" s="23"/>
      <c r="Z777" s="4" t="str">
        <f t="shared" si="18"/>
        <v/>
      </c>
      <c r="AA777" s="4" t="str">
        <f t="shared" si="19"/>
        <v/>
      </c>
      <c r="AB777" s="4" t="str">
        <f t="shared" si="20"/>
        <v/>
      </c>
      <c r="AC777" s="4">
        <v>0.34512036679589952</v>
      </c>
      <c r="AD777" s="4">
        <f t="shared" si="21"/>
        <v>-0.42330382633455382</v>
      </c>
      <c r="AE777" s="4" t="e">
        <f t="shared" si="22"/>
        <v>#VALUE!</v>
      </c>
      <c r="AF777" s="3" t="e">
        <f t="shared" si="23"/>
        <v>#VALUE!</v>
      </c>
      <c r="AG777" s="3"/>
      <c r="AH777" s="3"/>
      <c r="AI777" s="3"/>
      <c r="AJ777" s="3"/>
      <c r="AK777" s="3"/>
    </row>
    <row r="778" spans="1:37" ht="12.75" customHeight="1" x14ac:dyDescent="0.2">
      <c r="A778" s="14">
        <v>769</v>
      </c>
      <c r="B778" s="4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4"/>
      <c r="Y778" s="23"/>
      <c r="Z778" s="4" t="str">
        <f t="shared" si="18"/>
        <v/>
      </c>
      <c r="AA778" s="4" t="str">
        <f t="shared" si="19"/>
        <v/>
      </c>
      <c r="AB778" s="4" t="str">
        <f t="shared" si="20"/>
        <v/>
      </c>
      <c r="AC778" s="4">
        <v>0.34512036679589952</v>
      </c>
      <c r="AD778" s="4">
        <f t="shared" si="21"/>
        <v>-0.42330382633455382</v>
      </c>
      <c r="AE778" s="4" t="e">
        <f t="shared" si="22"/>
        <v>#VALUE!</v>
      </c>
      <c r="AF778" s="3" t="e">
        <f t="shared" si="23"/>
        <v>#VALUE!</v>
      </c>
      <c r="AG778" s="3"/>
      <c r="AH778" s="3"/>
      <c r="AI778" s="3"/>
      <c r="AJ778" s="3"/>
      <c r="AK778" s="3"/>
    </row>
    <row r="779" spans="1:37" ht="12.75" customHeight="1" x14ac:dyDescent="0.2">
      <c r="A779" s="14">
        <v>770</v>
      </c>
      <c r="B779" s="4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4"/>
      <c r="Y779" s="23"/>
      <c r="Z779" s="4" t="str">
        <f t="shared" si="18"/>
        <v/>
      </c>
      <c r="AA779" s="4" t="str">
        <f t="shared" si="19"/>
        <v/>
      </c>
      <c r="AB779" s="4" t="str">
        <f t="shared" si="20"/>
        <v/>
      </c>
      <c r="AC779" s="4">
        <v>0.34512036679589952</v>
      </c>
      <c r="AD779" s="4">
        <f t="shared" si="21"/>
        <v>-0.42330382633455382</v>
      </c>
      <c r="AE779" s="4" t="e">
        <f t="shared" si="22"/>
        <v>#VALUE!</v>
      </c>
      <c r="AF779" s="3" t="e">
        <f t="shared" si="23"/>
        <v>#VALUE!</v>
      </c>
      <c r="AG779" s="3"/>
      <c r="AH779" s="3"/>
      <c r="AI779" s="3"/>
      <c r="AJ779" s="3"/>
      <c r="AK779" s="3"/>
    </row>
    <row r="780" spans="1:37" ht="12.75" customHeight="1" x14ac:dyDescent="0.2">
      <c r="A780" s="14">
        <v>771</v>
      </c>
      <c r="B780" s="4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4"/>
      <c r="Y780" s="23"/>
      <c r="Z780" s="4" t="str">
        <f t="shared" si="18"/>
        <v/>
      </c>
      <c r="AA780" s="4" t="str">
        <f t="shared" si="19"/>
        <v/>
      </c>
      <c r="AB780" s="4" t="str">
        <f t="shared" si="20"/>
        <v/>
      </c>
      <c r="AC780" s="4">
        <v>0.34512036679589952</v>
      </c>
      <c r="AD780" s="4">
        <f t="shared" si="21"/>
        <v>-0.42330382633455382</v>
      </c>
      <c r="AE780" s="4" t="e">
        <f t="shared" si="22"/>
        <v>#VALUE!</v>
      </c>
      <c r="AF780" s="3" t="e">
        <f t="shared" si="23"/>
        <v>#VALUE!</v>
      </c>
      <c r="AG780" s="3"/>
      <c r="AH780" s="3"/>
      <c r="AI780" s="3"/>
      <c r="AJ780" s="3"/>
      <c r="AK780" s="3"/>
    </row>
    <row r="781" spans="1:37" ht="12.75" customHeight="1" x14ac:dyDescent="0.2">
      <c r="A781" s="14">
        <v>772</v>
      </c>
      <c r="B781" s="4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4"/>
      <c r="Y781" s="23"/>
      <c r="Z781" s="4" t="str">
        <f t="shared" si="18"/>
        <v/>
      </c>
      <c r="AA781" s="4" t="str">
        <f t="shared" si="19"/>
        <v/>
      </c>
      <c r="AB781" s="4" t="str">
        <f t="shared" si="20"/>
        <v/>
      </c>
      <c r="AC781" s="4">
        <v>0.34512036679589952</v>
      </c>
      <c r="AD781" s="4">
        <f t="shared" si="21"/>
        <v>-0.42330382633455382</v>
      </c>
      <c r="AE781" s="4" t="e">
        <f t="shared" si="22"/>
        <v>#VALUE!</v>
      </c>
      <c r="AF781" s="3" t="e">
        <f t="shared" si="23"/>
        <v>#VALUE!</v>
      </c>
      <c r="AG781" s="3"/>
      <c r="AH781" s="3"/>
      <c r="AI781" s="3"/>
      <c r="AJ781" s="3"/>
      <c r="AK781" s="3"/>
    </row>
    <row r="782" spans="1:37" ht="12.75" customHeight="1" x14ac:dyDescent="0.2">
      <c r="A782" s="14">
        <v>773</v>
      </c>
      <c r="B782" s="4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4"/>
      <c r="Y782" s="23"/>
      <c r="Z782" s="4" t="str">
        <f t="shared" si="18"/>
        <v/>
      </c>
      <c r="AA782" s="4" t="str">
        <f t="shared" si="19"/>
        <v/>
      </c>
      <c r="AB782" s="4" t="str">
        <f t="shared" si="20"/>
        <v/>
      </c>
      <c r="AC782" s="4">
        <v>0.34512036679589952</v>
      </c>
      <c r="AD782" s="4">
        <f t="shared" si="21"/>
        <v>-0.42330382633455382</v>
      </c>
      <c r="AE782" s="4" t="e">
        <f t="shared" si="22"/>
        <v>#VALUE!</v>
      </c>
      <c r="AF782" s="3" t="e">
        <f t="shared" si="23"/>
        <v>#VALUE!</v>
      </c>
      <c r="AG782" s="3"/>
      <c r="AH782" s="3"/>
      <c r="AI782" s="3"/>
      <c r="AJ782" s="3"/>
      <c r="AK782" s="3"/>
    </row>
    <row r="783" spans="1:37" ht="12.75" customHeight="1" x14ac:dyDescent="0.2">
      <c r="A783" s="14">
        <v>774</v>
      </c>
      <c r="B783" s="4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4"/>
      <c r="Y783" s="23"/>
      <c r="Z783" s="4" t="str">
        <f t="shared" si="18"/>
        <v/>
      </c>
      <c r="AA783" s="4" t="str">
        <f t="shared" si="19"/>
        <v/>
      </c>
      <c r="AB783" s="4" t="str">
        <f t="shared" si="20"/>
        <v/>
      </c>
      <c r="AC783" s="4">
        <v>0.34512036679589952</v>
      </c>
      <c r="AD783" s="4">
        <f t="shared" si="21"/>
        <v>-0.42330382633455382</v>
      </c>
      <c r="AE783" s="4" t="e">
        <f t="shared" si="22"/>
        <v>#VALUE!</v>
      </c>
      <c r="AF783" s="3" t="e">
        <f t="shared" si="23"/>
        <v>#VALUE!</v>
      </c>
      <c r="AG783" s="3"/>
      <c r="AH783" s="3"/>
      <c r="AI783" s="3"/>
      <c r="AJ783" s="3"/>
      <c r="AK783" s="3"/>
    </row>
    <row r="784" spans="1:37" ht="12.75" customHeight="1" x14ac:dyDescent="0.2">
      <c r="A784" s="14">
        <v>775</v>
      </c>
      <c r="B784" s="4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4"/>
      <c r="Y784" s="23"/>
      <c r="Z784" s="4" t="str">
        <f t="shared" si="18"/>
        <v/>
      </c>
      <c r="AA784" s="4" t="str">
        <f t="shared" si="19"/>
        <v/>
      </c>
      <c r="AB784" s="4" t="str">
        <f t="shared" si="20"/>
        <v/>
      </c>
      <c r="AC784" s="4">
        <v>0.34512036679589952</v>
      </c>
      <c r="AD784" s="4">
        <f t="shared" si="21"/>
        <v>-0.42330382633455382</v>
      </c>
      <c r="AE784" s="4" t="e">
        <f t="shared" si="22"/>
        <v>#VALUE!</v>
      </c>
      <c r="AF784" s="3" t="e">
        <f t="shared" si="23"/>
        <v>#VALUE!</v>
      </c>
      <c r="AG784" s="3"/>
      <c r="AH784" s="3"/>
      <c r="AI784" s="3"/>
      <c r="AJ784" s="3"/>
      <c r="AK784" s="3"/>
    </row>
    <row r="785" spans="1:37" ht="12.75" customHeight="1" x14ac:dyDescent="0.2">
      <c r="A785" s="14">
        <v>776</v>
      </c>
      <c r="B785" s="4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4"/>
      <c r="Y785" s="23"/>
      <c r="Z785" s="4" t="str">
        <f t="shared" si="18"/>
        <v/>
      </c>
      <c r="AA785" s="4" t="str">
        <f t="shared" si="19"/>
        <v/>
      </c>
      <c r="AB785" s="4" t="str">
        <f t="shared" si="20"/>
        <v/>
      </c>
      <c r="AC785" s="4">
        <v>0.34512036679589952</v>
      </c>
      <c r="AD785" s="4">
        <f t="shared" si="21"/>
        <v>-0.42330382633455382</v>
      </c>
      <c r="AE785" s="4" t="e">
        <f t="shared" si="22"/>
        <v>#VALUE!</v>
      </c>
      <c r="AF785" s="3" t="e">
        <f t="shared" si="23"/>
        <v>#VALUE!</v>
      </c>
      <c r="AG785" s="3"/>
      <c r="AH785" s="3"/>
      <c r="AI785" s="3"/>
      <c r="AJ785" s="3"/>
      <c r="AK785" s="3"/>
    </row>
    <row r="786" spans="1:37" ht="12.75" customHeight="1" x14ac:dyDescent="0.2">
      <c r="A786" s="14">
        <v>777</v>
      </c>
      <c r="B786" s="4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4"/>
      <c r="Y786" s="23"/>
      <c r="Z786" s="4" t="str">
        <f t="shared" si="18"/>
        <v/>
      </c>
      <c r="AA786" s="4" t="str">
        <f t="shared" si="19"/>
        <v/>
      </c>
      <c r="AB786" s="4" t="str">
        <f t="shared" si="20"/>
        <v/>
      </c>
      <c r="AC786" s="4">
        <v>0.34512036679589952</v>
      </c>
      <c r="AD786" s="4">
        <f t="shared" si="21"/>
        <v>-0.42330382633455382</v>
      </c>
      <c r="AE786" s="4" t="e">
        <f t="shared" si="22"/>
        <v>#VALUE!</v>
      </c>
      <c r="AF786" s="3" t="e">
        <f t="shared" si="23"/>
        <v>#VALUE!</v>
      </c>
      <c r="AG786" s="3"/>
      <c r="AH786" s="3"/>
      <c r="AI786" s="3"/>
      <c r="AJ786" s="3"/>
      <c r="AK786" s="3"/>
    </row>
    <row r="787" spans="1:37" ht="12.75" customHeight="1" x14ac:dyDescent="0.2">
      <c r="A787" s="14">
        <v>778</v>
      </c>
      <c r="B787" s="4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4"/>
      <c r="Y787" s="23"/>
      <c r="Z787" s="4" t="str">
        <f t="shared" si="18"/>
        <v/>
      </c>
      <c r="AA787" s="4" t="str">
        <f t="shared" si="19"/>
        <v/>
      </c>
      <c r="AB787" s="4" t="str">
        <f t="shared" si="20"/>
        <v/>
      </c>
      <c r="AC787" s="4">
        <v>0.34512036679589952</v>
      </c>
      <c r="AD787" s="4">
        <f t="shared" si="21"/>
        <v>-0.42330382633455382</v>
      </c>
      <c r="AE787" s="4" t="e">
        <f t="shared" si="22"/>
        <v>#VALUE!</v>
      </c>
      <c r="AF787" s="3" t="e">
        <f t="shared" si="23"/>
        <v>#VALUE!</v>
      </c>
      <c r="AG787" s="3"/>
      <c r="AH787" s="3"/>
      <c r="AI787" s="3"/>
      <c r="AJ787" s="3"/>
      <c r="AK787" s="3"/>
    </row>
    <row r="788" spans="1:37" ht="12.75" customHeight="1" x14ac:dyDescent="0.2">
      <c r="A788" s="14">
        <v>779</v>
      </c>
      <c r="B788" s="4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4"/>
      <c r="Y788" s="23"/>
      <c r="Z788" s="4" t="str">
        <f t="shared" si="18"/>
        <v/>
      </c>
      <c r="AA788" s="4" t="str">
        <f t="shared" si="19"/>
        <v/>
      </c>
      <c r="AB788" s="4" t="str">
        <f t="shared" si="20"/>
        <v/>
      </c>
      <c r="AC788" s="4">
        <v>0.34512036679589952</v>
      </c>
      <c r="AD788" s="4">
        <f t="shared" si="21"/>
        <v>-0.42330382633455382</v>
      </c>
      <c r="AE788" s="4" t="e">
        <f t="shared" si="22"/>
        <v>#VALUE!</v>
      </c>
      <c r="AF788" s="3" t="e">
        <f t="shared" si="23"/>
        <v>#VALUE!</v>
      </c>
      <c r="AG788" s="3"/>
      <c r="AH788" s="3"/>
      <c r="AI788" s="3"/>
      <c r="AJ788" s="3"/>
      <c r="AK788" s="3"/>
    </row>
    <row r="789" spans="1:37" ht="12.75" customHeight="1" x14ac:dyDescent="0.2">
      <c r="A789" s="14">
        <v>780</v>
      </c>
      <c r="B789" s="4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4"/>
      <c r="Y789" s="23"/>
      <c r="Z789" s="4" t="str">
        <f t="shared" si="18"/>
        <v/>
      </c>
      <c r="AA789" s="4" t="str">
        <f t="shared" si="19"/>
        <v/>
      </c>
      <c r="AB789" s="4" t="str">
        <f t="shared" si="20"/>
        <v/>
      </c>
      <c r="AC789" s="4">
        <v>0.34512036679589952</v>
      </c>
      <c r="AD789" s="4">
        <f t="shared" si="21"/>
        <v>-0.42330382633455382</v>
      </c>
      <c r="AE789" s="4" t="e">
        <f t="shared" si="22"/>
        <v>#VALUE!</v>
      </c>
      <c r="AF789" s="3" t="e">
        <f t="shared" si="23"/>
        <v>#VALUE!</v>
      </c>
      <c r="AG789" s="3"/>
      <c r="AH789" s="3"/>
      <c r="AI789" s="3"/>
      <c r="AJ789" s="3"/>
      <c r="AK789" s="3"/>
    </row>
    <row r="790" spans="1:37" ht="12.75" customHeight="1" x14ac:dyDescent="0.2">
      <c r="A790" s="14">
        <v>781</v>
      </c>
      <c r="B790" s="4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4"/>
      <c r="Y790" s="23"/>
      <c r="Z790" s="4" t="str">
        <f t="shared" si="18"/>
        <v/>
      </c>
      <c r="AA790" s="4" t="str">
        <f t="shared" si="19"/>
        <v/>
      </c>
      <c r="AB790" s="4" t="str">
        <f t="shared" si="20"/>
        <v/>
      </c>
      <c r="AC790" s="4">
        <v>0.34512036679589952</v>
      </c>
      <c r="AD790" s="4">
        <f t="shared" si="21"/>
        <v>-0.42330382633455382</v>
      </c>
      <c r="AE790" s="4" t="e">
        <f t="shared" si="22"/>
        <v>#VALUE!</v>
      </c>
      <c r="AF790" s="3" t="e">
        <f t="shared" si="23"/>
        <v>#VALUE!</v>
      </c>
      <c r="AG790" s="3"/>
      <c r="AH790" s="3"/>
      <c r="AI790" s="3"/>
      <c r="AJ790" s="3"/>
      <c r="AK790" s="3"/>
    </row>
    <row r="791" spans="1:37" ht="12.75" customHeight="1" x14ac:dyDescent="0.2">
      <c r="A791" s="14">
        <v>782</v>
      </c>
      <c r="B791" s="4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4"/>
      <c r="Y791" s="23"/>
      <c r="Z791" s="4" t="str">
        <f t="shared" si="18"/>
        <v/>
      </c>
      <c r="AA791" s="4" t="str">
        <f t="shared" si="19"/>
        <v/>
      </c>
      <c r="AB791" s="4" t="str">
        <f t="shared" si="20"/>
        <v/>
      </c>
      <c r="AC791" s="4">
        <v>0.34512036679589952</v>
      </c>
      <c r="AD791" s="4">
        <f t="shared" si="21"/>
        <v>-0.42330382633455382</v>
      </c>
      <c r="AE791" s="4" t="e">
        <f t="shared" si="22"/>
        <v>#VALUE!</v>
      </c>
      <c r="AF791" s="3" t="e">
        <f t="shared" si="23"/>
        <v>#VALUE!</v>
      </c>
      <c r="AG791" s="3"/>
      <c r="AH791" s="3"/>
      <c r="AI791" s="3"/>
      <c r="AJ791" s="3"/>
      <c r="AK791" s="3"/>
    </row>
    <row r="792" spans="1:37" ht="12.75" customHeight="1" x14ac:dyDescent="0.2">
      <c r="A792" s="14">
        <v>783</v>
      </c>
      <c r="B792" s="4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4"/>
      <c r="Y792" s="23"/>
      <c r="Z792" s="4" t="str">
        <f t="shared" si="18"/>
        <v/>
      </c>
      <c r="AA792" s="4" t="str">
        <f t="shared" si="19"/>
        <v/>
      </c>
      <c r="AB792" s="4" t="str">
        <f t="shared" si="20"/>
        <v/>
      </c>
      <c r="AC792" s="4">
        <v>0.34512036679589952</v>
      </c>
      <c r="AD792" s="4">
        <f t="shared" si="21"/>
        <v>-0.42330382633455382</v>
      </c>
      <c r="AE792" s="4" t="e">
        <f t="shared" si="22"/>
        <v>#VALUE!</v>
      </c>
      <c r="AF792" s="3" t="e">
        <f t="shared" si="23"/>
        <v>#VALUE!</v>
      </c>
      <c r="AG792" s="3"/>
      <c r="AH792" s="3"/>
      <c r="AI792" s="3"/>
      <c r="AJ792" s="3"/>
      <c r="AK792" s="3"/>
    </row>
    <row r="793" spans="1:37" ht="12.75" customHeight="1" x14ac:dyDescent="0.2">
      <c r="A793" s="14">
        <v>784</v>
      </c>
      <c r="B793" s="4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4"/>
      <c r="Y793" s="23"/>
      <c r="Z793" s="4" t="str">
        <f t="shared" si="18"/>
        <v/>
      </c>
      <c r="AA793" s="4" t="str">
        <f t="shared" si="19"/>
        <v/>
      </c>
      <c r="AB793" s="4" t="str">
        <f t="shared" si="20"/>
        <v/>
      </c>
      <c r="AC793" s="4">
        <v>0.34512036679589952</v>
      </c>
      <c r="AD793" s="4">
        <f t="shared" si="21"/>
        <v>-0.42330382633455382</v>
      </c>
      <c r="AE793" s="4" t="e">
        <f t="shared" si="22"/>
        <v>#VALUE!</v>
      </c>
      <c r="AF793" s="3" t="e">
        <f t="shared" si="23"/>
        <v>#VALUE!</v>
      </c>
      <c r="AG793" s="3"/>
      <c r="AH793" s="3"/>
      <c r="AI793" s="3"/>
      <c r="AJ793" s="3"/>
      <c r="AK793" s="3"/>
    </row>
    <row r="794" spans="1:37" ht="12.75" customHeight="1" x14ac:dyDescent="0.2">
      <c r="A794" s="14">
        <v>785</v>
      </c>
      <c r="B794" s="4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4"/>
      <c r="Y794" s="23"/>
      <c r="Z794" s="4" t="str">
        <f t="shared" si="18"/>
        <v/>
      </c>
      <c r="AA794" s="4" t="str">
        <f t="shared" si="19"/>
        <v/>
      </c>
      <c r="AB794" s="4" t="str">
        <f t="shared" si="20"/>
        <v/>
      </c>
      <c r="AC794" s="4">
        <v>0.34512036679589952</v>
      </c>
      <c r="AD794" s="4">
        <f t="shared" si="21"/>
        <v>-0.42330382633455382</v>
      </c>
      <c r="AE794" s="4" t="e">
        <f t="shared" si="22"/>
        <v>#VALUE!</v>
      </c>
      <c r="AF794" s="3" t="e">
        <f t="shared" si="23"/>
        <v>#VALUE!</v>
      </c>
      <c r="AG794" s="3"/>
      <c r="AH794" s="3"/>
      <c r="AI794" s="3"/>
      <c r="AJ794" s="3"/>
      <c r="AK794" s="3"/>
    </row>
    <row r="795" spans="1:37" ht="12.75" customHeight="1" x14ac:dyDescent="0.2">
      <c r="A795" s="14">
        <v>786</v>
      </c>
      <c r="B795" s="4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4"/>
      <c r="Y795" s="23"/>
      <c r="Z795" s="4" t="str">
        <f t="shared" si="18"/>
        <v/>
      </c>
      <c r="AA795" s="4" t="str">
        <f t="shared" si="19"/>
        <v/>
      </c>
      <c r="AB795" s="4" t="str">
        <f t="shared" si="20"/>
        <v/>
      </c>
      <c r="AC795" s="4">
        <v>0.34512036679589952</v>
      </c>
      <c r="AD795" s="4">
        <f t="shared" si="21"/>
        <v>-0.42330382633455382</v>
      </c>
      <c r="AE795" s="4" t="e">
        <f t="shared" si="22"/>
        <v>#VALUE!</v>
      </c>
      <c r="AF795" s="3" t="e">
        <f t="shared" si="23"/>
        <v>#VALUE!</v>
      </c>
      <c r="AG795" s="3"/>
      <c r="AH795" s="3"/>
      <c r="AI795" s="3"/>
      <c r="AJ795" s="3"/>
      <c r="AK795" s="3"/>
    </row>
    <row r="796" spans="1:37" ht="12.75" customHeight="1" x14ac:dyDescent="0.2">
      <c r="A796" s="14">
        <v>787</v>
      </c>
      <c r="B796" s="4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4"/>
      <c r="Y796" s="23"/>
      <c r="Z796" s="4" t="str">
        <f t="shared" si="18"/>
        <v/>
      </c>
      <c r="AA796" s="4" t="str">
        <f t="shared" si="19"/>
        <v/>
      </c>
      <c r="AB796" s="4" t="str">
        <f t="shared" si="20"/>
        <v/>
      </c>
      <c r="AC796" s="4">
        <v>0.34512036679589952</v>
      </c>
      <c r="AD796" s="4">
        <f t="shared" si="21"/>
        <v>-0.42330382633455382</v>
      </c>
      <c r="AE796" s="4" t="e">
        <f t="shared" si="22"/>
        <v>#VALUE!</v>
      </c>
      <c r="AF796" s="3" t="e">
        <f t="shared" si="23"/>
        <v>#VALUE!</v>
      </c>
      <c r="AG796" s="3"/>
      <c r="AH796" s="3"/>
      <c r="AI796" s="3"/>
      <c r="AJ796" s="3"/>
      <c r="AK796" s="3"/>
    </row>
    <row r="797" spans="1:37" ht="12.75" customHeight="1" x14ac:dyDescent="0.2">
      <c r="A797" s="14">
        <v>788</v>
      </c>
      <c r="B797" s="4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4"/>
      <c r="Y797" s="23"/>
      <c r="Z797" s="4" t="str">
        <f t="shared" si="18"/>
        <v/>
      </c>
      <c r="AA797" s="4" t="str">
        <f t="shared" si="19"/>
        <v/>
      </c>
      <c r="AB797" s="4" t="str">
        <f t="shared" si="20"/>
        <v/>
      </c>
      <c r="AC797" s="4">
        <v>0.34512036679589952</v>
      </c>
      <c r="AD797" s="4">
        <f t="shared" si="21"/>
        <v>-0.42330382633455382</v>
      </c>
      <c r="AE797" s="4" t="e">
        <f t="shared" si="22"/>
        <v>#VALUE!</v>
      </c>
      <c r="AF797" s="3" t="e">
        <f t="shared" si="23"/>
        <v>#VALUE!</v>
      </c>
      <c r="AG797" s="3"/>
      <c r="AH797" s="3"/>
      <c r="AI797" s="3"/>
      <c r="AJ797" s="3"/>
      <c r="AK797" s="3"/>
    </row>
    <row r="798" spans="1:37" ht="12.75" customHeight="1" x14ac:dyDescent="0.2">
      <c r="A798" s="14">
        <v>789</v>
      </c>
      <c r="B798" s="4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4"/>
      <c r="Y798" s="23"/>
      <c r="Z798" s="4" t="str">
        <f t="shared" si="18"/>
        <v/>
      </c>
      <c r="AA798" s="4" t="str">
        <f t="shared" si="19"/>
        <v/>
      </c>
      <c r="AB798" s="4" t="str">
        <f t="shared" si="20"/>
        <v/>
      </c>
      <c r="AC798" s="4">
        <v>0.34512036679589952</v>
      </c>
      <c r="AD798" s="4">
        <f t="shared" si="21"/>
        <v>-0.42330382633455382</v>
      </c>
      <c r="AE798" s="4" t="e">
        <f t="shared" si="22"/>
        <v>#VALUE!</v>
      </c>
      <c r="AF798" s="3" t="e">
        <f t="shared" si="23"/>
        <v>#VALUE!</v>
      </c>
      <c r="AG798" s="3"/>
      <c r="AH798" s="3"/>
      <c r="AI798" s="3"/>
      <c r="AJ798" s="3"/>
      <c r="AK798" s="3"/>
    </row>
    <row r="799" spans="1:37" ht="12.75" customHeight="1" x14ac:dyDescent="0.2">
      <c r="A799" s="14">
        <v>790</v>
      </c>
      <c r="B799" s="4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4"/>
      <c r="Y799" s="23"/>
      <c r="Z799" s="4" t="str">
        <f t="shared" si="18"/>
        <v/>
      </c>
      <c r="AA799" s="4" t="str">
        <f t="shared" si="19"/>
        <v/>
      </c>
      <c r="AB799" s="4" t="str">
        <f t="shared" si="20"/>
        <v/>
      </c>
      <c r="AC799" s="4">
        <v>0.34512036679589952</v>
      </c>
      <c r="AD799" s="4">
        <f t="shared" si="21"/>
        <v>-0.42330382633455382</v>
      </c>
      <c r="AE799" s="4" t="e">
        <f t="shared" si="22"/>
        <v>#VALUE!</v>
      </c>
      <c r="AF799" s="3" t="e">
        <f t="shared" si="23"/>
        <v>#VALUE!</v>
      </c>
      <c r="AG799" s="3"/>
      <c r="AH799" s="3"/>
      <c r="AI799" s="3"/>
      <c r="AJ799" s="3"/>
      <c r="AK799" s="3"/>
    </row>
    <row r="800" spans="1:37" ht="12.75" customHeight="1" x14ac:dyDescent="0.2">
      <c r="A800" s="14">
        <v>791</v>
      </c>
      <c r="B800" s="4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4"/>
      <c r="Y800" s="23"/>
      <c r="Z800" s="4" t="str">
        <f t="shared" si="18"/>
        <v/>
      </c>
      <c r="AA800" s="4" t="str">
        <f t="shared" si="19"/>
        <v/>
      </c>
      <c r="AB800" s="4" t="str">
        <f t="shared" si="20"/>
        <v/>
      </c>
      <c r="AC800" s="4">
        <v>0.34512036679589952</v>
      </c>
      <c r="AD800" s="4">
        <f t="shared" si="21"/>
        <v>-0.42330382633455382</v>
      </c>
      <c r="AE800" s="4" t="e">
        <f t="shared" si="22"/>
        <v>#VALUE!</v>
      </c>
      <c r="AF800" s="3" t="e">
        <f t="shared" si="23"/>
        <v>#VALUE!</v>
      </c>
      <c r="AG800" s="3"/>
      <c r="AH800" s="3"/>
      <c r="AI800" s="3"/>
      <c r="AJ800" s="3"/>
      <c r="AK800" s="3"/>
    </row>
    <row r="801" spans="1:37" ht="12.75" customHeight="1" x14ac:dyDescent="0.2">
      <c r="A801" s="14">
        <v>792</v>
      </c>
      <c r="B801" s="4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4"/>
      <c r="Y801" s="23"/>
      <c r="Z801" s="4" t="str">
        <f t="shared" si="18"/>
        <v/>
      </c>
      <c r="AA801" s="4" t="str">
        <f t="shared" si="19"/>
        <v/>
      </c>
      <c r="AB801" s="4" t="str">
        <f t="shared" si="20"/>
        <v/>
      </c>
      <c r="AC801" s="4">
        <v>0.34512036679589952</v>
      </c>
      <c r="AD801" s="4">
        <f t="shared" si="21"/>
        <v>-0.42330382633455382</v>
      </c>
      <c r="AE801" s="4" t="e">
        <f t="shared" si="22"/>
        <v>#VALUE!</v>
      </c>
      <c r="AF801" s="3" t="e">
        <f t="shared" si="23"/>
        <v>#VALUE!</v>
      </c>
      <c r="AG801" s="3"/>
      <c r="AH801" s="3"/>
      <c r="AI801" s="3"/>
      <c r="AJ801" s="3"/>
      <c r="AK801" s="3"/>
    </row>
    <row r="802" spans="1:37" ht="12.75" customHeight="1" x14ac:dyDescent="0.2">
      <c r="A802" s="14">
        <v>793</v>
      </c>
      <c r="B802" s="4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4"/>
      <c r="Y802" s="23"/>
      <c r="Z802" s="4" t="str">
        <f t="shared" si="18"/>
        <v/>
      </c>
      <c r="AA802" s="4" t="str">
        <f t="shared" si="19"/>
        <v/>
      </c>
      <c r="AB802" s="4" t="str">
        <f t="shared" si="20"/>
        <v/>
      </c>
      <c r="AC802" s="4">
        <v>0.34512036679589952</v>
      </c>
      <c r="AD802" s="4">
        <f t="shared" si="21"/>
        <v>-0.42330382633455382</v>
      </c>
      <c r="AE802" s="4" t="e">
        <f t="shared" si="22"/>
        <v>#VALUE!</v>
      </c>
      <c r="AF802" s="3" t="e">
        <f t="shared" si="23"/>
        <v>#VALUE!</v>
      </c>
      <c r="AG802" s="3"/>
      <c r="AH802" s="3"/>
      <c r="AI802" s="3"/>
      <c r="AJ802" s="3"/>
      <c r="AK802" s="3"/>
    </row>
    <row r="803" spans="1:37" ht="12.75" customHeight="1" x14ac:dyDescent="0.2">
      <c r="A803" s="14">
        <v>794</v>
      </c>
      <c r="B803" s="4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4"/>
      <c r="Y803" s="23"/>
      <c r="Z803" s="4" t="str">
        <f t="shared" si="18"/>
        <v/>
      </c>
      <c r="AA803" s="4" t="str">
        <f t="shared" si="19"/>
        <v/>
      </c>
      <c r="AB803" s="4" t="str">
        <f t="shared" si="20"/>
        <v/>
      </c>
      <c r="AC803" s="4">
        <v>0.34512036679589952</v>
      </c>
      <c r="AD803" s="4">
        <f t="shared" si="21"/>
        <v>-0.42330382633455382</v>
      </c>
      <c r="AE803" s="4" t="e">
        <f t="shared" si="22"/>
        <v>#VALUE!</v>
      </c>
      <c r="AF803" s="3" t="e">
        <f t="shared" si="23"/>
        <v>#VALUE!</v>
      </c>
      <c r="AG803" s="3"/>
      <c r="AH803" s="3"/>
      <c r="AI803" s="3"/>
      <c r="AJ803" s="3"/>
      <c r="AK803" s="3"/>
    </row>
    <row r="804" spans="1:37" ht="12.75" customHeight="1" x14ac:dyDescent="0.2">
      <c r="A804" s="14">
        <v>795</v>
      </c>
      <c r="B804" s="4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4"/>
      <c r="Y804" s="23"/>
      <c r="Z804" s="4" t="str">
        <f t="shared" si="18"/>
        <v/>
      </c>
      <c r="AA804" s="4" t="str">
        <f t="shared" si="19"/>
        <v/>
      </c>
      <c r="AB804" s="4" t="str">
        <f t="shared" si="20"/>
        <v/>
      </c>
      <c r="AC804" s="4">
        <v>0.34512036679589952</v>
      </c>
      <c r="AD804" s="4">
        <f t="shared" si="21"/>
        <v>-0.42330382633455382</v>
      </c>
      <c r="AE804" s="4" t="e">
        <f t="shared" si="22"/>
        <v>#VALUE!</v>
      </c>
      <c r="AF804" s="3" t="e">
        <f t="shared" si="23"/>
        <v>#VALUE!</v>
      </c>
      <c r="AG804" s="3"/>
      <c r="AH804" s="3"/>
      <c r="AI804" s="3"/>
      <c r="AJ804" s="3"/>
      <c r="AK804" s="3"/>
    </row>
    <row r="805" spans="1:37" ht="12.75" customHeight="1" x14ac:dyDescent="0.2">
      <c r="A805" s="14">
        <v>796</v>
      </c>
      <c r="B805" s="4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4"/>
      <c r="Y805" s="23"/>
      <c r="Z805" s="4" t="str">
        <f t="shared" si="18"/>
        <v/>
      </c>
      <c r="AA805" s="4" t="str">
        <f t="shared" si="19"/>
        <v/>
      </c>
      <c r="AB805" s="4" t="str">
        <f t="shared" si="20"/>
        <v/>
      </c>
      <c r="AC805" s="4">
        <v>0.34512036679589952</v>
      </c>
      <c r="AD805" s="4">
        <f t="shared" si="21"/>
        <v>-0.42330382633455382</v>
      </c>
      <c r="AE805" s="4" t="e">
        <f t="shared" si="22"/>
        <v>#VALUE!</v>
      </c>
      <c r="AF805" s="3" t="e">
        <f t="shared" si="23"/>
        <v>#VALUE!</v>
      </c>
      <c r="AG805" s="3"/>
      <c r="AH805" s="3"/>
      <c r="AI805" s="3"/>
      <c r="AJ805" s="3"/>
      <c r="AK805" s="3"/>
    </row>
    <row r="806" spans="1:37" ht="12.75" customHeight="1" x14ac:dyDescent="0.2">
      <c r="A806" s="14">
        <v>797</v>
      </c>
      <c r="B806" s="4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4"/>
      <c r="Y806" s="23"/>
      <c r="Z806" s="4" t="str">
        <f t="shared" si="18"/>
        <v/>
      </c>
      <c r="AA806" s="4" t="str">
        <f t="shared" si="19"/>
        <v/>
      </c>
      <c r="AB806" s="4" t="str">
        <f t="shared" si="20"/>
        <v/>
      </c>
      <c r="AC806" s="4">
        <v>0.34512036679589952</v>
      </c>
      <c r="AD806" s="4">
        <f t="shared" si="21"/>
        <v>-0.42330382633455382</v>
      </c>
      <c r="AE806" s="4" t="e">
        <f t="shared" si="22"/>
        <v>#VALUE!</v>
      </c>
      <c r="AF806" s="3" t="e">
        <f t="shared" si="23"/>
        <v>#VALUE!</v>
      </c>
      <c r="AG806" s="3"/>
      <c r="AH806" s="3"/>
      <c r="AI806" s="3"/>
      <c r="AJ806" s="3"/>
      <c r="AK806" s="3"/>
    </row>
    <row r="807" spans="1:37" ht="12.75" customHeight="1" x14ac:dyDescent="0.2">
      <c r="A807" s="14">
        <v>798</v>
      </c>
      <c r="B807" s="4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4"/>
      <c r="Y807" s="23"/>
      <c r="Z807" s="4" t="str">
        <f t="shared" si="18"/>
        <v/>
      </c>
      <c r="AA807" s="4" t="str">
        <f t="shared" si="19"/>
        <v/>
      </c>
      <c r="AB807" s="4" t="str">
        <f t="shared" si="20"/>
        <v/>
      </c>
      <c r="AC807" s="4">
        <v>0.34512036679589952</v>
      </c>
      <c r="AD807" s="4">
        <f t="shared" si="21"/>
        <v>-0.42330382633455382</v>
      </c>
      <c r="AE807" s="4" t="e">
        <f t="shared" si="22"/>
        <v>#VALUE!</v>
      </c>
      <c r="AF807" s="3" t="e">
        <f t="shared" si="23"/>
        <v>#VALUE!</v>
      </c>
      <c r="AG807" s="3"/>
      <c r="AH807" s="3"/>
      <c r="AI807" s="3"/>
      <c r="AJ807" s="3"/>
      <c r="AK807" s="3"/>
    </row>
    <row r="808" spans="1:37" ht="12.75" customHeight="1" x14ac:dyDescent="0.2">
      <c r="A808" s="14">
        <v>799</v>
      </c>
      <c r="B808" s="4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4"/>
      <c r="Y808" s="23"/>
      <c r="Z808" s="4" t="str">
        <f t="shared" si="18"/>
        <v/>
      </c>
      <c r="AA808" s="4" t="str">
        <f t="shared" si="19"/>
        <v/>
      </c>
      <c r="AB808" s="4" t="str">
        <f t="shared" si="20"/>
        <v/>
      </c>
      <c r="AC808" s="4">
        <v>0.34512036679589952</v>
      </c>
      <c r="AD808" s="4">
        <f t="shared" si="21"/>
        <v>-0.42330382633455382</v>
      </c>
      <c r="AE808" s="4" t="e">
        <f t="shared" si="22"/>
        <v>#VALUE!</v>
      </c>
      <c r="AF808" s="3" t="e">
        <f t="shared" si="23"/>
        <v>#VALUE!</v>
      </c>
      <c r="AG808" s="3"/>
      <c r="AH808" s="3"/>
      <c r="AI808" s="3"/>
      <c r="AJ808" s="3"/>
      <c r="AK808" s="3"/>
    </row>
    <row r="809" spans="1:37" ht="12.75" customHeight="1" x14ac:dyDescent="0.2">
      <c r="A809" s="14">
        <v>800</v>
      </c>
      <c r="B809" s="4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4"/>
      <c r="Y809" s="23"/>
      <c r="Z809" s="4" t="str">
        <f t="shared" si="18"/>
        <v/>
      </c>
      <c r="AA809" s="4" t="str">
        <f t="shared" si="19"/>
        <v/>
      </c>
      <c r="AB809" s="4" t="str">
        <f t="shared" si="20"/>
        <v/>
      </c>
      <c r="AC809" s="4">
        <v>0.34512036679589952</v>
      </c>
      <c r="AD809" s="4">
        <f t="shared" si="21"/>
        <v>-0.42330382633455382</v>
      </c>
      <c r="AE809" s="4" t="e">
        <f t="shared" si="22"/>
        <v>#VALUE!</v>
      </c>
      <c r="AF809" s="3" t="e">
        <f t="shared" si="23"/>
        <v>#VALUE!</v>
      </c>
      <c r="AG809" s="3"/>
      <c r="AH809" s="3"/>
      <c r="AI809" s="3"/>
      <c r="AJ809" s="3"/>
      <c r="AK809" s="3"/>
    </row>
    <row r="810" spans="1:37" ht="12.75" customHeight="1" x14ac:dyDescent="0.2">
      <c r="A810" s="14">
        <v>801</v>
      </c>
      <c r="B810" s="4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4"/>
      <c r="Y810" s="23"/>
      <c r="Z810" s="4" t="str">
        <f t="shared" si="18"/>
        <v/>
      </c>
      <c r="AA810" s="4" t="str">
        <f t="shared" si="19"/>
        <v/>
      </c>
      <c r="AB810" s="4" t="str">
        <f t="shared" si="20"/>
        <v/>
      </c>
      <c r="AC810" s="4">
        <v>0.34512036679589952</v>
      </c>
      <c r="AD810" s="4">
        <f t="shared" si="21"/>
        <v>-0.42330382633455382</v>
      </c>
      <c r="AE810" s="4" t="e">
        <f t="shared" si="22"/>
        <v>#VALUE!</v>
      </c>
      <c r="AF810" s="3" t="e">
        <f t="shared" si="23"/>
        <v>#VALUE!</v>
      </c>
      <c r="AG810" s="3"/>
      <c r="AH810" s="3"/>
      <c r="AI810" s="3"/>
      <c r="AJ810" s="3"/>
      <c r="AK810" s="3"/>
    </row>
    <row r="811" spans="1:37" ht="12.75" customHeight="1" x14ac:dyDescent="0.2">
      <c r="A811" s="14">
        <v>802</v>
      </c>
      <c r="B811" s="4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4"/>
      <c r="Y811" s="23"/>
      <c r="Z811" s="4" t="str">
        <f t="shared" si="18"/>
        <v/>
      </c>
      <c r="AA811" s="4" t="str">
        <f t="shared" si="19"/>
        <v/>
      </c>
      <c r="AB811" s="4" t="str">
        <f t="shared" si="20"/>
        <v/>
      </c>
      <c r="AC811" s="4">
        <v>0.34512036679589952</v>
      </c>
      <c r="AD811" s="4">
        <f t="shared" si="21"/>
        <v>-0.42330382633455382</v>
      </c>
      <c r="AE811" s="4" t="e">
        <f t="shared" si="22"/>
        <v>#VALUE!</v>
      </c>
      <c r="AF811" s="3" t="e">
        <f t="shared" si="23"/>
        <v>#VALUE!</v>
      </c>
      <c r="AG811" s="3"/>
      <c r="AH811" s="3"/>
      <c r="AI811" s="3"/>
      <c r="AJ811" s="3"/>
      <c r="AK811" s="3"/>
    </row>
    <row r="812" spans="1:37" ht="12.75" customHeight="1" x14ac:dyDescent="0.2">
      <c r="A812" s="14">
        <v>803</v>
      </c>
      <c r="B812" s="4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4"/>
      <c r="Y812" s="23"/>
      <c r="Z812" s="4" t="str">
        <f t="shared" si="18"/>
        <v/>
      </c>
      <c r="AA812" s="4" t="str">
        <f t="shared" si="19"/>
        <v/>
      </c>
      <c r="AB812" s="4" t="str">
        <f t="shared" si="20"/>
        <v/>
      </c>
      <c r="AC812" s="4">
        <v>0.34512036679589952</v>
      </c>
      <c r="AD812" s="4">
        <f t="shared" si="21"/>
        <v>-0.42330382633455382</v>
      </c>
      <c r="AE812" s="4" t="e">
        <f t="shared" si="22"/>
        <v>#VALUE!</v>
      </c>
      <c r="AF812" s="3" t="e">
        <f t="shared" si="23"/>
        <v>#VALUE!</v>
      </c>
      <c r="AG812" s="3"/>
      <c r="AH812" s="3"/>
      <c r="AI812" s="3"/>
      <c r="AJ812" s="3"/>
      <c r="AK812" s="3"/>
    </row>
    <row r="813" spans="1:37" ht="12.75" customHeight="1" x14ac:dyDescent="0.2">
      <c r="A813" s="14">
        <v>804</v>
      </c>
      <c r="B813" s="4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4"/>
      <c r="Y813" s="23"/>
      <c r="Z813" s="4" t="str">
        <f t="shared" si="18"/>
        <v/>
      </c>
      <c r="AA813" s="4" t="str">
        <f t="shared" si="19"/>
        <v/>
      </c>
      <c r="AB813" s="4" t="str">
        <f t="shared" si="20"/>
        <v/>
      </c>
      <c r="AC813" s="4">
        <v>0.34512036679589952</v>
      </c>
      <c r="AD813" s="4">
        <f t="shared" si="21"/>
        <v>-0.42330382633455382</v>
      </c>
      <c r="AE813" s="4" t="e">
        <f t="shared" si="22"/>
        <v>#VALUE!</v>
      </c>
      <c r="AF813" s="3" t="e">
        <f t="shared" si="23"/>
        <v>#VALUE!</v>
      </c>
      <c r="AG813" s="3"/>
      <c r="AH813" s="3"/>
      <c r="AI813" s="3"/>
      <c r="AJ813" s="3"/>
      <c r="AK813" s="3"/>
    </row>
    <row r="814" spans="1:37" ht="12.75" customHeight="1" x14ac:dyDescent="0.2">
      <c r="A814" s="14">
        <v>805</v>
      </c>
      <c r="B814" s="4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4"/>
      <c r="Y814" s="23"/>
      <c r="Z814" s="4" t="str">
        <f t="shared" si="18"/>
        <v/>
      </c>
      <c r="AA814" s="4" t="str">
        <f t="shared" si="19"/>
        <v/>
      </c>
      <c r="AB814" s="4" t="str">
        <f t="shared" si="20"/>
        <v/>
      </c>
      <c r="AC814" s="4">
        <v>0.34512036679589952</v>
      </c>
      <c r="AD814" s="4">
        <f t="shared" si="21"/>
        <v>-0.42330382633455382</v>
      </c>
      <c r="AE814" s="4" t="e">
        <f t="shared" si="22"/>
        <v>#VALUE!</v>
      </c>
      <c r="AF814" s="3" t="e">
        <f t="shared" si="23"/>
        <v>#VALUE!</v>
      </c>
      <c r="AG814" s="3"/>
      <c r="AH814" s="3"/>
      <c r="AI814" s="3"/>
      <c r="AJ814" s="3"/>
      <c r="AK814" s="3"/>
    </row>
    <row r="815" spans="1:37" ht="12.75" customHeight="1" x14ac:dyDescent="0.2">
      <c r="A815" s="14">
        <v>806</v>
      </c>
      <c r="B815" s="4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4"/>
      <c r="Y815" s="23"/>
      <c r="Z815" s="4" t="str">
        <f t="shared" si="18"/>
        <v/>
      </c>
      <c r="AA815" s="4" t="str">
        <f t="shared" si="19"/>
        <v/>
      </c>
      <c r="AB815" s="4" t="str">
        <f t="shared" si="20"/>
        <v/>
      </c>
      <c r="AC815" s="4">
        <v>0.34512036679589952</v>
      </c>
      <c r="AD815" s="4">
        <f t="shared" si="21"/>
        <v>-0.42330382633455382</v>
      </c>
      <c r="AE815" s="4" t="e">
        <f t="shared" si="22"/>
        <v>#VALUE!</v>
      </c>
      <c r="AF815" s="3" t="e">
        <f t="shared" si="23"/>
        <v>#VALUE!</v>
      </c>
      <c r="AG815" s="3"/>
      <c r="AH815" s="3"/>
      <c r="AI815" s="3"/>
      <c r="AJ815" s="3"/>
      <c r="AK815" s="3"/>
    </row>
    <row r="816" spans="1:37" ht="12.75" customHeight="1" x14ac:dyDescent="0.2">
      <c r="A816" s="14">
        <v>807</v>
      </c>
      <c r="B816" s="4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4"/>
      <c r="Y816" s="23"/>
      <c r="Z816" s="4" t="str">
        <f t="shared" si="18"/>
        <v/>
      </c>
      <c r="AA816" s="4" t="str">
        <f t="shared" si="19"/>
        <v/>
      </c>
      <c r="AB816" s="4" t="str">
        <f t="shared" si="20"/>
        <v/>
      </c>
      <c r="AC816" s="4">
        <v>0.34512036679589952</v>
      </c>
      <c r="AD816" s="4">
        <f t="shared" si="21"/>
        <v>-0.42330382633455382</v>
      </c>
      <c r="AE816" s="4" t="e">
        <f t="shared" si="22"/>
        <v>#VALUE!</v>
      </c>
      <c r="AF816" s="3" t="e">
        <f t="shared" si="23"/>
        <v>#VALUE!</v>
      </c>
      <c r="AG816" s="3"/>
      <c r="AH816" s="3"/>
      <c r="AI816" s="3"/>
      <c r="AJ816" s="3"/>
      <c r="AK816" s="3"/>
    </row>
    <row r="817" spans="1:37" ht="12.75" customHeight="1" x14ac:dyDescent="0.2">
      <c r="A817" s="14">
        <v>808</v>
      </c>
      <c r="B817" s="4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4"/>
      <c r="Y817" s="23"/>
      <c r="Z817" s="4" t="str">
        <f t="shared" si="18"/>
        <v/>
      </c>
      <c r="AA817" s="4" t="str">
        <f t="shared" si="19"/>
        <v/>
      </c>
      <c r="AB817" s="4" t="str">
        <f t="shared" si="20"/>
        <v/>
      </c>
      <c r="AC817" s="4">
        <v>0.34512036679589952</v>
      </c>
      <c r="AD817" s="4">
        <f t="shared" si="21"/>
        <v>-0.42330382633455382</v>
      </c>
      <c r="AE817" s="4" t="e">
        <f t="shared" si="22"/>
        <v>#VALUE!</v>
      </c>
      <c r="AF817" s="3" t="e">
        <f t="shared" si="23"/>
        <v>#VALUE!</v>
      </c>
      <c r="AG817" s="3"/>
      <c r="AH817" s="3"/>
      <c r="AI817" s="3"/>
      <c r="AJ817" s="3"/>
      <c r="AK817" s="3"/>
    </row>
    <row r="818" spans="1:37" ht="12.75" customHeight="1" x14ac:dyDescent="0.2">
      <c r="A818" s="14">
        <v>809</v>
      </c>
      <c r="B818" s="4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4"/>
      <c r="Y818" s="23"/>
      <c r="Z818" s="4" t="str">
        <f t="shared" si="18"/>
        <v/>
      </c>
      <c r="AA818" s="4" t="str">
        <f t="shared" si="19"/>
        <v/>
      </c>
      <c r="AB818" s="4" t="str">
        <f t="shared" si="20"/>
        <v/>
      </c>
      <c r="AC818" s="4">
        <v>0.34512036679589952</v>
      </c>
      <c r="AD818" s="4">
        <f t="shared" si="21"/>
        <v>-0.42330382633455382</v>
      </c>
      <c r="AE818" s="4" t="e">
        <f t="shared" si="22"/>
        <v>#VALUE!</v>
      </c>
      <c r="AF818" s="3" t="e">
        <f t="shared" si="23"/>
        <v>#VALUE!</v>
      </c>
      <c r="AG818" s="3"/>
      <c r="AH818" s="3"/>
      <c r="AI818" s="3"/>
      <c r="AJ818" s="3"/>
      <c r="AK818" s="3"/>
    </row>
    <row r="819" spans="1:37" ht="12.75" customHeight="1" x14ac:dyDescent="0.2">
      <c r="A819" s="14">
        <v>810</v>
      </c>
      <c r="B819" s="4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4"/>
      <c r="Y819" s="23"/>
      <c r="Z819" s="4" t="str">
        <f t="shared" si="18"/>
        <v/>
      </c>
      <c r="AA819" s="4" t="str">
        <f t="shared" si="19"/>
        <v/>
      </c>
      <c r="AB819" s="4" t="str">
        <f t="shared" si="20"/>
        <v/>
      </c>
      <c r="AC819" s="4">
        <v>0.34512036679589952</v>
      </c>
      <c r="AD819" s="4">
        <f t="shared" si="21"/>
        <v>-0.42330382633455382</v>
      </c>
      <c r="AE819" s="4" t="e">
        <f t="shared" si="22"/>
        <v>#VALUE!</v>
      </c>
      <c r="AF819" s="3" t="e">
        <f t="shared" si="23"/>
        <v>#VALUE!</v>
      </c>
      <c r="AG819" s="3"/>
      <c r="AH819" s="3"/>
      <c r="AI819" s="3"/>
      <c r="AJ819" s="3"/>
      <c r="AK819" s="3"/>
    </row>
    <row r="820" spans="1:37" ht="12.75" customHeight="1" x14ac:dyDescent="0.2">
      <c r="A820" s="14">
        <v>811</v>
      </c>
      <c r="B820" s="4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4"/>
      <c r="Y820" s="23"/>
      <c r="Z820" s="4" t="str">
        <f t="shared" si="18"/>
        <v/>
      </c>
      <c r="AA820" s="4" t="str">
        <f t="shared" si="19"/>
        <v/>
      </c>
      <c r="AB820" s="4" t="str">
        <f t="shared" si="20"/>
        <v/>
      </c>
      <c r="AC820" s="4">
        <v>0.34512036679589952</v>
      </c>
      <c r="AD820" s="4">
        <f t="shared" si="21"/>
        <v>-0.42330382633455382</v>
      </c>
      <c r="AE820" s="4" t="e">
        <f t="shared" si="22"/>
        <v>#VALUE!</v>
      </c>
      <c r="AF820" s="3" t="e">
        <f t="shared" si="23"/>
        <v>#VALUE!</v>
      </c>
      <c r="AG820" s="3"/>
      <c r="AH820" s="3"/>
      <c r="AI820" s="3"/>
      <c r="AJ820" s="3"/>
      <c r="AK820" s="3"/>
    </row>
    <row r="821" spans="1:37" ht="12.75" customHeight="1" x14ac:dyDescent="0.2">
      <c r="A821" s="14">
        <v>812</v>
      </c>
      <c r="B821" s="4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4"/>
      <c r="Y821" s="23"/>
      <c r="Z821" s="4" t="str">
        <f t="shared" si="18"/>
        <v/>
      </c>
      <c r="AA821" s="4" t="str">
        <f t="shared" si="19"/>
        <v/>
      </c>
      <c r="AB821" s="4" t="str">
        <f t="shared" si="20"/>
        <v/>
      </c>
      <c r="AC821" s="4">
        <v>0.34512036679589952</v>
      </c>
      <c r="AD821" s="4">
        <f t="shared" si="21"/>
        <v>-0.42330382633455382</v>
      </c>
      <c r="AE821" s="4" t="e">
        <f t="shared" si="22"/>
        <v>#VALUE!</v>
      </c>
      <c r="AF821" s="3" t="e">
        <f t="shared" si="23"/>
        <v>#VALUE!</v>
      </c>
      <c r="AG821" s="3"/>
      <c r="AH821" s="3"/>
      <c r="AI821" s="3"/>
      <c r="AJ821" s="3"/>
      <c r="AK821" s="3"/>
    </row>
    <row r="822" spans="1:37" ht="12.75" customHeight="1" x14ac:dyDescent="0.2">
      <c r="A822" s="14">
        <v>813</v>
      </c>
      <c r="B822" s="4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4"/>
      <c r="Y822" s="23"/>
      <c r="Z822" s="4" t="str">
        <f t="shared" si="18"/>
        <v/>
      </c>
      <c r="AA822" s="4" t="str">
        <f t="shared" si="19"/>
        <v/>
      </c>
      <c r="AB822" s="4" t="str">
        <f t="shared" si="20"/>
        <v/>
      </c>
      <c r="AC822" s="4">
        <v>0.34512036679589952</v>
      </c>
      <c r="AD822" s="4">
        <f t="shared" si="21"/>
        <v>-0.42330382633455382</v>
      </c>
      <c r="AE822" s="4" t="e">
        <f t="shared" si="22"/>
        <v>#VALUE!</v>
      </c>
      <c r="AF822" s="3" t="e">
        <f t="shared" si="23"/>
        <v>#VALUE!</v>
      </c>
      <c r="AG822" s="3"/>
      <c r="AH822" s="3"/>
      <c r="AI822" s="3"/>
      <c r="AJ822" s="3"/>
      <c r="AK822" s="3"/>
    </row>
    <row r="823" spans="1:37" ht="12.75" customHeight="1" x14ac:dyDescent="0.2">
      <c r="A823" s="14">
        <v>814</v>
      </c>
      <c r="B823" s="4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4"/>
      <c r="Y823" s="23"/>
      <c r="Z823" s="4" t="str">
        <f t="shared" si="18"/>
        <v/>
      </c>
      <c r="AA823" s="4" t="str">
        <f t="shared" si="19"/>
        <v/>
      </c>
      <c r="AB823" s="4" t="str">
        <f t="shared" si="20"/>
        <v/>
      </c>
      <c r="AC823" s="4">
        <v>0.34512036679589952</v>
      </c>
      <c r="AD823" s="4">
        <f t="shared" si="21"/>
        <v>-0.42330382633455382</v>
      </c>
      <c r="AE823" s="4" t="e">
        <f t="shared" si="22"/>
        <v>#VALUE!</v>
      </c>
      <c r="AF823" s="3" t="e">
        <f t="shared" si="23"/>
        <v>#VALUE!</v>
      </c>
      <c r="AG823" s="3"/>
      <c r="AH823" s="3"/>
      <c r="AI823" s="3"/>
      <c r="AJ823" s="3"/>
      <c r="AK823" s="3"/>
    </row>
    <row r="824" spans="1:37" ht="12.75" customHeight="1" x14ac:dyDescent="0.2">
      <c r="A824" s="14">
        <v>815</v>
      </c>
      <c r="B824" s="4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4"/>
      <c r="Y824" s="23"/>
      <c r="Z824" s="4" t="str">
        <f t="shared" si="18"/>
        <v/>
      </c>
      <c r="AA824" s="4" t="str">
        <f t="shared" si="19"/>
        <v/>
      </c>
      <c r="AB824" s="4" t="str">
        <f t="shared" si="20"/>
        <v/>
      </c>
      <c r="AC824" s="4">
        <v>0.34512036679589952</v>
      </c>
      <c r="AD824" s="4">
        <f t="shared" si="21"/>
        <v>-0.42330382633455382</v>
      </c>
      <c r="AE824" s="4" t="e">
        <f t="shared" si="22"/>
        <v>#VALUE!</v>
      </c>
      <c r="AF824" s="3" t="e">
        <f t="shared" si="23"/>
        <v>#VALUE!</v>
      </c>
      <c r="AG824" s="3"/>
      <c r="AH824" s="3"/>
      <c r="AI824" s="3"/>
      <c r="AJ824" s="3"/>
      <c r="AK824" s="3"/>
    </row>
    <row r="825" spans="1:37" ht="12.75" customHeight="1" x14ac:dyDescent="0.2">
      <c r="A825" s="14">
        <v>816</v>
      </c>
      <c r="B825" s="4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4"/>
      <c r="Y825" s="23"/>
      <c r="Z825" s="4" t="str">
        <f t="shared" si="18"/>
        <v/>
      </c>
      <c r="AA825" s="4" t="str">
        <f t="shared" si="19"/>
        <v/>
      </c>
      <c r="AB825" s="4" t="str">
        <f t="shared" si="20"/>
        <v/>
      </c>
      <c r="AC825" s="4">
        <v>0.34512036679589952</v>
      </c>
      <c r="AD825" s="4">
        <f t="shared" si="21"/>
        <v>-0.42330382633455382</v>
      </c>
      <c r="AE825" s="4" t="e">
        <f t="shared" si="22"/>
        <v>#VALUE!</v>
      </c>
      <c r="AF825" s="3" t="e">
        <f t="shared" si="23"/>
        <v>#VALUE!</v>
      </c>
      <c r="AG825" s="3"/>
      <c r="AH825" s="3"/>
      <c r="AI825" s="3"/>
      <c r="AJ825" s="3"/>
      <c r="AK825" s="3"/>
    </row>
    <row r="826" spans="1:37" ht="12.75" customHeight="1" x14ac:dyDescent="0.2">
      <c r="A826" s="14">
        <v>817</v>
      </c>
      <c r="B826" s="4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4"/>
      <c r="Y826" s="23"/>
      <c r="Z826" s="4" t="str">
        <f t="shared" si="18"/>
        <v/>
      </c>
      <c r="AA826" s="4" t="str">
        <f t="shared" si="19"/>
        <v/>
      </c>
      <c r="AB826" s="4" t="str">
        <f t="shared" si="20"/>
        <v/>
      </c>
      <c r="AC826" s="4">
        <v>0.34512036679589952</v>
      </c>
      <c r="AD826" s="4">
        <f t="shared" si="21"/>
        <v>-0.42330382633455382</v>
      </c>
      <c r="AE826" s="4" t="e">
        <f t="shared" si="22"/>
        <v>#VALUE!</v>
      </c>
      <c r="AF826" s="3" t="e">
        <f t="shared" si="23"/>
        <v>#VALUE!</v>
      </c>
      <c r="AG826" s="3"/>
      <c r="AH826" s="3"/>
      <c r="AI826" s="3"/>
      <c r="AJ826" s="3"/>
      <c r="AK826" s="3"/>
    </row>
    <row r="827" spans="1:37" ht="12.75" customHeight="1" x14ac:dyDescent="0.2">
      <c r="A827" s="14">
        <v>818</v>
      </c>
      <c r="B827" s="4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4"/>
      <c r="Y827" s="23"/>
      <c r="Z827" s="4" t="str">
        <f t="shared" si="18"/>
        <v/>
      </c>
      <c r="AA827" s="4" t="str">
        <f t="shared" si="19"/>
        <v/>
      </c>
      <c r="AB827" s="4" t="str">
        <f t="shared" si="20"/>
        <v/>
      </c>
      <c r="AC827" s="4">
        <v>0.34512036679589952</v>
      </c>
      <c r="AD827" s="4">
        <f t="shared" si="21"/>
        <v>-0.42330382633455382</v>
      </c>
      <c r="AE827" s="4" t="e">
        <f t="shared" si="22"/>
        <v>#VALUE!</v>
      </c>
      <c r="AF827" s="3" t="e">
        <f t="shared" si="23"/>
        <v>#VALUE!</v>
      </c>
      <c r="AG827" s="3"/>
      <c r="AH827" s="3"/>
      <c r="AI827" s="3"/>
      <c r="AJ827" s="3"/>
      <c r="AK827" s="3"/>
    </row>
    <row r="828" spans="1:37" ht="12.75" customHeight="1" x14ac:dyDescent="0.2">
      <c r="A828" s="14">
        <v>819</v>
      </c>
      <c r="B828" s="4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4"/>
      <c r="Y828" s="23"/>
      <c r="Z828" s="4" t="str">
        <f t="shared" si="18"/>
        <v/>
      </c>
      <c r="AA828" s="4" t="str">
        <f t="shared" si="19"/>
        <v/>
      </c>
      <c r="AB828" s="4" t="str">
        <f t="shared" si="20"/>
        <v/>
      </c>
      <c r="AC828" s="4">
        <v>0.34512036679589952</v>
      </c>
      <c r="AD828" s="4">
        <f t="shared" si="21"/>
        <v>-0.42330382633455382</v>
      </c>
      <c r="AE828" s="4" t="e">
        <f t="shared" si="22"/>
        <v>#VALUE!</v>
      </c>
      <c r="AF828" s="3" t="e">
        <f t="shared" si="23"/>
        <v>#VALUE!</v>
      </c>
      <c r="AG828" s="3"/>
      <c r="AH828" s="3"/>
      <c r="AI828" s="3"/>
      <c r="AJ828" s="3"/>
      <c r="AK828" s="3"/>
    </row>
    <row r="829" spans="1:37" ht="12.75" customHeight="1" x14ac:dyDescent="0.2">
      <c r="A829" s="14">
        <v>820</v>
      </c>
      <c r="B829" s="4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4"/>
      <c r="Y829" s="23"/>
      <c r="Z829" s="4" t="str">
        <f t="shared" si="18"/>
        <v/>
      </c>
      <c r="AA829" s="4" t="str">
        <f t="shared" si="19"/>
        <v/>
      </c>
      <c r="AB829" s="4" t="str">
        <f t="shared" si="20"/>
        <v/>
      </c>
      <c r="AC829" s="4">
        <v>0.34512036679589952</v>
      </c>
      <c r="AD829" s="4">
        <f t="shared" si="21"/>
        <v>-0.42330382633455382</v>
      </c>
      <c r="AE829" s="4" t="e">
        <f t="shared" si="22"/>
        <v>#VALUE!</v>
      </c>
      <c r="AF829" s="3" t="e">
        <f t="shared" si="23"/>
        <v>#VALUE!</v>
      </c>
      <c r="AG829" s="3"/>
      <c r="AH829" s="3"/>
      <c r="AI829" s="3"/>
      <c r="AJ829" s="3"/>
      <c r="AK829" s="3"/>
    </row>
    <row r="830" spans="1:37" ht="12.75" customHeight="1" x14ac:dyDescent="0.2">
      <c r="A830" s="14">
        <v>821</v>
      </c>
      <c r="B830" s="4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4"/>
      <c r="Y830" s="23"/>
      <c r="Z830" s="4" t="str">
        <f t="shared" si="18"/>
        <v/>
      </c>
      <c r="AA830" s="4" t="str">
        <f t="shared" si="19"/>
        <v/>
      </c>
      <c r="AB830" s="4" t="str">
        <f t="shared" si="20"/>
        <v/>
      </c>
      <c r="AC830" s="4">
        <v>0.34512036679589952</v>
      </c>
      <c r="AD830" s="4">
        <f t="shared" si="21"/>
        <v>-0.42330382633455382</v>
      </c>
      <c r="AE830" s="4" t="e">
        <f t="shared" si="22"/>
        <v>#VALUE!</v>
      </c>
      <c r="AF830" s="3" t="e">
        <f t="shared" si="23"/>
        <v>#VALUE!</v>
      </c>
      <c r="AG830" s="3"/>
      <c r="AH830" s="3"/>
      <c r="AI830" s="3"/>
      <c r="AJ830" s="3"/>
      <c r="AK830" s="3"/>
    </row>
    <row r="831" spans="1:37" ht="12.75" customHeight="1" x14ac:dyDescent="0.2">
      <c r="A831" s="14">
        <v>822</v>
      </c>
      <c r="B831" s="4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4"/>
      <c r="Y831" s="23"/>
      <c r="Z831" s="4" t="str">
        <f t="shared" si="18"/>
        <v/>
      </c>
      <c r="AA831" s="4" t="str">
        <f t="shared" si="19"/>
        <v/>
      </c>
      <c r="AB831" s="4" t="str">
        <f t="shared" si="20"/>
        <v/>
      </c>
      <c r="AC831" s="4">
        <v>0.34512036679589952</v>
      </c>
      <c r="AD831" s="4">
        <f t="shared" si="21"/>
        <v>-0.42330382633455382</v>
      </c>
      <c r="AE831" s="4" t="e">
        <f t="shared" si="22"/>
        <v>#VALUE!</v>
      </c>
      <c r="AF831" s="3" t="e">
        <f t="shared" si="23"/>
        <v>#VALUE!</v>
      </c>
      <c r="AG831" s="3"/>
      <c r="AH831" s="3"/>
      <c r="AI831" s="3"/>
      <c r="AJ831" s="3"/>
      <c r="AK831" s="3"/>
    </row>
    <row r="832" spans="1:37" ht="12.75" customHeight="1" x14ac:dyDescent="0.2">
      <c r="A832" s="14">
        <v>823</v>
      </c>
      <c r="B832" s="4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4"/>
      <c r="Y832" s="23"/>
      <c r="Z832" s="4" t="str">
        <f t="shared" si="18"/>
        <v/>
      </c>
      <c r="AA832" s="4" t="str">
        <f t="shared" si="19"/>
        <v/>
      </c>
      <c r="AB832" s="4" t="str">
        <f t="shared" si="20"/>
        <v/>
      </c>
      <c r="AC832" s="4">
        <v>0.34512036679589952</v>
      </c>
      <c r="AD832" s="4">
        <f t="shared" si="21"/>
        <v>-0.42330382633455382</v>
      </c>
      <c r="AE832" s="4" t="e">
        <f t="shared" si="22"/>
        <v>#VALUE!</v>
      </c>
      <c r="AF832" s="3" t="e">
        <f t="shared" si="23"/>
        <v>#VALUE!</v>
      </c>
      <c r="AG832" s="3"/>
      <c r="AH832" s="3"/>
      <c r="AI832" s="3"/>
      <c r="AJ832" s="3"/>
      <c r="AK832" s="3"/>
    </row>
    <row r="833" spans="1:37" ht="12.75" customHeight="1" x14ac:dyDescent="0.2">
      <c r="A833" s="14">
        <v>824</v>
      </c>
      <c r="B833" s="4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4"/>
      <c r="Y833" s="23"/>
      <c r="Z833" s="4" t="str">
        <f t="shared" si="18"/>
        <v/>
      </c>
      <c r="AA833" s="4" t="str">
        <f t="shared" si="19"/>
        <v/>
      </c>
      <c r="AB833" s="4" t="str">
        <f t="shared" si="20"/>
        <v/>
      </c>
      <c r="AC833" s="4">
        <v>0.34512036679589952</v>
      </c>
      <c r="AD833" s="4">
        <f t="shared" si="21"/>
        <v>-0.42330382633455382</v>
      </c>
      <c r="AE833" s="4" t="e">
        <f t="shared" si="22"/>
        <v>#VALUE!</v>
      </c>
      <c r="AF833" s="3" t="e">
        <f t="shared" si="23"/>
        <v>#VALUE!</v>
      </c>
      <c r="AG833" s="3"/>
      <c r="AH833" s="3"/>
      <c r="AI833" s="3"/>
      <c r="AJ833" s="3"/>
      <c r="AK833" s="3"/>
    </row>
    <row r="834" spans="1:37" ht="12.75" customHeight="1" x14ac:dyDescent="0.2">
      <c r="A834" s="14">
        <v>825</v>
      </c>
      <c r="B834" s="4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4"/>
      <c r="Y834" s="23"/>
      <c r="Z834" s="4" t="str">
        <f t="shared" si="18"/>
        <v/>
      </c>
      <c r="AA834" s="4" t="str">
        <f t="shared" si="19"/>
        <v/>
      </c>
      <c r="AB834" s="4" t="str">
        <f t="shared" si="20"/>
        <v/>
      </c>
      <c r="AC834" s="4">
        <v>0.34512036679589952</v>
      </c>
      <c r="AD834" s="4">
        <f t="shared" si="21"/>
        <v>-0.42330382633455382</v>
      </c>
      <c r="AE834" s="4" t="e">
        <f t="shared" si="22"/>
        <v>#VALUE!</v>
      </c>
      <c r="AF834" s="3" t="e">
        <f t="shared" si="23"/>
        <v>#VALUE!</v>
      </c>
      <c r="AG834" s="3"/>
      <c r="AH834" s="3"/>
      <c r="AI834" s="3"/>
      <c r="AJ834" s="3"/>
      <c r="AK834" s="3"/>
    </row>
    <row r="835" spans="1:37" ht="12.75" customHeight="1" x14ac:dyDescent="0.2">
      <c r="A835" s="14">
        <v>826</v>
      </c>
      <c r="B835" s="4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4"/>
      <c r="Y835" s="23"/>
      <c r="Z835" s="4" t="str">
        <f t="shared" si="18"/>
        <v/>
      </c>
      <c r="AA835" s="4" t="str">
        <f t="shared" si="19"/>
        <v/>
      </c>
      <c r="AB835" s="4" t="str">
        <f t="shared" si="20"/>
        <v/>
      </c>
      <c r="AC835" s="4">
        <v>0.34512036679589952</v>
      </c>
      <c r="AD835" s="4">
        <f t="shared" si="21"/>
        <v>-0.42330382633455382</v>
      </c>
      <c r="AE835" s="4" t="e">
        <f t="shared" si="22"/>
        <v>#VALUE!</v>
      </c>
      <c r="AF835" s="3" t="e">
        <f t="shared" si="23"/>
        <v>#VALUE!</v>
      </c>
      <c r="AG835" s="3"/>
      <c r="AH835" s="3"/>
      <c r="AI835" s="3"/>
      <c r="AJ835" s="3"/>
      <c r="AK835" s="3"/>
    </row>
    <row r="836" spans="1:37" ht="12.75" customHeight="1" x14ac:dyDescent="0.2">
      <c r="A836" s="14">
        <v>827</v>
      </c>
      <c r="B836" s="4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4"/>
      <c r="Y836" s="23"/>
      <c r="Z836" s="4" t="str">
        <f t="shared" si="18"/>
        <v/>
      </c>
      <c r="AA836" s="4" t="str">
        <f t="shared" si="19"/>
        <v/>
      </c>
      <c r="AB836" s="4" t="str">
        <f t="shared" si="20"/>
        <v/>
      </c>
      <c r="AC836" s="4">
        <v>0.34512036679589952</v>
      </c>
      <c r="AD836" s="4">
        <f t="shared" si="21"/>
        <v>-0.42330382633455382</v>
      </c>
      <c r="AE836" s="4" t="e">
        <f t="shared" si="22"/>
        <v>#VALUE!</v>
      </c>
      <c r="AF836" s="3" t="e">
        <f t="shared" si="23"/>
        <v>#VALUE!</v>
      </c>
      <c r="AG836" s="3"/>
      <c r="AH836" s="3"/>
      <c r="AI836" s="3"/>
      <c r="AJ836" s="3"/>
      <c r="AK836" s="3"/>
    </row>
    <row r="837" spans="1:37" ht="12.75" customHeight="1" x14ac:dyDescent="0.2">
      <c r="A837" s="14">
        <v>828</v>
      </c>
      <c r="B837" s="4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4"/>
      <c r="Y837" s="23"/>
      <c r="Z837" s="4" t="str">
        <f t="shared" si="18"/>
        <v/>
      </c>
      <c r="AA837" s="4" t="str">
        <f t="shared" si="19"/>
        <v/>
      </c>
      <c r="AB837" s="4" t="str">
        <f t="shared" si="20"/>
        <v/>
      </c>
      <c r="AC837" s="4">
        <v>0.34512036679589952</v>
      </c>
      <c r="AD837" s="4">
        <f t="shared" si="21"/>
        <v>-0.42330382633455382</v>
      </c>
      <c r="AE837" s="4" t="e">
        <f t="shared" si="22"/>
        <v>#VALUE!</v>
      </c>
      <c r="AF837" s="3" t="e">
        <f t="shared" si="23"/>
        <v>#VALUE!</v>
      </c>
      <c r="AG837" s="3"/>
      <c r="AH837" s="3"/>
      <c r="AI837" s="3"/>
      <c r="AJ837" s="3"/>
      <c r="AK837" s="3"/>
    </row>
    <row r="838" spans="1:37" ht="12.75" customHeight="1" x14ac:dyDescent="0.2">
      <c r="A838" s="14">
        <v>829</v>
      </c>
      <c r="B838" s="4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4"/>
      <c r="Y838" s="23"/>
      <c r="Z838" s="4" t="str">
        <f t="shared" si="18"/>
        <v/>
      </c>
      <c r="AA838" s="4" t="str">
        <f t="shared" si="19"/>
        <v/>
      </c>
      <c r="AB838" s="4" t="str">
        <f t="shared" si="20"/>
        <v/>
      </c>
      <c r="AC838" s="4">
        <v>0.34512036679589952</v>
      </c>
      <c r="AD838" s="4">
        <f t="shared" si="21"/>
        <v>-0.42330382633455382</v>
      </c>
      <c r="AE838" s="4" t="e">
        <f t="shared" si="22"/>
        <v>#VALUE!</v>
      </c>
      <c r="AF838" s="3" t="e">
        <f t="shared" si="23"/>
        <v>#VALUE!</v>
      </c>
      <c r="AG838" s="3"/>
      <c r="AH838" s="3"/>
      <c r="AI838" s="3"/>
      <c r="AJ838" s="3"/>
      <c r="AK838" s="3"/>
    </row>
    <row r="839" spans="1:37" ht="12.75" customHeight="1" x14ac:dyDescent="0.2">
      <c r="A839" s="14">
        <v>830</v>
      </c>
      <c r="B839" s="4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4"/>
      <c r="Y839" s="23"/>
      <c r="Z839" s="4" t="str">
        <f t="shared" si="18"/>
        <v/>
      </c>
      <c r="AA839" s="4" t="str">
        <f t="shared" si="19"/>
        <v/>
      </c>
      <c r="AB839" s="4" t="str">
        <f t="shared" si="20"/>
        <v/>
      </c>
      <c r="AC839" s="4">
        <v>0.34512036679589952</v>
      </c>
      <c r="AD839" s="4">
        <f t="shared" si="21"/>
        <v>-0.42330382633455382</v>
      </c>
      <c r="AE839" s="4" t="e">
        <f t="shared" si="22"/>
        <v>#VALUE!</v>
      </c>
      <c r="AF839" s="3" t="e">
        <f t="shared" si="23"/>
        <v>#VALUE!</v>
      </c>
      <c r="AG839" s="3"/>
      <c r="AH839" s="3"/>
      <c r="AI839" s="3"/>
      <c r="AJ839" s="3"/>
      <c r="AK839" s="3"/>
    </row>
    <row r="840" spans="1:37" ht="12.75" customHeight="1" x14ac:dyDescent="0.2">
      <c r="A840" s="14">
        <v>831</v>
      </c>
      <c r="B840" s="4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4"/>
      <c r="Y840" s="23"/>
      <c r="Z840" s="4" t="str">
        <f t="shared" si="18"/>
        <v/>
      </c>
      <c r="AA840" s="4" t="str">
        <f t="shared" si="19"/>
        <v/>
      </c>
      <c r="AB840" s="4" t="str">
        <f t="shared" si="20"/>
        <v/>
      </c>
      <c r="AC840" s="4">
        <v>0.34512036679589952</v>
      </c>
      <c r="AD840" s="4">
        <f t="shared" si="21"/>
        <v>-0.42330382633455382</v>
      </c>
      <c r="AE840" s="4" t="e">
        <f t="shared" si="22"/>
        <v>#VALUE!</v>
      </c>
      <c r="AF840" s="3" t="e">
        <f t="shared" si="23"/>
        <v>#VALUE!</v>
      </c>
      <c r="AG840" s="3"/>
      <c r="AH840" s="3"/>
      <c r="AI840" s="3"/>
      <c r="AJ840" s="3"/>
      <c r="AK840" s="3"/>
    </row>
    <row r="841" spans="1:37" ht="12.75" customHeight="1" x14ac:dyDescent="0.2">
      <c r="A841" s="14">
        <v>832</v>
      </c>
      <c r="B841" s="4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4"/>
      <c r="Y841" s="23"/>
      <c r="Z841" s="4" t="str">
        <f t="shared" si="18"/>
        <v/>
      </c>
      <c r="AA841" s="4" t="str">
        <f t="shared" si="19"/>
        <v/>
      </c>
      <c r="AB841" s="4" t="str">
        <f t="shared" si="20"/>
        <v/>
      </c>
      <c r="AC841" s="4">
        <v>0.34512036679589952</v>
      </c>
      <c r="AD841" s="4">
        <f t="shared" si="21"/>
        <v>-0.42330382633455382</v>
      </c>
      <c r="AE841" s="4" t="e">
        <f t="shared" si="22"/>
        <v>#VALUE!</v>
      </c>
      <c r="AF841" s="3" t="e">
        <f t="shared" si="23"/>
        <v>#VALUE!</v>
      </c>
      <c r="AG841" s="3"/>
      <c r="AH841" s="3"/>
      <c r="AI841" s="3"/>
      <c r="AJ841" s="3"/>
      <c r="AK841" s="3"/>
    </row>
    <row r="842" spans="1:37" ht="12.75" customHeight="1" x14ac:dyDescent="0.2">
      <c r="A842" s="14">
        <v>833</v>
      </c>
      <c r="B842" s="4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4"/>
      <c r="Y842" s="23"/>
      <c r="Z842" s="4" t="str">
        <f t="shared" si="18"/>
        <v/>
      </c>
      <c r="AA842" s="4" t="str">
        <f t="shared" si="19"/>
        <v/>
      </c>
      <c r="AB842" s="4" t="str">
        <f t="shared" si="20"/>
        <v/>
      </c>
      <c r="AC842" s="4">
        <v>0.34512036679589952</v>
      </c>
      <c r="AD842" s="4">
        <f t="shared" si="21"/>
        <v>-0.42330382633455382</v>
      </c>
      <c r="AE842" s="4" t="e">
        <f t="shared" si="22"/>
        <v>#VALUE!</v>
      </c>
      <c r="AF842" s="3" t="e">
        <f t="shared" si="23"/>
        <v>#VALUE!</v>
      </c>
      <c r="AG842" s="3"/>
      <c r="AH842" s="3"/>
      <c r="AI842" s="3"/>
      <c r="AJ842" s="3"/>
      <c r="AK842" s="3"/>
    </row>
    <row r="843" spans="1:37" ht="12.75" customHeight="1" x14ac:dyDescent="0.2">
      <c r="A843" s="14">
        <v>834</v>
      </c>
      <c r="B843" s="4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4"/>
      <c r="Y843" s="23"/>
      <c r="Z843" s="4" t="str">
        <f t="shared" si="18"/>
        <v/>
      </c>
      <c r="AA843" s="4" t="str">
        <f t="shared" si="19"/>
        <v/>
      </c>
      <c r="AB843" s="4" t="str">
        <f t="shared" si="20"/>
        <v/>
      </c>
      <c r="AC843" s="4">
        <v>0.34512036679589952</v>
      </c>
      <c r="AD843" s="4">
        <f t="shared" si="21"/>
        <v>-0.42330382633455382</v>
      </c>
      <c r="AE843" s="4" t="e">
        <f t="shared" si="22"/>
        <v>#VALUE!</v>
      </c>
      <c r="AF843" s="3" t="e">
        <f t="shared" si="23"/>
        <v>#VALUE!</v>
      </c>
      <c r="AG843" s="3"/>
      <c r="AH843" s="3"/>
      <c r="AI843" s="3"/>
      <c r="AJ843" s="3"/>
      <c r="AK843" s="3"/>
    </row>
    <row r="844" spans="1:37" ht="12.75" customHeight="1" x14ac:dyDescent="0.2">
      <c r="A844" s="14">
        <v>835</v>
      </c>
      <c r="B844" s="4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4"/>
      <c r="Y844" s="23"/>
      <c r="Z844" s="4" t="str">
        <f t="shared" si="18"/>
        <v/>
      </c>
      <c r="AA844" s="4" t="str">
        <f t="shared" si="19"/>
        <v/>
      </c>
      <c r="AB844" s="4" t="str">
        <f t="shared" si="20"/>
        <v/>
      </c>
      <c r="AC844" s="4">
        <v>0.34512036679589952</v>
      </c>
      <c r="AD844" s="4">
        <f t="shared" si="21"/>
        <v>-0.42330382633455382</v>
      </c>
      <c r="AE844" s="4" t="e">
        <f t="shared" si="22"/>
        <v>#VALUE!</v>
      </c>
      <c r="AF844" s="3" t="e">
        <f t="shared" si="23"/>
        <v>#VALUE!</v>
      </c>
      <c r="AG844" s="3"/>
      <c r="AH844" s="3"/>
      <c r="AI844" s="3"/>
      <c r="AJ844" s="3"/>
      <c r="AK844" s="3"/>
    </row>
    <row r="845" spans="1:37" ht="12.75" customHeight="1" x14ac:dyDescent="0.2">
      <c r="A845" s="14">
        <v>836</v>
      </c>
      <c r="B845" s="4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4"/>
      <c r="Y845" s="23"/>
      <c r="Z845" s="4" t="str">
        <f t="shared" si="18"/>
        <v/>
      </c>
      <c r="AA845" s="4" t="str">
        <f t="shared" si="19"/>
        <v/>
      </c>
      <c r="AB845" s="4" t="str">
        <f t="shared" si="20"/>
        <v/>
      </c>
      <c r="AC845" s="4">
        <v>0.34512036679589952</v>
      </c>
      <c r="AD845" s="4">
        <f t="shared" si="21"/>
        <v>-0.42330382633455382</v>
      </c>
      <c r="AE845" s="4" t="e">
        <f t="shared" si="22"/>
        <v>#VALUE!</v>
      </c>
      <c r="AF845" s="3" t="e">
        <f t="shared" si="23"/>
        <v>#VALUE!</v>
      </c>
      <c r="AG845" s="3"/>
      <c r="AH845" s="3"/>
      <c r="AI845" s="3"/>
      <c r="AJ845" s="3"/>
      <c r="AK845" s="3"/>
    </row>
    <row r="846" spans="1:37" ht="12.75" customHeight="1" x14ac:dyDescent="0.2">
      <c r="A846" s="14">
        <v>837</v>
      </c>
      <c r="B846" s="4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4"/>
      <c r="Y846" s="23"/>
      <c r="Z846" s="4" t="str">
        <f t="shared" si="18"/>
        <v/>
      </c>
      <c r="AA846" s="4" t="str">
        <f t="shared" si="19"/>
        <v/>
      </c>
      <c r="AB846" s="4" t="str">
        <f t="shared" si="20"/>
        <v/>
      </c>
      <c r="AC846" s="4">
        <v>0.34512036679589952</v>
      </c>
      <c r="AD846" s="4">
        <f t="shared" si="21"/>
        <v>-0.42330382633455382</v>
      </c>
      <c r="AE846" s="4" t="e">
        <f t="shared" si="22"/>
        <v>#VALUE!</v>
      </c>
      <c r="AF846" s="3" t="e">
        <f t="shared" si="23"/>
        <v>#VALUE!</v>
      </c>
      <c r="AG846" s="3"/>
      <c r="AH846" s="3"/>
      <c r="AI846" s="3"/>
      <c r="AJ846" s="3"/>
      <c r="AK846" s="3"/>
    </row>
    <row r="847" spans="1:37" ht="12.75" customHeight="1" x14ac:dyDescent="0.2">
      <c r="A847" s="14">
        <v>838</v>
      </c>
      <c r="B847" s="4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4"/>
      <c r="Y847" s="23"/>
      <c r="Z847" s="4" t="str">
        <f t="shared" si="18"/>
        <v/>
      </c>
      <c r="AA847" s="4" t="str">
        <f t="shared" si="19"/>
        <v/>
      </c>
      <c r="AB847" s="4" t="str">
        <f t="shared" si="20"/>
        <v/>
      </c>
      <c r="AC847" s="4">
        <v>0.34512036679589952</v>
      </c>
      <c r="AD847" s="4">
        <f t="shared" si="21"/>
        <v>-0.42330382633455382</v>
      </c>
      <c r="AE847" s="4" t="e">
        <f t="shared" si="22"/>
        <v>#VALUE!</v>
      </c>
      <c r="AF847" s="3" t="e">
        <f t="shared" si="23"/>
        <v>#VALUE!</v>
      </c>
      <c r="AG847" s="3"/>
      <c r="AH847" s="3"/>
      <c r="AI847" s="3"/>
      <c r="AJ847" s="3"/>
      <c r="AK847" s="3"/>
    </row>
    <row r="848" spans="1:37" ht="12.75" customHeight="1" x14ac:dyDescent="0.2">
      <c r="A848" s="14">
        <v>839</v>
      </c>
      <c r="B848" s="4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4"/>
      <c r="Y848" s="23"/>
      <c r="Z848" s="4" t="str">
        <f t="shared" si="18"/>
        <v/>
      </c>
      <c r="AA848" s="4" t="str">
        <f t="shared" si="19"/>
        <v/>
      </c>
      <c r="AB848" s="4" t="str">
        <f t="shared" si="20"/>
        <v/>
      </c>
      <c r="AC848" s="4">
        <v>0.34512036679589952</v>
      </c>
      <c r="AD848" s="4">
        <f t="shared" si="21"/>
        <v>-0.42330382633455382</v>
      </c>
      <c r="AE848" s="4" t="e">
        <f t="shared" si="22"/>
        <v>#VALUE!</v>
      </c>
      <c r="AF848" s="3" t="e">
        <f t="shared" si="23"/>
        <v>#VALUE!</v>
      </c>
      <c r="AG848" s="3"/>
      <c r="AH848" s="3"/>
      <c r="AI848" s="3"/>
      <c r="AJ848" s="3"/>
      <c r="AK848" s="3"/>
    </row>
    <row r="849" spans="1:37" ht="12.75" customHeight="1" x14ac:dyDescent="0.2">
      <c r="A849" s="14">
        <v>840</v>
      </c>
      <c r="B849" s="4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4"/>
      <c r="Y849" s="23"/>
      <c r="Z849" s="4" t="str">
        <f t="shared" si="18"/>
        <v/>
      </c>
      <c r="AA849" s="4" t="str">
        <f t="shared" si="19"/>
        <v/>
      </c>
      <c r="AB849" s="4" t="str">
        <f t="shared" si="20"/>
        <v/>
      </c>
      <c r="AC849" s="4">
        <v>0.34512036679589952</v>
      </c>
      <c r="AD849" s="4">
        <f t="shared" si="21"/>
        <v>-0.42330382633455382</v>
      </c>
      <c r="AE849" s="4" t="e">
        <f t="shared" si="22"/>
        <v>#VALUE!</v>
      </c>
      <c r="AF849" s="3" t="e">
        <f t="shared" si="23"/>
        <v>#VALUE!</v>
      </c>
      <c r="AG849" s="3"/>
      <c r="AH849" s="3"/>
      <c r="AI849" s="3"/>
      <c r="AJ849" s="3"/>
      <c r="AK849" s="3"/>
    </row>
    <row r="850" spans="1:37" ht="12.75" customHeight="1" x14ac:dyDescent="0.2">
      <c r="A850" s="14">
        <v>841</v>
      </c>
      <c r="B850" s="4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4"/>
      <c r="Y850" s="23"/>
      <c r="Z850" s="4" t="str">
        <f t="shared" si="18"/>
        <v/>
      </c>
      <c r="AA850" s="4" t="str">
        <f t="shared" si="19"/>
        <v/>
      </c>
      <c r="AB850" s="4" t="str">
        <f t="shared" si="20"/>
        <v/>
      </c>
      <c r="AC850" s="4">
        <v>0.34512036679589952</v>
      </c>
      <c r="AD850" s="4">
        <f t="shared" si="21"/>
        <v>-0.42330382633455382</v>
      </c>
      <c r="AE850" s="4" t="e">
        <f t="shared" si="22"/>
        <v>#VALUE!</v>
      </c>
      <c r="AF850" s="3" t="e">
        <f t="shared" si="23"/>
        <v>#VALUE!</v>
      </c>
      <c r="AG850" s="3"/>
      <c r="AH850" s="3"/>
      <c r="AI850" s="3"/>
      <c r="AJ850" s="3"/>
      <c r="AK850" s="3"/>
    </row>
    <row r="851" spans="1:37" ht="12.75" customHeight="1" x14ac:dyDescent="0.2">
      <c r="A851" s="14">
        <v>842</v>
      </c>
      <c r="B851" s="4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4"/>
      <c r="Y851" s="23"/>
      <c r="Z851" s="4" t="str">
        <f t="shared" si="18"/>
        <v/>
      </c>
      <c r="AA851" s="4" t="str">
        <f t="shared" si="19"/>
        <v/>
      </c>
      <c r="AB851" s="4" t="str">
        <f t="shared" si="20"/>
        <v/>
      </c>
      <c r="AC851" s="4">
        <v>0.34512036679589952</v>
      </c>
      <c r="AD851" s="4">
        <f t="shared" si="21"/>
        <v>-0.42330382633455382</v>
      </c>
      <c r="AE851" s="4" t="e">
        <f t="shared" si="22"/>
        <v>#VALUE!</v>
      </c>
      <c r="AF851" s="3" t="e">
        <f t="shared" si="23"/>
        <v>#VALUE!</v>
      </c>
      <c r="AG851" s="3"/>
      <c r="AH851" s="3"/>
      <c r="AI851" s="3"/>
      <c r="AJ851" s="3"/>
      <c r="AK851" s="3"/>
    </row>
    <row r="852" spans="1:37" ht="12.75" customHeight="1" x14ac:dyDescent="0.2">
      <c r="A852" s="14">
        <v>843</v>
      </c>
      <c r="B852" s="4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4"/>
      <c r="Y852" s="23"/>
      <c r="Z852" s="4" t="str">
        <f t="shared" si="18"/>
        <v/>
      </c>
      <c r="AA852" s="4" t="str">
        <f t="shared" si="19"/>
        <v/>
      </c>
      <c r="AB852" s="4" t="str">
        <f t="shared" si="20"/>
        <v/>
      </c>
      <c r="AC852" s="4">
        <v>0.33636239479668995</v>
      </c>
      <c r="AD852" s="4">
        <f t="shared" si="21"/>
        <v>-0.4100190537914723</v>
      </c>
      <c r="AE852" s="4" t="e">
        <f t="shared" si="22"/>
        <v>#VALUE!</v>
      </c>
      <c r="AF852" s="3" t="e">
        <f t="shared" si="23"/>
        <v>#VALUE!</v>
      </c>
      <c r="AG852" s="3"/>
      <c r="AH852" s="3"/>
      <c r="AI852" s="3"/>
      <c r="AJ852" s="3"/>
      <c r="AK852" s="3"/>
    </row>
    <row r="853" spans="1:37" ht="12.75" customHeight="1" x14ac:dyDescent="0.2">
      <c r="A853" s="14">
        <v>844</v>
      </c>
      <c r="B853" s="4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4"/>
      <c r="Y853" s="23"/>
      <c r="Z853" s="4" t="str">
        <f t="shared" si="18"/>
        <v/>
      </c>
      <c r="AA853" s="4" t="str">
        <f t="shared" si="19"/>
        <v/>
      </c>
      <c r="AB853" s="4" t="str">
        <f t="shared" si="20"/>
        <v/>
      </c>
      <c r="AC853" s="4">
        <v>0.33636239479668995</v>
      </c>
      <c r="AD853" s="4">
        <f t="shared" si="21"/>
        <v>-0.4100190537914723</v>
      </c>
      <c r="AE853" s="4" t="e">
        <f t="shared" si="22"/>
        <v>#VALUE!</v>
      </c>
      <c r="AF853" s="3" t="e">
        <f t="shared" si="23"/>
        <v>#VALUE!</v>
      </c>
      <c r="AG853" s="3"/>
      <c r="AH853" s="3"/>
      <c r="AI853" s="3"/>
      <c r="AJ853" s="3"/>
      <c r="AK853" s="3"/>
    </row>
    <row r="854" spans="1:37" ht="12.75" customHeight="1" x14ac:dyDescent="0.2">
      <c r="A854" s="14">
        <v>845</v>
      </c>
      <c r="B854" s="4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4"/>
      <c r="Y854" s="23"/>
      <c r="Z854" s="4" t="str">
        <f t="shared" si="18"/>
        <v/>
      </c>
      <c r="AA854" s="4" t="str">
        <f t="shared" si="19"/>
        <v/>
      </c>
      <c r="AB854" s="4" t="str">
        <f t="shared" si="20"/>
        <v/>
      </c>
      <c r="AC854" s="4">
        <v>0.33636239479668995</v>
      </c>
      <c r="AD854" s="4">
        <f t="shared" si="21"/>
        <v>-0.4100190537914723</v>
      </c>
      <c r="AE854" s="4" t="e">
        <f t="shared" si="22"/>
        <v>#VALUE!</v>
      </c>
      <c r="AF854" s="3" t="e">
        <f t="shared" si="23"/>
        <v>#VALUE!</v>
      </c>
      <c r="AG854" s="3"/>
      <c r="AH854" s="3"/>
      <c r="AI854" s="3"/>
      <c r="AJ854" s="3"/>
      <c r="AK854" s="3"/>
    </row>
    <row r="855" spans="1:37" ht="12.75" customHeight="1" x14ac:dyDescent="0.2">
      <c r="A855" s="14">
        <v>846</v>
      </c>
      <c r="B855" s="4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4"/>
      <c r="Y855" s="23"/>
      <c r="Z855" s="4" t="str">
        <f t="shared" si="18"/>
        <v/>
      </c>
      <c r="AA855" s="4" t="str">
        <f t="shared" si="19"/>
        <v/>
      </c>
      <c r="AB855" s="4" t="str">
        <f t="shared" si="20"/>
        <v/>
      </c>
      <c r="AC855" s="4">
        <v>0.33636239479668995</v>
      </c>
      <c r="AD855" s="4">
        <f t="shared" si="21"/>
        <v>-0.4100190537914723</v>
      </c>
      <c r="AE855" s="4" t="e">
        <f t="shared" si="22"/>
        <v>#VALUE!</v>
      </c>
      <c r="AF855" s="3" t="e">
        <f t="shared" si="23"/>
        <v>#VALUE!</v>
      </c>
      <c r="AG855" s="3"/>
      <c r="AH855" s="3"/>
      <c r="AI855" s="3"/>
      <c r="AJ855" s="3"/>
      <c r="AK855" s="3"/>
    </row>
    <row r="856" spans="1:37" ht="12.75" customHeight="1" x14ac:dyDescent="0.2">
      <c r="A856" s="14">
        <v>847</v>
      </c>
      <c r="B856" s="4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4"/>
      <c r="Y856" s="23"/>
      <c r="Z856" s="4" t="str">
        <f t="shared" si="18"/>
        <v/>
      </c>
      <c r="AA856" s="4" t="str">
        <f t="shared" si="19"/>
        <v/>
      </c>
      <c r="AB856" s="4" t="str">
        <f t="shared" si="20"/>
        <v/>
      </c>
      <c r="AC856" s="4">
        <v>0.33636239479668995</v>
      </c>
      <c r="AD856" s="4">
        <f t="shared" si="21"/>
        <v>-0.4100190537914723</v>
      </c>
      <c r="AE856" s="4" t="e">
        <f t="shared" si="22"/>
        <v>#VALUE!</v>
      </c>
      <c r="AF856" s="3" t="e">
        <f t="shared" si="23"/>
        <v>#VALUE!</v>
      </c>
      <c r="AG856" s="3"/>
      <c r="AH856" s="3"/>
      <c r="AI856" s="3"/>
      <c r="AJ856" s="3"/>
      <c r="AK856" s="3"/>
    </row>
    <row r="857" spans="1:37" ht="12.75" customHeight="1" x14ac:dyDescent="0.2">
      <c r="A857" s="14">
        <v>848</v>
      </c>
      <c r="B857" s="4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4"/>
      <c r="Y857" s="23"/>
      <c r="Z857" s="4" t="str">
        <f t="shared" si="18"/>
        <v/>
      </c>
      <c r="AA857" s="4" t="str">
        <f t="shared" si="19"/>
        <v/>
      </c>
      <c r="AB857" s="4" t="str">
        <f t="shared" si="20"/>
        <v/>
      </c>
      <c r="AC857" s="4">
        <v>0.33636239479668995</v>
      </c>
      <c r="AD857" s="4">
        <f t="shared" si="21"/>
        <v>-0.4100190537914723</v>
      </c>
      <c r="AE857" s="4" t="e">
        <f t="shared" si="22"/>
        <v>#VALUE!</v>
      </c>
      <c r="AF857" s="3" t="e">
        <f t="shared" si="23"/>
        <v>#VALUE!</v>
      </c>
      <c r="AG857" s="3"/>
      <c r="AH857" s="3"/>
      <c r="AI857" s="3"/>
      <c r="AJ857" s="3"/>
      <c r="AK857" s="3"/>
    </row>
    <row r="858" spans="1:37" ht="12.75" customHeight="1" x14ac:dyDescent="0.2">
      <c r="A858" s="14">
        <v>849</v>
      </c>
      <c r="B858" s="4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4"/>
      <c r="Y858" s="23"/>
      <c r="Z858" s="4" t="str">
        <f t="shared" si="18"/>
        <v/>
      </c>
      <c r="AA858" s="4" t="str">
        <f t="shared" si="19"/>
        <v/>
      </c>
      <c r="AB858" s="4" t="str">
        <f t="shared" si="20"/>
        <v/>
      </c>
      <c r="AC858" s="4">
        <v>0.33636239479668995</v>
      </c>
      <c r="AD858" s="4">
        <f t="shared" si="21"/>
        <v>-0.4100190537914723</v>
      </c>
      <c r="AE858" s="4" t="e">
        <f t="shared" si="22"/>
        <v>#VALUE!</v>
      </c>
      <c r="AF858" s="3" t="e">
        <f t="shared" si="23"/>
        <v>#VALUE!</v>
      </c>
      <c r="AG858" s="3"/>
      <c r="AH858" s="3"/>
      <c r="AI858" s="3"/>
      <c r="AJ858" s="3"/>
      <c r="AK858" s="3"/>
    </row>
    <row r="859" spans="1:37" ht="12.75" customHeight="1" x14ac:dyDescent="0.2">
      <c r="A859" s="14">
        <v>850</v>
      </c>
      <c r="B859" s="4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4"/>
      <c r="Y859" s="23"/>
      <c r="Z859" s="4" t="str">
        <f t="shared" si="18"/>
        <v/>
      </c>
      <c r="AA859" s="4" t="str">
        <f t="shared" si="19"/>
        <v/>
      </c>
      <c r="AB859" s="4" t="str">
        <f t="shared" si="20"/>
        <v/>
      </c>
      <c r="AC859" s="4">
        <v>0.33636239479668995</v>
      </c>
      <c r="AD859" s="4">
        <f t="shared" si="21"/>
        <v>-0.4100190537914723</v>
      </c>
      <c r="AE859" s="4" t="e">
        <f t="shared" si="22"/>
        <v>#VALUE!</v>
      </c>
      <c r="AF859" s="3" t="e">
        <f t="shared" si="23"/>
        <v>#VALUE!</v>
      </c>
      <c r="AG859" s="3"/>
      <c r="AH859" s="3"/>
      <c r="AI859" s="3"/>
      <c r="AJ859" s="3"/>
      <c r="AK859" s="3"/>
    </row>
    <row r="860" spans="1:37" ht="12.75" customHeight="1" x14ac:dyDescent="0.2">
      <c r="A860" s="14">
        <v>851</v>
      </c>
      <c r="B860" s="4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4"/>
      <c r="Y860" s="23"/>
      <c r="Z860" s="4" t="str">
        <f t="shared" si="18"/>
        <v/>
      </c>
      <c r="AA860" s="4" t="str">
        <f t="shared" si="19"/>
        <v/>
      </c>
      <c r="AB860" s="4" t="str">
        <f t="shared" si="20"/>
        <v/>
      </c>
      <c r="AC860" s="4">
        <v>0.33636239479668995</v>
      </c>
      <c r="AD860" s="4">
        <f t="shared" si="21"/>
        <v>-0.4100190537914723</v>
      </c>
      <c r="AE860" s="4" t="e">
        <f t="shared" si="22"/>
        <v>#VALUE!</v>
      </c>
      <c r="AF860" s="3" t="e">
        <f t="shared" si="23"/>
        <v>#VALUE!</v>
      </c>
      <c r="AG860" s="3"/>
      <c r="AH860" s="3"/>
      <c r="AI860" s="3"/>
      <c r="AJ860" s="3"/>
      <c r="AK860" s="3"/>
    </row>
    <row r="861" spans="1:37" ht="12.75" customHeight="1" x14ac:dyDescent="0.2">
      <c r="A861" s="14">
        <v>852</v>
      </c>
      <c r="B861" s="4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4"/>
      <c r="Y861" s="23"/>
      <c r="Z861" s="4" t="str">
        <f t="shared" si="18"/>
        <v/>
      </c>
      <c r="AA861" s="4" t="str">
        <f t="shared" si="19"/>
        <v/>
      </c>
      <c r="AB861" s="4" t="str">
        <f t="shared" si="20"/>
        <v/>
      </c>
      <c r="AC861" s="4">
        <v>0.32769232722306485</v>
      </c>
      <c r="AD861" s="4">
        <f t="shared" si="21"/>
        <v>-0.39703919684441835</v>
      </c>
      <c r="AE861" s="4" t="e">
        <f t="shared" si="22"/>
        <v>#VALUE!</v>
      </c>
      <c r="AF861" s="3" t="e">
        <f t="shared" si="23"/>
        <v>#VALUE!</v>
      </c>
      <c r="AG861" s="3"/>
      <c r="AH861" s="3"/>
      <c r="AI861" s="3"/>
      <c r="AJ861" s="3"/>
      <c r="AK861" s="3"/>
    </row>
    <row r="862" spans="1:37" ht="12.75" customHeight="1" x14ac:dyDescent="0.2">
      <c r="A862" s="14">
        <v>853</v>
      </c>
      <c r="B862" s="4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4"/>
      <c r="Y862" s="23"/>
      <c r="Z862" s="4" t="str">
        <f t="shared" si="18"/>
        <v/>
      </c>
      <c r="AA862" s="4" t="str">
        <f t="shared" si="19"/>
        <v/>
      </c>
      <c r="AB862" s="4" t="str">
        <f t="shared" si="20"/>
        <v/>
      </c>
      <c r="AC862" s="4">
        <v>0.32769232722306485</v>
      </c>
      <c r="AD862" s="4">
        <f t="shared" si="21"/>
        <v>-0.39703919684441835</v>
      </c>
      <c r="AE862" s="4" t="e">
        <f t="shared" si="22"/>
        <v>#VALUE!</v>
      </c>
      <c r="AF862" s="3" t="e">
        <f t="shared" si="23"/>
        <v>#VALUE!</v>
      </c>
      <c r="AG862" s="3"/>
      <c r="AH862" s="3"/>
      <c r="AI862" s="3"/>
      <c r="AJ862" s="3"/>
      <c r="AK862" s="3"/>
    </row>
    <row r="863" spans="1:37" ht="12.75" customHeight="1" x14ac:dyDescent="0.2">
      <c r="A863" s="14">
        <v>854</v>
      </c>
      <c r="B863" s="4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4"/>
      <c r="Y863" s="23"/>
      <c r="Z863" s="4" t="str">
        <f t="shared" si="18"/>
        <v/>
      </c>
      <c r="AA863" s="4" t="str">
        <f t="shared" si="19"/>
        <v/>
      </c>
      <c r="AB863" s="4" t="str">
        <f t="shared" si="20"/>
        <v/>
      </c>
      <c r="AC863" s="4">
        <v>0.32769232722306485</v>
      </c>
      <c r="AD863" s="4">
        <f t="shared" si="21"/>
        <v>-0.39703919684441835</v>
      </c>
      <c r="AE863" s="4" t="e">
        <f t="shared" si="22"/>
        <v>#VALUE!</v>
      </c>
      <c r="AF863" s="3" t="e">
        <f t="shared" si="23"/>
        <v>#VALUE!</v>
      </c>
      <c r="AG863" s="3"/>
      <c r="AH863" s="3"/>
      <c r="AI863" s="3"/>
      <c r="AJ863" s="3"/>
      <c r="AK863" s="3"/>
    </row>
    <row r="864" spans="1:37" ht="12.75" customHeight="1" x14ac:dyDescent="0.2">
      <c r="A864" s="14">
        <v>855</v>
      </c>
      <c r="B864" s="4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4"/>
      <c r="Y864" s="23"/>
      <c r="Z864" s="4" t="str">
        <f t="shared" si="18"/>
        <v/>
      </c>
      <c r="AA864" s="4" t="str">
        <f t="shared" si="19"/>
        <v/>
      </c>
      <c r="AB864" s="4" t="str">
        <f t="shared" si="20"/>
        <v/>
      </c>
      <c r="AC864" s="4">
        <v>0.32769232722306485</v>
      </c>
      <c r="AD864" s="4">
        <f t="shared" si="21"/>
        <v>-0.39703919684441835</v>
      </c>
      <c r="AE864" s="4" t="e">
        <f t="shared" si="22"/>
        <v>#VALUE!</v>
      </c>
      <c r="AF864" s="3" t="e">
        <f t="shared" si="23"/>
        <v>#VALUE!</v>
      </c>
      <c r="AG864" s="3"/>
      <c r="AH864" s="3"/>
      <c r="AI864" s="3"/>
      <c r="AJ864" s="3"/>
      <c r="AK864" s="3"/>
    </row>
    <row r="865" spans="1:37" ht="12.75" customHeight="1" x14ac:dyDescent="0.2">
      <c r="A865" s="14">
        <v>856</v>
      </c>
      <c r="B865" s="4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4"/>
      <c r="Y865" s="23"/>
      <c r="Z865" s="4" t="str">
        <f t="shared" si="18"/>
        <v/>
      </c>
      <c r="AA865" s="4" t="str">
        <f t="shared" si="19"/>
        <v/>
      </c>
      <c r="AB865" s="4" t="str">
        <f t="shared" si="20"/>
        <v/>
      </c>
      <c r="AC865" s="4">
        <v>0.3191141763684342</v>
      </c>
      <c r="AD865" s="4">
        <f t="shared" si="21"/>
        <v>-0.38436064675465326</v>
      </c>
      <c r="AE865" s="4" t="e">
        <f t="shared" si="22"/>
        <v>#VALUE!</v>
      </c>
      <c r="AF865" s="3" t="e">
        <f t="shared" si="23"/>
        <v>#VALUE!</v>
      </c>
      <c r="AG865" s="3"/>
      <c r="AH865" s="3"/>
      <c r="AI865" s="3"/>
      <c r="AJ865" s="3"/>
      <c r="AK865" s="3"/>
    </row>
    <row r="866" spans="1:37" ht="12.75" customHeight="1" x14ac:dyDescent="0.2">
      <c r="A866" s="14">
        <v>857</v>
      </c>
      <c r="B866" s="4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4"/>
      <c r="Y866" s="23"/>
      <c r="Z866" s="4" t="str">
        <f t="shared" si="18"/>
        <v/>
      </c>
      <c r="AA866" s="4" t="str">
        <f t="shared" si="19"/>
        <v/>
      </c>
      <c r="AB866" s="4" t="str">
        <f t="shared" si="20"/>
        <v/>
      </c>
      <c r="AC866" s="4">
        <v>0.3191141763684342</v>
      </c>
      <c r="AD866" s="4">
        <f t="shared" si="21"/>
        <v>-0.38436064675465326</v>
      </c>
      <c r="AE866" s="4" t="e">
        <f t="shared" si="22"/>
        <v>#VALUE!</v>
      </c>
      <c r="AF866" s="3" t="e">
        <f t="shared" si="23"/>
        <v>#VALUE!</v>
      </c>
      <c r="AG866" s="3"/>
      <c r="AH866" s="3"/>
      <c r="AI866" s="3"/>
      <c r="AJ866" s="3"/>
      <c r="AK866" s="3"/>
    </row>
    <row r="867" spans="1:37" ht="12.75" customHeight="1" x14ac:dyDescent="0.2">
      <c r="A867" s="14">
        <v>858</v>
      </c>
      <c r="B867" s="4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4"/>
      <c r="Y867" s="23"/>
      <c r="Z867" s="4" t="str">
        <f t="shared" si="18"/>
        <v/>
      </c>
      <c r="AA867" s="4" t="str">
        <f t="shared" si="19"/>
        <v/>
      </c>
      <c r="AB867" s="4" t="str">
        <f t="shared" si="20"/>
        <v/>
      </c>
      <c r="AC867" s="4">
        <v>0.3191141763684342</v>
      </c>
      <c r="AD867" s="4">
        <f t="shared" si="21"/>
        <v>-0.38436064675465326</v>
      </c>
      <c r="AE867" s="4" t="e">
        <f t="shared" si="22"/>
        <v>#VALUE!</v>
      </c>
      <c r="AF867" s="3" t="e">
        <f t="shared" si="23"/>
        <v>#VALUE!</v>
      </c>
      <c r="AG867" s="3"/>
      <c r="AH867" s="3"/>
      <c r="AI867" s="3"/>
      <c r="AJ867" s="3"/>
      <c r="AK867" s="3"/>
    </row>
    <row r="868" spans="1:37" ht="12.75" customHeight="1" x14ac:dyDescent="0.2">
      <c r="A868" s="14">
        <v>859</v>
      </c>
      <c r="B868" s="4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4"/>
      <c r="Y868" s="23"/>
      <c r="Z868" s="4" t="str">
        <f t="shared" si="18"/>
        <v/>
      </c>
      <c r="AA868" s="4" t="str">
        <f t="shared" si="19"/>
        <v/>
      </c>
      <c r="AB868" s="4" t="str">
        <f t="shared" si="20"/>
        <v/>
      </c>
      <c r="AC868" s="4">
        <v>0.3191141763684342</v>
      </c>
      <c r="AD868" s="4">
        <f t="shared" si="21"/>
        <v>-0.38436064675465326</v>
      </c>
      <c r="AE868" s="4" t="e">
        <f t="shared" si="22"/>
        <v>#VALUE!</v>
      </c>
      <c r="AF868" s="3" t="e">
        <f t="shared" si="23"/>
        <v>#VALUE!</v>
      </c>
      <c r="AG868" s="3"/>
      <c r="AH868" s="3"/>
      <c r="AI868" s="3"/>
      <c r="AJ868" s="3"/>
      <c r="AK868" s="3"/>
    </row>
    <row r="869" spans="1:37" ht="12.75" customHeight="1" x14ac:dyDescent="0.2">
      <c r="A869" s="14">
        <v>860</v>
      </c>
      <c r="B869" s="4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4"/>
      <c r="Y869" s="23"/>
      <c r="Z869" s="4" t="str">
        <f t="shared" si="18"/>
        <v/>
      </c>
      <c r="AA869" s="4" t="str">
        <f t="shared" si="19"/>
        <v/>
      </c>
      <c r="AB869" s="4" t="str">
        <f t="shared" si="20"/>
        <v/>
      </c>
      <c r="AC869" s="4">
        <v>0.3191141763684342</v>
      </c>
      <c r="AD869" s="4">
        <f t="shared" si="21"/>
        <v>-0.38436064675465326</v>
      </c>
      <c r="AE869" s="4" t="e">
        <f t="shared" si="22"/>
        <v>#VALUE!</v>
      </c>
      <c r="AF869" s="3" t="e">
        <f t="shared" si="23"/>
        <v>#VALUE!</v>
      </c>
      <c r="AG869" s="3"/>
      <c r="AH869" s="3"/>
      <c r="AI869" s="3"/>
      <c r="AJ869" s="3"/>
      <c r="AK869" s="3"/>
    </row>
    <row r="870" spans="1:37" ht="12.75" customHeight="1" x14ac:dyDescent="0.2">
      <c r="A870" s="14">
        <v>861</v>
      </c>
      <c r="B870" s="4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4"/>
      <c r="Y870" s="23"/>
      <c r="Z870" s="4" t="str">
        <f t="shared" si="18"/>
        <v/>
      </c>
      <c r="AA870" s="4" t="str">
        <f t="shared" si="19"/>
        <v/>
      </c>
      <c r="AB870" s="4" t="str">
        <f t="shared" si="20"/>
        <v/>
      </c>
      <c r="AC870" s="4">
        <v>0.31063180769325638</v>
      </c>
      <c r="AD870" s="4">
        <f t="shared" si="21"/>
        <v>-0.37197976419013828</v>
      </c>
      <c r="AE870" s="4" t="e">
        <f t="shared" si="22"/>
        <v>#VALUE!</v>
      </c>
      <c r="AF870" s="3" t="e">
        <f t="shared" si="23"/>
        <v>#VALUE!</v>
      </c>
      <c r="AG870" s="3"/>
      <c r="AH870" s="3"/>
      <c r="AI870" s="3"/>
      <c r="AJ870" s="3"/>
      <c r="AK870" s="3"/>
    </row>
    <row r="871" spans="1:37" ht="12.75" customHeight="1" x14ac:dyDescent="0.2">
      <c r="A871" s="14">
        <v>862</v>
      </c>
      <c r="B871" s="4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4"/>
      <c r="Y871" s="23"/>
      <c r="Z871" s="4" t="str">
        <f t="shared" si="18"/>
        <v/>
      </c>
      <c r="AA871" s="4" t="str">
        <f t="shared" si="19"/>
        <v/>
      </c>
      <c r="AB871" s="4" t="str">
        <f t="shared" si="20"/>
        <v/>
      </c>
      <c r="AC871" s="4">
        <v>0.31063180769325638</v>
      </c>
      <c r="AD871" s="4">
        <f t="shared" si="21"/>
        <v>-0.37197976419013828</v>
      </c>
      <c r="AE871" s="4" t="e">
        <f t="shared" si="22"/>
        <v>#VALUE!</v>
      </c>
      <c r="AF871" s="3" t="e">
        <f t="shared" si="23"/>
        <v>#VALUE!</v>
      </c>
      <c r="AG871" s="3"/>
      <c r="AH871" s="3"/>
      <c r="AI871" s="3"/>
      <c r="AJ871" s="3"/>
      <c r="AK871" s="3"/>
    </row>
    <row r="872" spans="1:37" ht="12.75" customHeight="1" x14ac:dyDescent="0.2">
      <c r="A872" s="14">
        <v>863</v>
      </c>
      <c r="B872" s="4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4"/>
      <c r="Y872" s="23"/>
      <c r="Z872" s="4" t="str">
        <f t="shared" si="18"/>
        <v/>
      </c>
      <c r="AA872" s="4" t="str">
        <f t="shared" si="19"/>
        <v/>
      </c>
      <c r="AB872" s="4" t="str">
        <f t="shared" si="20"/>
        <v/>
      </c>
      <c r="AC872" s="4">
        <v>0.31063180769325638</v>
      </c>
      <c r="AD872" s="4">
        <f t="shared" si="21"/>
        <v>-0.37197976419013828</v>
      </c>
      <c r="AE872" s="4" t="e">
        <f t="shared" si="22"/>
        <v>#VALUE!</v>
      </c>
      <c r="AF872" s="3" t="e">
        <f t="shared" si="23"/>
        <v>#VALUE!</v>
      </c>
      <c r="AG872" s="3"/>
      <c r="AH872" s="3"/>
      <c r="AI872" s="3"/>
      <c r="AJ872" s="3"/>
      <c r="AK872" s="3"/>
    </row>
    <row r="873" spans="1:37" ht="12.75" customHeight="1" x14ac:dyDescent="0.2">
      <c r="A873" s="14">
        <v>864</v>
      </c>
      <c r="B873" s="4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4"/>
      <c r="Y873" s="23"/>
      <c r="Z873" s="4" t="str">
        <f t="shared" si="18"/>
        <v/>
      </c>
      <c r="AA873" s="4" t="str">
        <f t="shared" si="19"/>
        <v/>
      </c>
      <c r="AB873" s="4" t="str">
        <f t="shared" si="20"/>
        <v/>
      </c>
      <c r="AC873" s="4">
        <v>0.31063180769325638</v>
      </c>
      <c r="AD873" s="4">
        <f t="shared" si="21"/>
        <v>-0.37197976419013828</v>
      </c>
      <c r="AE873" s="4" t="e">
        <f t="shared" si="22"/>
        <v>#VALUE!</v>
      </c>
      <c r="AF873" s="3" t="e">
        <f t="shared" si="23"/>
        <v>#VALUE!</v>
      </c>
      <c r="AG873" s="3"/>
      <c r="AH873" s="3"/>
      <c r="AI873" s="3"/>
      <c r="AJ873" s="3"/>
      <c r="AK873" s="3"/>
    </row>
    <row r="874" spans="1:37" ht="12.75" customHeight="1" x14ac:dyDescent="0.2">
      <c r="A874" s="14">
        <v>865</v>
      </c>
      <c r="B874" s="4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4"/>
      <c r="Y874" s="23"/>
      <c r="Z874" s="4" t="str">
        <f t="shared" si="18"/>
        <v/>
      </c>
      <c r="AA874" s="4" t="str">
        <f t="shared" si="19"/>
        <v/>
      </c>
      <c r="AB874" s="4" t="str">
        <f t="shared" si="20"/>
        <v/>
      </c>
      <c r="AC874" s="4">
        <v>0.31063180769325638</v>
      </c>
      <c r="AD874" s="4">
        <f t="shared" si="21"/>
        <v>-0.37197976419013828</v>
      </c>
      <c r="AE874" s="4" t="e">
        <f t="shared" si="22"/>
        <v>#VALUE!</v>
      </c>
      <c r="AF874" s="3" t="e">
        <f t="shared" si="23"/>
        <v>#VALUE!</v>
      </c>
      <c r="AG874" s="3"/>
      <c r="AH874" s="3"/>
      <c r="AI874" s="3"/>
      <c r="AJ874" s="3"/>
      <c r="AK874" s="3"/>
    </row>
    <row r="875" spans="1:37" ht="12.75" customHeight="1" x14ac:dyDescent="0.2">
      <c r="A875" s="14">
        <v>866</v>
      </c>
      <c r="B875" s="4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4"/>
      <c r="Y875" s="23"/>
      <c r="Z875" s="4" t="str">
        <f t="shared" si="18"/>
        <v/>
      </c>
      <c r="AA875" s="4" t="str">
        <f t="shared" si="19"/>
        <v/>
      </c>
      <c r="AB875" s="4" t="str">
        <f t="shared" si="20"/>
        <v/>
      </c>
      <c r="AC875" s="4">
        <v>0.30224893483567294</v>
      </c>
      <c r="AD875" s="4">
        <f t="shared" si="21"/>
        <v>-0.35989287999671371</v>
      </c>
      <c r="AE875" s="4" t="e">
        <f t="shared" si="22"/>
        <v>#VALUE!</v>
      </c>
      <c r="AF875" s="3" t="e">
        <f t="shared" si="23"/>
        <v>#VALUE!</v>
      </c>
      <c r="AG875" s="3"/>
      <c r="AH875" s="3"/>
      <c r="AI875" s="3"/>
      <c r="AJ875" s="3"/>
      <c r="AK875" s="3"/>
    </row>
    <row r="876" spans="1:37" ht="12.75" customHeight="1" x14ac:dyDescent="0.2">
      <c r="A876" s="14">
        <v>867</v>
      </c>
      <c r="B876" s="4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4"/>
      <c r="Y876" s="23"/>
      <c r="Z876" s="4" t="str">
        <f t="shared" si="18"/>
        <v/>
      </c>
      <c r="AA876" s="4" t="str">
        <f t="shared" si="19"/>
        <v/>
      </c>
      <c r="AB876" s="4" t="str">
        <f t="shared" si="20"/>
        <v/>
      </c>
      <c r="AC876" s="4">
        <v>0.30224893483567294</v>
      </c>
      <c r="AD876" s="4">
        <f t="shared" si="21"/>
        <v>-0.35989287999671371</v>
      </c>
      <c r="AE876" s="4" t="e">
        <f t="shared" si="22"/>
        <v>#VALUE!</v>
      </c>
      <c r="AF876" s="3" t="e">
        <f t="shared" si="23"/>
        <v>#VALUE!</v>
      </c>
      <c r="AG876" s="3"/>
      <c r="AH876" s="3"/>
      <c r="AI876" s="3"/>
      <c r="AJ876" s="3"/>
      <c r="AK876" s="3"/>
    </row>
    <row r="877" spans="1:37" ht="12.75" customHeight="1" x14ac:dyDescent="0.2">
      <c r="A877" s="14">
        <v>868</v>
      </c>
      <c r="B877" s="4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4"/>
      <c r="Y877" s="23"/>
      <c r="Z877" s="4" t="str">
        <f t="shared" si="18"/>
        <v/>
      </c>
      <c r="AA877" s="4" t="str">
        <f t="shared" si="19"/>
        <v/>
      </c>
      <c r="AB877" s="4" t="str">
        <f t="shared" si="20"/>
        <v/>
      </c>
      <c r="AC877" s="4">
        <v>0.30224893483567294</v>
      </c>
      <c r="AD877" s="4">
        <f t="shared" si="21"/>
        <v>-0.35989287999671371</v>
      </c>
      <c r="AE877" s="4" t="e">
        <f t="shared" si="22"/>
        <v>#VALUE!</v>
      </c>
      <c r="AF877" s="3" t="e">
        <f t="shared" si="23"/>
        <v>#VALUE!</v>
      </c>
      <c r="AG877" s="3"/>
      <c r="AH877" s="3"/>
      <c r="AI877" s="3"/>
      <c r="AJ877" s="3"/>
      <c r="AK877" s="3"/>
    </row>
    <row r="878" spans="1:37" ht="12.75" customHeight="1" x14ac:dyDescent="0.2">
      <c r="A878" s="14">
        <v>869</v>
      </c>
      <c r="B878" s="4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4"/>
      <c r="Y878" s="23"/>
      <c r="Z878" s="4" t="str">
        <f t="shared" si="18"/>
        <v/>
      </c>
      <c r="AA878" s="4" t="str">
        <f t="shared" si="19"/>
        <v/>
      </c>
      <c r="AB878" s="4" t="str">
        <f t="shared" si="20"/>
        <v/>
      </c>
      <c r="AC878" s="4">
        <v>0.29396911502546708</v>
      </c>
      <c r="AD878" s="4">
        <f t="shared" si="21"/>
        <v>-0.34809629602289066</v>
      </c>
      <c r="AE878" s="4" t="e">
        <f t="shared" si="22"/>
        <v>#VALUE!</v>
      </c>
      <c r="AF878" s="3" t="e">
        <f t="shared" si="23"/>
        <v>#VALUE!</v>
      </c>
      <c r="AG878" s="3"/>
      <c r="AH878" s="3"/>
      <c r="AI878" s="3"/>
      <c r="AJ878" s="3"/>
      <c r="AK878" s="3"/>
    </row>
    <row r="879" spans="1:37" ht="12.75" customHeight="1" x14ac:dyDescent="0.2">
      <c r="A879" s="14">
        <v>870</v>
      </c>
      <c r="B879" s="4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4"/>
      <c r="Y879" s="23"/>
      <c r="Z879" s="4" t="str">
        <f t="shared" si="18"/>
        <v/>
      </c>
      <c r="AA879" s="4" t="str">
        <f t="shared" si="19"/>
        <v/>
      </c>
      <c r="AB879" s="4" t="str">
        <f t="shared" si="20"/>
        <v/>
      </c>
      <c r="AC879" s="4">
        <v>0.29396911502546708</v>
      </c>
      <c r="AD879" s="4">
        <f t="shared" si="21"/>
        <v>-0.34809629602289066</v>
      </c>
      <c r="AE879" s="4" t="e">
        <f t="shared" si="22"/>
        <v>#VALUE!</v>
      </c>
      <c r="AF879" s="3" t="e">
        <f t="shared" si="23"/>
        <v>#VALUE!</v>
      </c>
      <c r="AG879" s="3"/>
      <c r="AH879" s="3"/>
      <c r="AI879" s="3"/>
      <c r="AJ879" s="3"/>
      <c r="AK879" s="3"/>
    </row>
    <row r="880" spans="1:37" ht="12.75" customHeight="1" x14ac:dyDescent="0.2">
      <c r="A880" s="14">
        <v>871</v>
      </c>
      <c r="B880" s="4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4"/>
      <c r="Y880" s="23"/>
      <c r="Z880" s="4" t="str">
        <f t="shared" si="18"/>
        <v/>
      </c>
      <c r="AA880" s="4" t="str">
        <f t="shared" si="19"/>
        <v/>
      </c>
      <c r="AB880" s="4" t="str">
        <f t="shared" si="20"/>
        <v/>
      </c>
      <c r="AC880" s="4">
        <v>0.29396911502546708</v>
      </c>
      <c r="AD880" s="4">
        <f t="shared" si="21"/>
        <v>-0.34809629602289066</v>
      </c>
      <c r="AE880" s="4" t="e">
        <f t="shared" si="22"/>
        <v>#VALUE!</v>
      </c>
      <c r="AF880" s="3" t="e">
        <f t="shared" si="23"/>
        <v>#VALUE!</v>
      </c>
      <c r="AG880" s="3"/>
      <c r="AH880" s="3"/>
      <c r="AI880" s="3"/>
      <c r="AJ880" s="3"/>
      <c r="AK880" s="3"/>
    </row>
    <row r="881" spans="1:37" ht="12.75" customHeight="1" x14ac:dyDescent="0.2">
      <c r="A881" s="14">
        <v>872</v>
      </c>
      <c r="B881" s="4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4"/>
      <c r="Y881" s="23"/>
      <c r="Z881" s="4" t="str">
        <f t="shared" si="18"/>
        <v/>
      </c>
      <c r="AA881" s="4" t="str">
        <f t="shared" si="19"/>
        <v/>
      </c>
      <c r="AB881" s="4" t="str">
        <f t="shared" si="20"/>
        <v/>
      </c>
      <c r="AC881" s="4">
        <v>0.29396911502546708</v>
      </c>
      <c r="AD881" s="4">
        <f t="shared" si="21"/>
        <v>-0.34809629602289066</v>
      </c>
      <c r="AE881" s="4" t="e">
        <f t="shared" si="22"/>
        <v>#VALUE!</v>
      </c>
      <c r="AF881" s="3" t="e">
        <f t="shared" si="23"/>
        <v>#VALUE!</v>
      </c>
      <c r="AG881" s="3"/>
      <c r="AH881" s="3"/>
      <c r="AI881" s="3"/>
      <c r="AJ881" s="3"/>
      <c r="AK881" s="3"/>
    </row>
    <row r="882" spans="1:37" ht="12.75" customHeight="1" x14ac:dyDescent="0.2">
      <c r="A882" s="14">
        <v>873</v>
      </c>
      <c r="B882" s="4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4"/>
      <c r="Y882" s="23"/>
      <c r="Z882" s="4" t="str">
        <f t="shared" si="18"/>
        <v/>
      </c>
      <c r="AA882" s="4" t="str">
        <f t="shared" si="19"/>
        <v/>
      </c>
      <c r="AB882" s="4" t="str">
        <f t="shared" si="20"/>
        <v/>
      </c>
      <c r="AC882" s="4">
        <v>0.29396911502546708</v>
      </c>
      <c r="AD882" s="4">
        <f t="shared" si="21"/>
        <v>-0.34809629602289066</v>
      </c>
      <c r="AE882" s="4" t="e">
        <f t="shared" si="22"/>
        <v>#VALUE!</v>
      </c>
      <c r="AF882" s="3" t="e">
        <f t="shared" si="23"/>
        <v>#VALUE!</v>
      </c>
      <c r="AG882" s="3"/>
      <c r="AH882" s="3"/>
      <c r="AI882" s="3"/>
      <c r="AJ882" s="3"/>
      <c r="AK882" s="3"/>
    </row>
    <row r="883" spans="1:37" ht="12.75" customHeight="1" x14ac:dyDescent="0.2">
      <c r="A883" s="14">
        <v>874</v>
      </c>
      <c r="B883" s="4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4"/>
      <c r="Y883" s="23"/>
      <c r="Z883" s="4" t="str">
        <f t="shared" si="18"/>
        <v/>
      </c>
      <c r="AA883" s="4" t="str">
        <f t="shared" si="19"/>
        <v/>
      </c>
      <c r="AB883" s="4" t="str">
        <f t="shared" si="20"/>
        <v/>
      </c>
      <c r="AC883" s="4">
        <v>0.28579574490921889</v>
      </c>
      <c r="AD883" s="4">
        <f t="shared" si="21"/>
        <v>-0.33658628599750223</v>
      </c>
      <c r="AE883" s="4" t="e">
        <f t="shared" si="22"/>
        <v>#VALUE!</v>
      </c>
      <c r="AF883" s="3" t="e">
        <f t="shared" si="23"/>
        <v>#VALUE!</v>
      </c>
      <c r="AG883" s="3"/>
      <c r="AH883" s="3"/>
      <c r="AI883" s="3"/>
      <c r="AJ883" s="3"/>
      <c r="AK883" s="3"/>
    </row>
    <row r="884" spans="1:37" ht="12.75" customHeight="1" x14ac:dyDescent="0.2">
      <c r="A884" s="14">
        <v>875</v>
      </c>
      <c r="B884" s="4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4"/>
      <c r="Y884" s="23"/>
      <c r="Z884" s="4" t="str">
        <f t="shared" si="18"/>
        <v/>
      </c>
      <c r="AA884" s="4" t="str">
        <f t="shared" si="19"/>
        <v/>
      </c>
      <c r="AB884" s="4" t="str">
        <f t="shared" si="20"/>
        <v/>
      </c>
      <c r="AC884" s="4">
        <v>0.28579574490921889</v>
      </c>
      <c r="AD884" s="4">
        <f t="shared" si="21"/>
        <v>-0.33658628599750223</v>
      </c>
      <c r="AE884" s="4" t="e">
        <f t="shared" si="22"/>
        <v>#VALUE!</v>
      </c>
      <c r="AF884" s="3" t="e">
        <f t="shared" si="23"/>
        <v>#VALUE!</v>
      </c>
      <c r="AG884" s="3"/>
      <c r="AH884" s="3"/>
      <c r="AI884" s="3"/>
      <c r="AJ884" s="3"/>
      <c r="AK884" s="3"/>
    </row>
    <row r="885" spans="1:37" ht="12.75" customHeight="1" x14ac:dyDescent="0.2">
      <c r="A885" s="14">
        <v>876</v>
      </c>
      <c r="B885" s="4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4"/>
      <c r="Y885" s="23"/>
      <c r="Z885" s="4" t="str">
        <f t="shared" si="18"/>
        <v/>
      </c>
      <c r="AA885" s="4" t="str">
        <f t="shared" si="19"/>
        <v/>
      </c>
      <c r="AB885" s="4" t="str">
        <f t="shared" si="20"/>
        <v/>
      </c>
      <c r="AC885" s="4">
        <v>0.28579574490921889</v>
      </c>
      <c r="AD885" s="4">
        <f t="shared" si="21"/>
        <v>-0.33658628599750223</v>
      </c>
      <c r="AE885" s="4" t="e">
        <f t="shared" si="22"/>
        <v>#VALUE!</v>
      </c>
      <c r="AF885" s="3" t="e">
        <f t="shared" si="23"/>
        <v>#VALUE!</v>
      </c>
      <c r="AG885" s="3"/>
      <c r="AH885" s="3"/>
      <c r="AI885" s="3"/>
      <c r="AJ885" s="3"/>
      <c r="AK885" s="3"/>
    </row>
    <row r="886" spans="1:37" ht="12.75" customHeight="1" x14ac:dyDescent="0.2">
      <c r="A886" s="14">
        <v>877</v>
      </c>
      <c r="B886" s="4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4"/>
      <c r="Y886" s="23"/>
      <c r="Z886" s="4" t="str">
        <f t="shared" si="18"/>
        <v/>
      </c>
      <c r="AA886" s="4" t="str">
        <f t="shared" si="19"/>
        <v/>
      </c>
      <c r="AB886" s="4" t="str">
        <f t="shared" si="20"/>
        <v/>
      </c>
      <c r="AC886" s="4">
        <v>0.28579574490921889</v>
      </c>
      <c r="AD886" s="4">
        <f t="shared" si="21"/>
        <v>-0.33658628599750223</v>
      </c>
      <c r="AE886" s="4" t="e">
        <f t="shared" si="22"/>
        <v>#VALUE!</v>
      </c>
      <c r="AF886" s="3" t="e">
        <f t="shared" si="23"/>
        <v>#VALUE!</v>
      </c>
      <c r="AG886" s="3"/>
      <c r="AH886" s="3"/>
      <c r="AI886" s="3"/>
      <c r="AJ886" s="3"/>
      <c r="AK886" s="3"/>
    </row>
    <row r="887" spans="1:37" ht="12.75" customHeight="1" x14ac:dyDescent="0.2">
      <c r="A887" s="14">
        <v>878</v>
      </c>
      <c r="B887" s="4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4"/>
      <c r="Y887" s="23"/>
      <c r="Z887" s="4" t="str">
        <f t="shared" si="18"/>
        <v/>
      </c>
      <c r="AA887" s="4" t="str">
        <f t="shared" si="19"/>
        <v/>
      </c>
      <c r="AB887" s="4" t="str">
        <f t="shared" si="20"/>
        <v/>
      </c>
      <c r="AC887" s="4">
        <v>0.28579574490921889</v>
      </c>
      <c r="AD887" s="4">
        <f t="shared" si="21"/>
        <v>-0.33658628599750223</v>
      </c>
      <c r="AE887" s="4" t="e">
        <f t="shared" si="22"/>
        <v>#VALUE!</v>
      </c>
      <c r="AF887" s="3" t="e">
        <f t="shared" si="23"/>
        <v>#VALUE!</v>
      </c>
      <c r="AG887" s="3"/>
      <c r="AH887" s="3"/>
      <c r="AI887" s="3"/>
      <c r="AJ887" s="3"/>
      <c r="AK887" s="3"/>
    </row>
    <row r="888" spans="1:37" ht="12.75" customHeight="1" x14ac:dyDescent="0.2">
      <c r="A888" s="14">
        <v>879</v>
      </c>
      <c r="B888" s="4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4"/>
      <c r="Y888" s="23"/>
      <c r="Z888" s="4" t="str">
        <f t="shared" si="18"/>
        <v/>
      </c>
      <c r="AA888" s="4" t="str">
        <f t="shared" si="19"/>
        <v/>
      </c>
      <c r="AB888" s="4" t="str">
        <f t="shared" si="20"/>
        <v/>
      </c>
      <c r="AC888" s="4">
        <v>0.28579574490921889</v>
      </c>
      <c r="AD888" s="4">
        <f t="shared" si="21"/>
        <v>-0.33658628599750223</v>
      </c>
      <c r="AE888" s="4" t="e">
        <f t="shared" si="22"/>
        <v>#VALUE!</v>
      </c>
      <c r="AF888" s="3" t="e">
        <f t="shared" si="23"/>
        <v>#VALUE!</v>
      </c>
      <c r="AG888" s="3"/>
      <c r="AH888" s="3"/>
      <c r="AI888" s="3"/>
      <c r="AJ888" s="3"/>
      <c r="AK888" s="3"/>
    </row>
    <row r="889" spans="1:37" ht="12.75" customHeight="1" x14ac:dyDescent="0.2">
      <c r="A889" s="14">
        <v>880</v>
      </c>
      <c r="B889" s="4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4"/>
      <c r="Y889" s="23"/>
      <c r="Z889" s="4" t="str">
        <f t="shared" si="18"/>
        <v/>
      </c>
      <c r="AA889" s="4" t="str">
        <f t="shared" si="19"/>
        <v/>
      </c>
      <c r="AB889" s="4" t="str">
        <f t="shared" si="20"/>
        <v/>
      </c>
      <c r="AC889" s="4">
        <v>0.27773205679309432</v>
      </c>
      <c r="AD889" s="4">
        <f t="shared" si="21"/>
        <v>-0.32535909645957439</v>
      </c>
      <c r="AE889" s="4" t="e">
        <f t="shared" si="22"/>
        <v>#VALUE!</v>
      </c>
      <c r="AF889" s="3" t="e">
        <f t="shared" si="23"/>
        <v>#VALUE!</v>
      </c>
      <c r="AG889" s="3"/>
      <c r="AH889" s="3"/>
      <c r="AI889" s="3"/>
      <c r="AJ889" s="3"/>
      <c r="AK889" s="3"/>
    </row>
    <row r="890" spans="1:37" ht="12.75" customHeight="1" x14ac:dyDescent="0.2">
      <c r="A890" s="14">
        <v>881</v>
      </c>
      <c r="B890" s="4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4"/>
      <c r="Y890" s="23"/>
      <c r="Z890" s="4" t="str">
        <f t="shared" si="18"/>
        <v/>
      </c>
      <c r="AA890" s="4" t="str">
        <f t="shared" si="19"/>
        <v/>
      </c>
      <c r="AB890" s="4" t="str">
        <f t="shared" si="20"/>
        <v/>
      </c>
      <c r="AC890" s="4">
        <v>0.27773205679309432</v>
      </c>
      <c r="AD890" s="4">
        <f t="shared" si="21"/>
        <v>-0.32535909645957439</v>
      </c>
      <c r="AE890" s="4" t="e">
        <f t="shared" si="22"/>
        <v>#VALUE!</v>
      </c>
      <c r="AF890" s="3" t="e">
        <f t="shared" si="23"/>
        <v>#VALUE!</v>
      </c>
      <c r="AG890" s="3"/>
      <c r="AH890" s="3"/>
      <c r="AI890" s="3"/>
      <c r="AJ890" s="3"/>
      <c r="AK890" s="3"/>
    </row>
    <row r="891" spans="1:37" ht="12.75" customHeight="1" x14ac:dyDescent="0.2">
      <c r="A891" s="14">
        <v>882</v>
      </c>
      <c r="B891" s="4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4"/>
      <c r="Y891" s="23"/>
      <c r="Z891" s="4" t="str">
        <f t="shared" si="18"/>
        <v/>
      </c>
      <c r="AA891" s="4" t="str">
        <f t="shared" si="19"/>
        <v/>
      </c>
      <c r="AB891" s="4" t="str">
        <f t="shared" si="20"/>
        <v/>
      </c>
      <c r="AC891" s="4">
        <v>0.27773205679309432</v>
      </c>
      <c r="AD891" s="4">
        <f t="shared" si="21"/>
        <v>-0.32535909645957439</v>
      </c>
      <c r="AE891" s="4" t="e">
        <f t="shared" si="22"/>
        <v>#VALUE!</v>
      </c>
      <c r="AF891" s="3" t="e">
        <f t="shared" si="23"/>
        <v>#VALUE!</v>
      </c>
      <c r="AG891" s="3"/>
      <c r="AH891" s="3"/>
      <c r="AI891" s="3"/>
      <c r="AJ891" s="3"/>
      <c r="AK891" s="3"/>
    </row>
    <row r="892" spans="1:37" ht="12.75" customHeight="1" x14ac:dyDescent="0.2">
      <c r="A892" s="14">
        <v>883</v>
      </c>
      <c r="B892" s="4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4"/>
      <c r="Y892" s="23"/>
      <c r="Z892" s="4" t="str">
        <f t="shared" si="18"/>
        <v/>
      </c>
      <c r="AA892" s="4" t="str">
        <f t="shared" si="19"/>
        <v/>
      </c>
      <c r="AB892" s="4" t="str">
        <f t="shared" si="20"/>
        <v/>
      </c>
      <c r="AC892" s="4">
        <v>0.27773205679309432</v>
      </c>
      <c r="AD892" s="4">
        <f t="shared" si="21"/>
        <v>-0.32535909645957439</v>
      </c>
      <c r="AE892" s="4" t="e">
        <f t="shared" si="22"/>
        <v>#VALUE!</v>
      </c>
      <c r="AF892" s="3" t="e">
        <f t="shared" si="23"/>
        <v>#VALUE!</v>
      </c>
      <c r="AG892" s="3"/>
      <c r="AH892" s="3"/>
      <c r="AI892" s="3"/>
      <c r="AJ892" s="3"/>
      <c r="AK892" s="3"/>
    </row>
    <row r="893" spans="1:37" ht="12.75" customHeight="1" x14ac:dyDescent="0.2">
      <c r="A893" s="14">
        <v>884</v>
      </c>
      <c r="B893" s="4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4"/>
      <c r="Y893" s="23"/>
      <c r="Z893" s="4" t="str">
        <f t="shared" si="18"/>
        <v/>
      </c>
      <c r="AA893" s="4" t="str">
        <f t="shared" si="19"/>
        <v/>
      </c>
      <c r="AB893" s="4" t="str">
        <f t="shared" si="20"/>
        <v/>
      </c>
      <c r="AC893" s="4">
        <v>0.26978111530826077</v>
      </c>
      <c r="AD893" s="4">
        <f t="shared" si="21"/>
        <v>-0.31441094773986361</v>
      </c>
      <c r="AE893" s="4" t="e">
        <f t="shared" si="22"/>
        <v>#VALUE!</v>
      </c>
      <c r="AF893" s="3" t="e">
        <f t="shared" si="23"/>
        <v>#VALUE!</v>
      </c>
      <c r="AG893" s="3"/>
      <c r="AH893" s="3"/>
      <c r="AI893" s="3"/>
      <c r="AJ893" s="3"/>
      <c r="AK893" s="3"/>
    </row>
    <row r="894" spans="1:37" ht="12.75" customHeight="1" x14ac:dyDescent="0.2">
      <c r="A894" s="14">
        <v>885</v>
      </c>
      <c r="B894" s="4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4"/>
      <c r="Y894" s="23"/>
      <c r="Z894" s="4" t="str">
        <f t="shared" si="18"/>
        <v/>
      </c>
      <c r="AA894" s="4" t="str">
        <f t="shared" si="19"/>
        <v/>
      </c>
      <c r="AB894" s="4" t="str">
        <f t="shared" si="20"/>
        <v/>
      </c>
      <c r="AC894" s="4">
        <v>0.26978111530826077</v>
      </c>
      <c r="AD894" s="4">
        <f t="shared" si="21"/>
        <v>-0.31441094773986361</v>
      </c>
      <c r="AE894" s="4" t="e">
        <f t="shared" si="22"/>
        <v>#VALUE!</v>
      </c>
      <c r="AF894" s="3" t="e">
        <f t="shared" si="23"/>
        <v>#VALUE!</v>
      </c>
      <c r="AG894" s="3"/>
      <c r="AH894" s="3"/>
      <c r="AI894" s="3"/>
      <c r="AJ894" s="3"/>
      <c r="AK894" s="3"/>
    </row>
    <row r="895" spans="1:37" ht="12.75" customHeight="1" x14ac:dyDescent="0.2">
      <c r="A895" s="14">
        <v>886</v>
      </c>
      <c r="B895" s="4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4"/>
      <c r="Y895" s="23"/>
      <c r="Z895" s="4" t="str">
        <f t="shared" si="18"/>
        <v/>
      </c>
      <c r="AA895" s="4" t="str">
        <f t="shared" si="19"/>
        <v/>
      </c>
      <c r="AB895" s="4" t="str">
        <f t="shared" si="20"/>
        <v/>
      </c>
      <c r="AC895" s="4">
        <v>0.26978111530826077</v>
      </c>
      <c r="AD895" s="4">
        <f t="shared" si="21"/>
        <v>-0.31441094773986361</v>
      </c>
      <c r="AE895" s="4" t="e">
        <f t="shared" si="22"/>
        <v>#VALUE!</v>
      </c>
      <c r="AF895" s="3" t="e">
        <f t="shared" si="23"/>
        <v>#VALUE!</v>
      </c>
      <c r="AG895" s="3"/>
      <c r="AH895" s="3"/>
      <c r="AI895" s="3"/>
      <c r="AJ895" s="3"/>
      <c r="AK895" s="3"/>
    </row>
    <row r="896" spans="1:37" ht="12.75" customHeight="1" x14ac:dyDescent="0.2">
      <c r="A896" s="14">
        <v>887</v>
      </c>
      <c r="B896" s="4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4"/>
      <c r="Y896" s="23"/>
      <c r="Z896" s="4" t="str">
        <f t="shared" si="18"/>
        <v/>
      </c>
      <c r="AA896" s="4" t="str">
        <f t="shared" si="19"/>
        <v/>
      </c>
      <c r="AB896" s="4" t="str">
        <f t="shared" si="20"/>
        <v/>
      </c>
      <c r="AC896" s="4">
        <v>0.26194581450245535</v>
      </c>
      <c r="AD896" s="4">
        <f t="shared" si="21"/>
        <v>-0.30373803499353996</v>
      </c>
      <c r="AE896" s="4" t="e">
        <f t="shared" si="22"/>
        <v>#VALUE!</v>
      </c>
      <c r="AF896" s="3" t="e">
        <f t="shared" si="23"/>
        <v>#VALUE!</v>
      </c>
      <c r="AG896" s="3"/>
      <c r="AH896" s="3"/>
      <c r="AI896" s="3"/>
      <c r="AJ896" s="3"/>
      <c r="AK896" s="3"/>
    </row>
    <row r="897" spans="1:37" ht="12.75" customHeight="1" x14ac:dyDescent="0.2">
      <c r="A897" s="14">
        <v>888</v>
      </c>
      <c r="B897" s="4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4"/>
      <c r="Y897" s="23"/>
      <c r="Z897" s="4" t="str">
        <f t="shared" si="18"/>
        <v/>
      </c>
      <c r="AA897" s="4" t="str">
        <f t="shared" si="19"/>
        <v/>
      </c>
      <c r="AB897" s="4" t="str">
        <f t="shared" si="20"/>
        <v/>
      </c>
      <c r="AC897" s="4">
        <v>0.26194581450245535</v>
      </c>
      <c r="AD897" s="4">
        <f t="shared" si="21"/>
        <v>-0.30373803499353996</v>
      </c>
      <c r="AE897" s="4" t="e">
        <f t="shared" si="22"/>
        <v>#VALUE!</v>
      </c>
      <c r="AF897" s="3" t="e">
        <f t="shared" si="23"/>
        <v>#VALUE!</v>
      </c>
      <c r="AG897" s="3"/>
      <c r="AH897" s="3"/>
      <c r="AI897" s="3"/>
      <c r="AJ897" s="3"/>
      <c r="AK897" s="3"/>
    </row>
    <row r="898" spans="1:37" ht="12.75" customHeight="1" x14ac:dyDescent="0.2">
      <c r="A898" s="14">
        <v>889</v>
      </c>
      <c r="B898" s="4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4"/>
      <c r="Y898" s="23"/>
      <c r="Z898" s="4" t="str">
        <f t="shared" si="18"/>
        <v/>
      </c>
      <c r="AA898" s="4" t="str">
        <f t="shared" si="19"/>
        <v/>
      </c>
      <c r="AB898" s="4" t="str">
        <f t="shared" si="20"/>
        <v/>
      </c>
      <c r="AC898" s="4">
        <v>0.26194581450245535</v>
      </c>
      <c r="AD898" s="4">
        <f t="shared" si="21"/>
        <v>-0.30373803499353996</v>
      </c>
      <c r="AE898" s="4" t="e">
        <f t="shared" si="22"/>
        <v>#VALUE!</v>
      </c>
      <c r="AF898" s="3" t="e">
        <f t="shared" si="23"/>
        <v>#VALUE!</v>
      </c>
      <c r="AG898" s="3"/>
      <c r="AH898" s="3"/>
      <c r="AI898" s="3"/>
      <c r="AJ898" s="3"/>
      <c r="AK898" s="3"/>
    </row>
    <row r="899" spans="1:37" ht="12.75" customHeight="1" x14ac:dyDescent="0.2">
      <c r="A899" s="14">
        <v>890</v>
      </c>
      <c r="B899" s="4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4"/>
      <c r="Y899" s="23"/>
      <c r="Z899" s="4" t="str">
        <f t="shared" si="18"/>
        <v/>
      </c>
      <c r="AA899" s="4" t="str">
        <f t="shared" si="19"/>
        <v/>
      </c>
      <c r="AB899" s="4" t="str">
        <f t="shared" si="20"/>
        <v/>
      </c>
      <c r="AC899" s="4">
        <v>0.26194581450245535</v>
      </c>
      <c r="AD899" s="4">
        <f t="shared" si="21"/>
        <v>-0.30373803499353996</v>
      </c>
      <c r="AE899" s="4" t="e">
        <f t="shared" si="22"/>
        <v>#VALUE!</v>
      </c>
      <c r="AF899" s="3" t="e">
        <f t="shared" si="23"/>
        <v>#VALUE!</v>
      </c>
      <c r="AG899" s="3"/>
      <c r="AH899" s="3"/>
      <c r="AI899" s="3"/>
      <c r="AJ899" s="3"/>
      <c r="AK899" s="3"/>
    </row>
    <row r="900" spans="1:37" ht="12.75" customHeight="1" x14ac:dyDescent="0.2">
      <c r="A900" s="14">
        <v>891</v>
      </c>
      <c r="B900" s="4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4"/>
      <c r="Y900" s="23"/>
      <c r="Z900" s="4" t="str">
        <f t="shared" si="18"/>
        <v/>
      </c>
      <c r="AA900" s="4" t="str">
        <f t="shared" si="19"/>
        <v/>
      </c>
      <c r="AB900" s="4" t="str">
        <f t="shared" si="20"/>
        <v/>
      </c>
      <c r="AC900" s="4">
        <v>0.26194581450245535</v>
      </c>
      <c r="AD900" s="4">
        <f t="shared" si="21"/>
        <v>-0.30373803499353996</v>
      </c>
      <c r="AE900" s="4" t="e">
        <f t="shared" si="22"/>
        <v>#VALUE!</v>
      </c>
      <c r="AF900" s="3" t="e">
        <f t="shared" si="23"/>
        <v>#VALUE!</v>
      </c>
      <c r="AG900" s="3"/>
      <c r="AH900" s="3"/>
      <c r="AI900" s="3"/>
      <c r="AJ900" s="3"/>
      <c r="AK900" s="3"/>
    </row>
    <row r="901" spans="1:37" ht="12.75" customHeight="1" x14ac:dyDescent="0.2">
      <c r="A901" s="14">
        <v>892</v>
      </c>
      <c r="B901" s="4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4"/>
      <c r="Y901" s="23"/>
      <c r="Z901" s="4" t="str">
        <f t="shared" si="18"/>
        <v/>
      </c>
      <c r="AA901" s="4" t="str">
        <f t="shared" si="19"/>
        <v/>
      </c>
      <c r="AB901" s="4" t="str">
        <f t="shared" si="20"/>
        <v/>
      </c>
      <c r="AC901" s="4">
        <v>0.26194581450245535</v>
      </c>
      <c r="AD901" s="4">
        <f t="shared" si="21"/>
        <v>-0.30373803499353996</v>
      </c>
      <c r="AE901" s="4" t="e">
        <f t="shared" si="22"/>
        <v>#VALUE!</v>
      </c>
      <c r="AF901" s="3" t="e">
        <f t="shared" si="23"/>
        <v>#VALUE!</v>
      </c>
      <c r="AG901" s="3"/>
      <c r="AH901" s="3"/>
      <c r="AI901" s="3"/>
      <c r="AJ901" s="3"/>
      <c r="AK901" s="3"/>
    </row>
    <row r="902" spans="1:37" ht="12.75" customHeight="1" x14ac:dyDescent="0.2">
      <c r="A902" s="14">
        <v>893</v>
      </c>
      <c r="B902" s="4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4"/>
      <c r="Y902" s="23"/>
      <c r="Z902" s="4" t="str">
        <f t="shared" si="18"/>
        <v/>
      </c>
      <c r="AA902" s="4" t="str">
        <f t="shared" si="19"/>
        <v/>
      </c>
      <c r="AB902" s="4" t="str">
        <f t="shared" si="20"/>
        <v/>
      </c>
      <c r="AC902" s="4">
        <v>0.26194581450245535</v>
      </c>
      <c r="AD902" s="4">
        <f t="shared" si="21"/>
        <v>-0.30373803499353996</v>
      </c>
      <c r="AE902" s="4" t="e">
        <f t="shared" si="22"/>
        <v>#VALUE!</v>
      </c>
      <c r="AF902" s="3" t="e">
        <f t="shared" si="23"/>
        <v>#VALUE!</v>
      </c>
      <c r="AG902" s="3"/>
      <c r="AH902" s="3"/>
      <c r="AI902" s="3"/>
      <c r="AJ902" s="3"/>
      <c r="AK902" s="3"/>
    </row>
    <row r="903" spans="1:37" ht="12.75" customHeight="1" x14ac:dyDescent="0.2">
      <c r="A903" s="14">
        <v>894</v>
      </c>
      <c r="B903" s="4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4"/>
      <c r="Y903" s="23"/>
      <c r="Z903" s="4" t="str">
        <f t="shared" si="18"/>
        <v/>
      </c>
      <c r="AA903" s="4" t="str">
        <f t="shared" si="19"/>
        <v/>
      </c>
      <c r="AB903" s="4" t="str">
        <f t="shared" si="20"/>
        <v/>
      </c>
      <c r="AC903" s="4">
        <v>0.26194581450245535</v>
      </c>
      <c r="AD903" s="4">
        <f t="shared" si="21"/>
        <v>-0.30373803499353996</v>
      </c>
      <c r="AE903" s="4" t="e">
        <f t="shared" si="22"/>
        <v>#VALUE!</v>
      </c>
      <c r="AF903" s="3" t="e">
        <f t="shared" si="23"/>
        <v>#VALUE!</v>
      </c>
      <c r="AG903" s="3"/>
      <c r="AH903" s="3"/>
      <c r="AI903" s="3"/>
      <c r="AJ903" s="3"/>
      <c r="AK903" s="3"/>
    </row>
    <row r="904" spans="1:37" ht="12.75" customHeight="1" x14ac:dyDescent="0.2">
      <c r="A904" s="14">
        <v>895</v>
      </c>
      <c r="B904" s="4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4"/>
      <c r="Y904" s="23"/>
      <c r="Z904" s="4" t="str">
        <f t="shared" si="18"/>
        <v/>
      </c>
      <c r="AA904" s="4" t="str">
        <f t="shared" si="19"/>
        <v/>
      </c>
      <c r="AB904" s="4" t="str">
        <f t="shared" si="20"/>
        <v/>
      </c>
      <c r="AC904" s="4">
        <v>0.26194581450245535</v>
      </c>
      <c r="AD904" s="4">
        <f t="shared" si="21"/>
        <v>-0.30373803499353996</v>
      </c>
      <c r="AE904" s="4" t="e">
        <f t="shared" si="22"/>
        <v>#VALUE!</v>
      </c>
      <c r="AF904" s="3" t="e">
        <f t="shared" si="23"/>
        <v>#VALUE!</v>
      </c>
      <c r="AG904" s="3"/>
      <c r="AH904" s="3"/>
      <c r="AI904" s="3"/>
      <c r="AJ904" s="3"/>
      <c r="AK904" s="3"/>
    </row>
    <row r="905" spans="1:37" ht="12.75" customHeight="1" x14ac:dyDescent="0.2">
      <c r="A905" s="14">
        <v>896</v>
      </c>
      <c r="B905" s="4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4"/>
      <c r="Y905" s="23"/>
      <c r="Z905" s="4" t="str">
        <f t="shared" si="18"/>
        <v/>
      </c>
      <c r="AA905" s="4" t="str">
        <f t="shared" si="19"/>
        <v/>
      </c>
      <c r="AB905" s="4" t="str">
        <f t="shared" si="20"/>
        <v/>
      </c>
      <c r="AC905" s="4">
        <v>0.26194581450245535</v>
      </c>
      <c r="AD905" s="4">
        <f t="shared" si="21"/>
        <v>-0.30373803499353996</v>
      </c>
      <c r="AE905" s="4" t="e">
        <f t="shared" si="22"/>
        <v>#VALUE!</v>
      </c>
      <c r="AF905" s="3" t="e">
        <f t="shared" si="23"/>
        <v>#VALUE!</v>
      </c>
      <c r="AG905" s="3"/>
      <c r="AH905" s="3"/>
      <c r="AI905" s="3"/>
      <c r="AJ905" s="3"/>
      <c r="AK905" s="3"/>
    </row>
    <row r="906" spans="1:37" ht="12.75" customHeight="1" x14ac:dyDescent="0.2">
      <c r="A906" s="14">
        <v>897</v>
      </c>
      <c r="B906" s="4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4"/>
      <c r="Y906" s="23"/>
      <c r="Z906" s="4" t="str">
        <f t="shared" si="18"/>
        <v/>
      </c>
      <c r="AA906" s="4" t="str">
        <f t="shared" si="19"/>
        <v/>
      </c>
      <c r="AB906" s="4" t="str">
        <f t="shared" si="20"/>
        <v/>
      </c>
      <c r="AC906" s="4">
        <v>0.26194581450245535</v>
      </c>
      <c r="AD906" s="4">
        <f t="shared" si="21"/>
        <v>-0.30373803499353996</v>
      </c>
      <c r="AE906" s="4" t="e">
        <f t="shared" si="22"/>
        <v>#VALUE!</v>
      </c>
      <c r="AF906" s="3" t="e">
        <f t="shared" si="23"/>
        <v>#VALUE!</v>
      </c>
      <c r="AG906" s="3"/>
      <c r="AH906" s="3"/>
      <c r="AI906" s="3"/>
      <c r="AJ906" s="3"/>
      <c r="AK906" s="3"/>
    </row>
    <row r="907" spans="1:37" ht="12.75" customHeight="1" x14ac:dyDescent="0.2">
      <c r="A907" s="14">
        <v>898</v>
      </c>
      <c r="B907" s="4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4"/>
      <c r="Y907" s="23"/>
      <c r="Z907" s="4" t="str">
        <f t="shared" si="18"/>
        <v/>
      </c>
      <c r="AA907" s="4" t="str">
        <f t="shared" si="19"/>
        <v/>
      </c>
      <c r="AB907" s="4" t="str">
        <f t="shared" si="20"/>
        <v/>
      </c>
      <c r="AC907" s="4">
        <v>0.26194581450245535</v>
      </c>
      <c r="AD907" s="4">
        <f t="shared" si="21"/>
        <v>-0.30373803499353996</v>
      </c>
      <c r="AE907" s="4" t="e">
        <f t="shared" si="22"/>
        <v>#VALUE!</v>
      </c>
      <c r="AF907" s="3" t="e">
        <f t="shared" si="23"/>
        <v>#VALUE!</v>
      </c>
      <c r="AG907" s="3"/>
      <c r="AH907" s="3"/>
      <c r="AI907" s="3"/>
      <c r="AJ907" s="3"/>
      <c r="AK907" s="3"/>
    </row>
    <row r="908" spans="1:37" ht="12.75" customHeight="1" x14ac:dyDescent="0.2">
      <c r="A908" s="14">
        <v>899</v>
      </c>
      <c r="B908" s="4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4"/>
      <c r="Y908" s="23"/>
      <c r="Z908" s="4" t="str">
        <f t="shared" si="18"/>
        <v/>
      </c>
      <c r="AA908" s="4" t="str">
        <f t="shared" si="19"/>
        <v/>
      </c>
      <c r="AB908" s="4" t="str">
        <f t="shared" si="20"/>
        <v/>
      </c>
      <c r="AC908" s="4">
        <v>0.26194581450245535</v>
      </c>
      <c r="AD908" s="4">
        <f t="shared" si="21"/>
        <v>-0.30373803499353996</v>
      </c>
      <c r="AE908" s="4" t="e">
        <f t="shared" si="22"/>
        <v>#VALUE!</v>
      </c>
      <c r="AF908" s="3" t="e">
        <f t="shared" si="23"/>
        <v>#VALUE!</v>
      </c>
      <c r="AG908" s="3"/>
      <c r="AH908" s="3"/>
      <c r="AI908" s="3"/>
      <c r="AJ908" s="3"/>
      <c r="AK908" s="3"/>
    </row>
    <row r="909" spans="1:37" ht="12.75" customHeight="1" x14ac:dyDescent="0.2">
      <c r="A909" s="14">
        <v>900</v>
      </c>
      <c r="B909" s="4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4"/>
      <c r="Y909" s="23"/>
      <c r="Z909" s="4" t="str">
        <f t="shared" si="18"/>
        <v/>
      </c>
      <c r="AA909" s="4" t="str">
        <f t="shared" si="19"/>
        <v/>
      </c>
      <c r="AB909" s="4" t="str">
        <f t="shared" si="20"/>
        <v/>
      </c>
      <c r="AC909" s="4">
        <v>0.26194581450245535</v>
      </c>
      <c r="AD909" s="4">
        <f t="shared" si="21"/>
        <v>-0.30373803499353996</v>
      </c>
      <c r="AE909" s="4" t="e">
        <f t="shared" si="22"/>
        <v>#VALUE!</v>
      </c>
      <c r="AF909" s="3" t="e">
        <f t="shared" si="23"/>
        <v>#VALUE!</v>
      </c>
      <c r="AG909" s="3"/>
      <c r="AH909" s="3"/>
      <c r="AI909" s="3"/>
      <c r="AJ909" s="3"/>
      <c r="AK909" s="3"/>
    </row>
    <row r="910" spans="1:37" ht="12.75" customHeight="1" x14ac:dyDescent="0.2">
      <c r="A910" s="14">
        <v>901</v>
      </c>
      <c r="B910" s="4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4"/>
      <c r="Y910" s="23"/>
      <c r="Z910" s="4" t="str">
        <f t="shared" si="18"/>
        <v/>
      </c>
      <c r="AA910" s="4" t="str">
        <f t="shared" si="19"/>
        <v/>
      </c>
      <c r="AB910" s="4" t="str">
        <f t="shared" si="20"/>
        <v/>
      </c>
      <c r="AC910" s="4">
        <v>0.26194581450245535</v>
      </c>
      <c r="AD910" s="4">
        <f t="shared" si="21"/>
        <v>-0.30373803499353996</v>
      </c>
      <c r="AE910" s="4" t="e">
        <f t="shared" si="22"/>
        <v>#VALUE!</v>
      </c>
      <c r="AF910" s="3" t="e">
        <f t="shared" si="23"/>
        <v>#VALUE!</v>
      </c>
      <c r="AG910" s="3"/>
      <c r="AH910" s="3"/>
      <c r="AI910" s="3"/>
      <c r="AJ910" s="3"/>
      <c r="AK910" s="3"/>
    </row>
    <row r="911" spans="1:37" ht="12.75" customHeight="1" x14ac:dyDescent="0.2">
      <c r="A911" s="14">
        <v>902</v>
      </c>
      <c r="B911" s="4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4"/>
      <c r="Y911" s="23"/>
      <c r="Z911" s="4" t="str">
        <f t="shared" si="18"/>
        <v/>
      </c>
      <c r="AA911" s="4" t="str">
        <f t="shared" si="19"/>
        <v/>
      </c>
      <c r="AB911" s="4" t="str">
        <f t="shared" si="20"/>
        <v/>
      </c>
      <c r="AC911" s="4">
        <v>0.26194581450245535</v>
      </c>
      <c r="AD911" s="4">
        <f t="shared" si="21"/>
        <v>-0.30373803499353996</v>
      </c>
      <c r="AE911" s="4" t="e">
        <f t="shared" si="22"/>
        <v>#VALUE!</v>
      </c>
      <c r="AF911" s="3" t="e">
        <f t="shared" si="23"/>
        <v>#VALUE!</v>
      </c>
      <c r="AG911" s="3"/>
      <c r="AH911" s="3"/>
      <c r="AI911" s="3"/>
      <c r="AJ911" s="3"/>
      <c r="AK911" s="3"/>
    </row>
    <row r="912" spans="1:37" ht="12.75" customHeight="1" x14ac:dyDescent="0.2">
      <c r="A912" s="14">
        <v>903</v>
      </c>
      <c r="B912" s="4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4"/>
      <c r="Y912" s="23"/>
      <c r="Z912" s="4" t="str">
        <f t="shared" si="18"/>
        <v/>
      </c>
      <c r="AA912" s="4" t="str">
        <f t="shared" si="19"/>
        <v/>
      </c>
      <c r="AB912" s="4" t="str">
        <f t="shared" si="20"/>
        <v/>
      </c>
      <c r="AC912" s="4">
        <v>0.26194581450245535</v>
      </c>
      <c r="AD912" s="4">
        <f t="shared" si="21"/>
        <v>-0.30373803499353996</v>
      </c>
      <c r="AE912" s="4" t="e">
        <f t="shared" si="22"/>
        <v>#VALUE!</v>
      </c>
      <c r="AF912" s="3" t="e">
        <f t="shared" si="23"/>
        <v>#VALUE!</v>
      </c>
      <c r="AG912" s="3"/>
      <c r="AH912" s="3"/>
      <c r="AI912" s="3"/>
      <c r="AJ912" s="3"/>
      <c r="AK912" s="3"/>
    </row>
    <row r="913" spans="1:37" ht="12.75" customHeight="1" x14ac:dyDescent="0.2">
      <c r="A913" s="14">
        <v>904</v>
      </c>
      <c r="B913" s="4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4"/>
      <c r="Y913" s="23"/>
      <c r="Z913" s="4" t="str">
        <f t="shared" si="18"/>
        <v/>
      </c>
      <c r="AA913" s="4" t="str">
        <f t="shared" si="19"/>
        <v/>
      </c>
      <c r="AB913" s="4" t="str">
        <f t="shared" si="20"/>
        <v/>
      </c>
      <c r="AC913" s="4">
        <v>0.26194581450245535</v>
      </c>
      <c r="AD913" s="4">
        <f t="shared" si="21"/>
        <v>-0.30373803499353996</v>
      </c>
      <c r="AE913" s="4" t="e">
        <f t="shared" si="22"/>
        <v>#VALUE!</v>
      </c>
      <c r="AF913" s="3" t="e">
        <f t="shared" si="23"/>
        <v>#VALUE!</v>
      </c>
      <c r="AG913" s="3"/>
      <c r="AH913" s="3"/>
      <c r="AI913" s="3"/>
      <c r="AJ913" s="3"/>
      <c r="AK913" s="3"/>
    </row>
    <row r="914" spans="1:37" ht="12.75" customHeight="1" x14ac:dyDescent="0.2">
      <c r="A914" s="14">
        <v>905</v>
      </c>
      <c r="B914" s="4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4"/>
      <c r="Y914" s="23"/>
      <c r="Z914" s="4" t="str">
        <f t="shared" si="18"/>
        <v/>
      </c>
      <c r="AA914" s="4" t="str">
        <f t="shared" si="19"/>
        <v/>
      </c>
      <c r="AB914" s="4" t="str">
        <f t="shared" si="20"/>
        <v/>
      </c>
      <c r="AC914" s="4">
        <v>0.26194581450245535</v>
      </c>
      <c r="AD914" s="4">
        <f t="shared" si="21"/>
        <v>-0.30373803499353996</v>
      </c>
      <c r="AE914" s="4" t="e">
        <f t="shared" si="22"/>
        <v>#VALUE!</v>
      </c>
      <c r="AF914" s="3" t="e">
        <f t="shared" si="23"/>
        <v>#VALUE!</v>
      </c>
      <c r="AG914" s="3"/>
      <c r="AH914" s="3"/>
      <c r="AI914" s="3"/>
      <c r="AJ914" s="3"/>
      <c r="AK914" s="3"/>
    </row>
    <row r="915" spans="1:37" ht="12.75" customHeight="1" x14ac:dyDescent="0.2">
      <c r="A915" s="14">
        <v>906</v>
      </c>
      <c r="B915" s="4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4"/>
      <c r="Y915" s="23"/>
      <c r="Z915" s="4" t="str">
        <f t="shared" si="18"/>
        <v/>
      </c>
      <c r="AA915" s="4" t="str">
        <f t="shared" si="19"/>
        <v/>
      </c>
      <c r="AB915" s="4" t="str">
        <f t="shared" si="20"/>
        <v/>
      </c>
      <c r="AC915" s="4">
        <v>0.26194581450245535</v>
      </c>
      <c r="AD915" s="4">
        <f t="shared" si="21"/>
        <v>-0.30373803499353996</v>
      </c>
      <c r="AE915" s="4" t="e">
        <f t="shared" si="22"/>
        <v>#VALUE!</v>
      </c>
      <c r="AF915" s="3" t="e">
        <f t="shared" si="23"/>
        <v>#VALUE!</v>
      </c>
      <c r="AG915" s="3"/>
      <c r="AH915" s="3"/>
      <c r="AI915" s="3"/>
      <c r="AJ915" s="3"/>
      <c r="AK915" s="3"/>
    </row>
    <row r="916" spans="1:37" ht="12.75" customHeight="1" x14ac:dyDescent="0.2">
      <c r="A916" s="14">
        <v>907</v>
      </c>
      <c r="B916" s="4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4"/>
      <c r="Y916" s="23"/>
      <c r="Z916" s="4" t="str">
        <f t="shared" si="18"/>
        <v/>
      </c>
      <c r="AA916" s="4" t="str">
        <f t="shared" si="19"/>
        <v/>
      </c>
      <c r="AB916" s="4" t="str">
        <f t="shared" si="20"/>
        <v/>
      </c>
      <c r="AC916" s="4">
        <v>0.26194581450245535</v>
      </c>
      <c r="AD916" s="4">
        <f t="shared" si="21"/>
        <v>-0.30373803499353996</v>
      </c>
      <c r="AE916" s="4" t="e">
        <f t="shared" si="22"/>
        <v>#VALUE!</v>
      </c>
      <c r="AF916" s="3" t="e">
        <f t="shared" si="23"/>
        <v>#VALUE!</v>
      </c>
      <c r="AG916" s="3"/>
      <c r="AH916" s="3"/>
      <c r="AI916" s="3"/>
      <c r="AJ916" s="3"/>
      <c r="AK916" s="3"/>
    </row>
    <row r="917" spans="1:37" ht="12.75" customHeight="1" x14ac:dyDescent="0.2">
      <c r="A917" s="14">
        <v>908</v>
      </c>
      <c r="B917" s="4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4"/>
      <c r="Y917" s="23"/>
      <c r="Z917" s="4" t="str">
        <f t="shared" si="18"/>
        <v/>
      </c>
      <c r="AA917" s="4" t="str">
        <f t="shared" si="19"/>
        <v/>
      </c>
      <c r="AB917" s="4" t="str">
        <f t="shared" si="20"/>
        <v/>
      </c>
      <c r="AC917" s="4">
        <v>0.26194581450245535</v>
      </c>
      <c r="AD917" s="4">
        <f t="shared" si="21"/>
        <v>-0.30373803499353996</v>
      </c>
      <c r="AE917" s="4" t="e">
        <f t="shared" si="22"/>
        <v>#VALUE!</v>
      </c>
      <c r="AF917" s="3" t="e">
        <f t="shared" si="23"/>
        <v>#VALUE!</v>
      </c>
      <c r="AG917" s="3"/>
      <c r="AH917" s="3"/>
      <c r="AI917" s="3"/>
      <c r="AJ917" s="3"/>
      <c r="AK917" s="3"/>
    </row>
    <row r="918" spans="1:37" ht="12.75" customHeight="1" x14ac:dyDescent="0.2">
      <c r="A918" s="14">
        <v>909</v>
      </c>
      <c r="B918" s="4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4"/>
      <c r="Y918" s="23"/>
      <c r="Z918" s="4" t="str">
        <f t="shared" si="18"/>
        <v/>
      </c>
      <c r="AA918" s="4" t="str">
        <f t="shared" si="19"/>
        <v/>
      </c>
      <c r="AB918" s="4" t="str">
        <f t="shared" si="20"/>
        <v/>
      </c>
      <c r="AC918" s="4">
        <v>0.26194581450245535</v>
      </c>
      <c r="AD918" s="4">
        <f t="shared" si="21"/>
        <v>-0.30373803499353996</v>
      </c>
      <c r="AE918" s="4" t="e">
        <f t="shared" si="22"/>
        <v>#VALUE!</v>
      </c>
      <c r="AF918" s="3" t="e">
        <f t="shared" si="23"/>
        <v>#VALUE!</v>
      </c>
      <c r="AG918" s="3"/>
      <c r="AH918" s="3"/>
      <c r="AI918" s="3"/>
      <c r="AJ918" s="3"/>
      <c r="AK918" s="3"/>
    </row>
    <row r="919" spans="1:37" ht="12.75" customHeight="1" x14ac:dyDescent="0.2">
      <c r="A919" s="14">
        <v>910</v>
      </c>
      <c r="B919" s="4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4"/>
      <c r="Y919" s="23"/>
      <c r="Z919" s="4" t="str">
        <f t="shared" si="18"/>
        <v/>
      </c>
      <c r="AA919" s="4" t="str">
        <f t="shared" si="19"/>
        <v/>
      </c>
      <c r="AB919" s="4" t="str">
        <f t="shared" si="20"/>
        <v/>
      </c>
      <c r="AC919" s="4">
        <v>0.26194581450245535</v>
      </c>
      <c r="AD919" s="4">
        <f t="shared" si="21"/>
        <v>-0.30373803499353996</v>
      </c>
      <c r="AE919" s="4" t="e">
        <f t="shared" si="22"/>
        <v>#VALUE!</v>
      </c>
      <c r="AF919" s="3" t="e">
        <f t="shared" si="23"/>
        <v>#VALUE!</v>
      </c>
      <c r="AG919" s="3"/>
      <c r="AH919" s="3"/>
      <c r="AI919" s="3"/>
      <c r="AJ919" s="3"/>
      <c r="AK919" s="3"/>
    </row>
    <row r="920" spans="1:37" ht="12.75" customHeight="1" x14ac:dyDescent="0.2">
      <c r="A920" s="14">
        <v>911</v>
      </c>
      <c r="B920" s="4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4"/>
      <c r="Y920" s="23"/>
      <c r="Z920" s="4" t="str">
        <f t="shared" si="18"/>
        <v/>
      </c>
      <c r="AA920" s="4" t="str">
        <f t="shared" si="19"/>
        <v/>
      </c>
      <c r="AB920" s="4" t="str">
        <f t="shared" si="20"/>
        <v/>
      </c>
      <c r="AC920" s="4">
        <v>0.26194581450245535</v>
      </c>
      <c r="AD920" s="4">
        <f t="shared" si="21"/>
        <v>-0.30373803499353996</v>
      </c>
      <c r="AE920" s="4" t="e">
        <f t="shared" si="22"/>
        <v>#VALUE!</v>
      </c>
      <c r="AF920" s="3" t="e">
        <f t="shared" si="23"/>
        <v>#VALUE!</v>
      </c>
      <c r="AG920" s="3"/>
      <c r="AH920" s="3"/>
      <c r="AI920" s="3"/>
      <c r="AJ920" s="3"/>
      <c r="AK920" s="3"/>
    </row>
    <row r="921" spans="1:37" ht="12.75" customHeight="1" x14ac:dyDescent="0.2">
      <c r="A921" s="14">
        <v>912</v>
      </c>
      <c r="B921" s="4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4"/>
      <c r="Y921" s="23"/>
      <c r="Z921" s="4" t="str">
        <f t="shared" si="18"/>
        <v/>
      </c>
      <c r="AA921" s="4" t="str">
        <f t="shared" si="19"/>
        <v/>
      </c>
      <c r="AB921" s="4" t="str">
        <f t="shared" si="20"/>
        <v/>
      </c>
      <c r="AC921" s="4">
        <v>0.26194581450245535</v>
      </c>
      <c r="AD921" s="4">
        <f t="shared" si="21"/>
        <v>-0.30373803499353996</v>
      </c>
      <c r="AE921" s="4" t="e">
        <f t="shared" si="22"/>
        <v>#VALUE!</v>
      </c>
      <c r="AF921" s="3" t="e">
        <f t="shared" si="23"/>
        <v>#VALUE!</v>
      </c>
      <c r="AG921" s="3"/>
      <c r="AH921" s="3"/>
      <c r="AI921" s="3"/>
      <c r="AJ921" s="3"/>
      <c r="AK921" s="3"/>
    </row>
    <row r="922" spans="1:37" ht="12.75" customHeight="1" x14ac:dyDescent="0.2">
      <c r="A922" s="14">
        <v>913</v>
      </c>
      <c r="B922" s="4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4"/>
      <c r="Y922" s="23"/>
      <c r="Z922" s="4" t="str">
        <f t="shared" si="18"/>
        <v/>
      </c>
      <c r="AA922" s="4" t="str">
        <f t="shared" si="19"/>
        <v/>
      </c>
      <c r="AB922" s="4" t="str">
        <f t="shared" si="20"/>
        <v/>
      </c>
      <c r="AC922" s="4">
        <v>0.26194581450245535</v>
      </c>
      <c r="AD922" s="4">
        <f t="shared" si="21"/>
        <v>-0.30373803499353996</v>
      </c>
      <c r="AE922" s="4" t="e">
        <f t="shared" si="22"/>
        <v>#VALUE!</v>
      </c>
      <c r="AF922" s="3" t="e">
        <f t="shared" si="23"/>
        <v>#VALUE!</v>
      </c>
      <c r="AG922" s="3"/>
      <c r="AH922" s="3"/>
      <c r="AI922" s="3"/>
      <c r="AJ922" s="3"/>
      <c r="AK922" s="3"/>
    </row>
    <row r="923" spans="1:37" ht="12.75" customHeight="1" x14ac:dyDescent="0.2">
      <c r="A923" s="14">
        <v>914</v>
      </c>
      <c r="B923" s="4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4"/>
      <c r="Y923" s="23"/>
      <c r="Z923" s="4" t="str">
        <f t="shared" si="18"/>
        <v/>
      </c>
      <c r="AA923" s="4" t="str">
        <f t="shared" si="19"/>
        <v/>
      </c>
      <c r="AB923" s="4" t="str">
        <f t="shared" si="20"/>
        <v/>
      </c>
      <c r="AC923" s="4">
        <v>0.26194581450245535</v>
      </c>
      <c r="AD923" s="4">
        <f t="shared" si="21"/>
        <v>-0.30373803499353996</v>
      </c>
      <c r="AE923" s="4" t="e">
        <f t="shared" si="22"/>
        <v>#VALUE!</v>
      </c>
      <c r="AF923" s="3" t="e">
        <f t="shared" si="23"/>
        <v>#VALUE!</v>
      </c>
      <c r="AG923" s="3"/>
      <c r="AH923" s="3"/>
      <c r="AI923" s="3"/>
      <c r="AJ923" s="3"/>
      <c r="AK923" s="3"/>
    </row>
    <row r="924" spans="1:37" ht="12.75" customHeight="1" x14ac:dyDescent="0.2">
      <c r="A924" s="14">
        <v>915</v>
      </c>
      <c r="B924" s="4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4"/>
      <c r="Y924" s="23"/>
      <c r="Z924" s="4" t="str">
        <f t="shared" si="18"/>
        <v/>
      </c>
      <c r="AA924" s="4" t="str">
        <f t="shared" si="19"/>
        <v/>
      </c>
      <c r="AB924" s="4" t="str">
        <f t="shared" si="20"/>
        <v/>
      </c>
      <c r="AC924" s="4">
        <v>0.26194581450245535</v>
      </c>
      <c r="AD924" s="4">
        <f t="shared" si="21"/>
        <v>-0.30373803499353996</v>
      </c>
      <c r="AE924" s="4" t="e">
        <f t="shared" si="22"/>
        <v>#VALUE!</v>
      </c>
      <c r="AF924" s="3" t="e">
        <f t="shared" si="23"/>
        <v>#VALUE!</v>
      </c>
      <c r="AG924" s="3"/>
      <c r="AH924" s="3"/>
      <c r="AI924" s="3"/>
      <c r="AJ924" s="3"/>
      <c r="AK924" s="3"/>
    </row>
    <row r="925" spans="1:37" ht="12.75" customHeight="1" x14ac:dyDescent="0.2">
      <c r="A925" s="14">
        <v>916</v>
      </c>
      <c r="B925" s="4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4"/>
      <c r="Y925" s="23"/>
      <c r="Z925" s="4" t="str">
        <f t="shared" si="18"/>
        <v/>
      </c>
      <c r="AA925" s="4" t="str">
        <f t="shared" si="19"/>
        <v/>
      </c>
      <c r="AB925" s="4" t="str">
        <f t="shared" si="20"/>
        <v/>
      </c>
      <c r="AC925" s="4">
        <v>0.26194581450245535</v>
      </c>
      <c r="AD925" s="4">
        <f t="shared" si="21"/>
        <v>-0.30373803499353996</v>
      </c>
      <c r="AE925" s="4" t="e">
        <f t="shared" si="22"/>
        <v>#VALUE!</v>
      </c>
      <c r="AF925" s="3" t="e">
        <f t="shared" si="23"/>
        <v>#VALUE!</v>
      </c>
      <c r="AG925" s="3"/>
      <c r="AH925" s="3"/>
      <c r="AI925" s="3"/>
      <c r="AJ925" s="3"/>
      <c r="AK925" s="3"/>
    </row>
    <row r="926" spans="1:37" ht="12.75" customHeight="1" x14ac:dyDescent="0.2">
      <c r="A926" s="14">
        <v>917</v>
      </c>
      <c r="B926" s="4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4"/>
      <c r="Y926" s="23"/>
      <c r="Z926" s="4" t="str">
        <f t="shared" si="18"/>
        <v/>
      </c>
      <c r="AA926" s="4" t="str">
        <f t="shared" si="19"/>
        <v/>
      </c>
      <c r="AB926" s="4" t="str">
        <f t="shared" si="20"/>
        <v/>
      </c>
      <c r="AC926" s="4">
        <v>0.26194581450245535</v>
      </c>
      <c r="AD926" s="4">
        <f t="shared" si="21"/>
        <v>-0.30373803499353996</v>
      </c>
      <c r="AE926" s="4" t="e">
        <f t="shared" si="22"/>
        <v>#VALUE!</v>
      </c>
      <c r="AF926" s="3" t="e">
        <f t="shared" si="23"/>
        <v>#VALUE!</v>
      </c>
      <c r="AG926" s="3"/>
      <c r="AH926" s="3"/>
      <c r="AI926" s="3"/>
      <c r="AJ926" s="3"/>
      <c r="AK926" s="3"/>
    </row>
    <row r="927" spans="1:37" ht="12.75" customHeight="1" x14ac:dyDescent="0.2">
      <c r="A927" s="14">
        <v>918</v>
      </c>
      <c r="B927" s="4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4"/>
      <c r="Y927" s="23"/>
      <c r="Z927" s="4" t="str">
        <f t="shared" si="18"/>
        <v/>
      </c>
      <c r="AA927" s="4" t="str">
        <f t="shared" si="19"/>
        <v/>
      </c>
      <c r="AB927" s="4" t="str">
        <f t="shared" si="20"/>
        <v/>
      </c>
      <c r="AC927" s="4">
        <v>0.26194581450245535</v>
      </c>
      <c r="AD927" s="4">
        <f t="shared" si="21"/>
        <v>-0.30373803499353996</v>
      </c>
      <c r="AE927" s="4" t="e">
        <f t="shared" si="22"/>
        <v>#VALUE!</v>
      </c>
      <c r="AF927" s="3" t="e">
        <f t="shared" si="23"/>
        <v>#VALUE!</v>
      </c>
      <c r="AG927" s="3"/>
      <c r="AH927" s="3"/>
      <c r="AI927" s="3"/>
      <c r="AJ927" s="3"/>
      <c r="AK927" s="3"/>
    </row>
    <row r="928" spans="1:37" ht="12.75" customHeight="1" x14ac:dyDescent="0.2">
      <c r="A928" s="14">
        <v>919</v>
      </c>
      <c r="B928" s="4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4"/>
      <c r="Y928" s="23"/>
      <c r="Z928" s="4" t="str">
        <f t="shared" si="18"/>
        <v/>
      </c>
      <c r="AA928" s="4" t="str">
        <f t="shared" si="19"/>
        <v/>
      </c>
      <c r="AB928" s="4" t="str">
        <f t="shared" si="20"/>
        <v/>
      </c>
      <c r="AC928" s="4">
        <v>0.26194581450245535</v>
      </c>
      <c r="AD928" s="4">
        <f t="shared" si="21"/>
        <v>-0.30373803499353996</v>
      </c>
      <c r="AE928" s="4" t="e">
        <f t="shared" si="22"/>
        <v>#VALUE!</v>
      </c>
      <c r="AF928" s="3" t="e">
        <f t="shared" si="23"/>
        <v>#VALUE!</v>
      </c>
      <c r="AG928" s="3"/>
      <c r="AH928" s="3"/>
      <c r="AI928" s="3"/>
      <c r="AJ928" s="3"/>
      <c r="AK928" s="3"/>
    </row>
    <row r="929" spans="1:37" ht="12.75" customHeight="1" x14ac:dyDescent="0.2">
      <c r="A929" s="14">
        <v>920</v>
      </c>
      <c r="B929" s="4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4"/>
      <c r="Y929" s="23"/>
      <c r="Z929" s="4" t="str">
        <f t="shared" si="18"/>
        <v/>
      </c>
      <c r="AA929" s="4" t="str">
        <f t="shared" si="19"/>
        <v/>
      </c>
      <c r="AB929" s="4" t="str">
        <f t="shared" si="20"/>
        <v/>
      </c>
      <c r="AC929" s="4">
        <v>0.26194581450245535</v>
      </c>
      <c r="AD929" s="4">
        <f t="shared" si="21"/>
        <v>-0.30373803499353996</v>
      </c>
      <c r="AE929" s="4" t="e">
        <f t="shared" si="22"/>
        <v>#VALUE!</v>
      </c>
      <c r="AF929" s="3" t="e">
        <f t="shared" si="23"/>
        <v>#VALUE!</v>
      </c>
      <c r="AG929" s="3"/>
      <c r="AH929" s="3"/>
      <c r="AI929" s="3"/>
      <c r="AJ929" s="3"/>
      <c r="AK929" s="3"/>
    </row>
    <row r="930" spans="1:37" ht="12.75" customHeight="1" x14ac:dyDescent="0.2">
      <c r="A930" s="14">
        <v>921</v>
      </c>
      <c r="B930" s="4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4"/>
      <c r="Y930" s="23"/>
      <c r="Z930" s="4" t="str">
        <f t="shared" si="18"/>
        <v/>
      </c>
      <c r="AA930" s="4" t="str">
        <f t="shared" si="19"/>
        <v/>
      </c>
      <c r="AB930" s="4" t="str">
        <f t="shared" si="20"/>
        <v/>
      </c>
      <c r="AC930" s="4">
        <v>0.26194581450245535</v>
      </c>
      <c r="AD930" s="4">
        <f t="shared" si="21"/>
        <v>-0.30373803499353996</v>
      </c>
      <c r="AE930" s="4" t="e">
        <f t="shared" si="22"/>
        <v>#VALUE!</v>
      </c>
      <c r="AF930" s="3" t="e">
        <f t="shared" si="23"/>
        <v>#VALUE!</v>
      </c>
      <c r="AG930" s="3"/>
      <c r="AH930" s="3"/>
      <c r="AI930" s="3"/>
      <c r="AJ930" s="3"/>
      <c r="AK930" s="3"/>
    </row>
    <row r="931" spans="1:37" ht="12.75" customHeight="1" x14ac:dyDescent="0.2">
      <c r="A931" s="14">
        <v>922</v>
      </c>
      <c r="B931" s="4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4"/>
      <c r="Y931" s="23"/>
      <c r="Z931" s="4" t="str">
        <f t="shared" si="18"/>
        <v/>
      </c>
      <c r="AA931" s="4" t="str">
        <f t="shared" si="19"/>
        <v/>
      </c>
      <c r="AB931" s="4" t="str">
        <f t="shared" si="20"/>
        <v/>
      </c>
      <c r="AC931" s="4">
        <v>0.26194581450245535</v>
      </c>
      <c r="AD931" s="4">
        <f t="shared" si="21"/>
        <v>-0.30373803499353996</v>
      </c>
      <c r="AE931" s="4" t="e">
        <f t="shared" si="22"/>
        <v>#VALUE!</v>
      </c>
      <c r="AF931" s="3" t="e">
        <f t="shared" si="23"/>
        <v>#VALUE!</v>
      </c>
      <c r="AG931" s="3"/>
      <c r="AH931" s="3"/>
      <c r="AI931" s="3"/>
      <c r="AJ931" s="3"/>
      <c r="AK931" s="3"/>
    </row>
    <row r="932" spans="1:37" ht="12.75" customHeight="1" x14ac:dyDescent="0.2">
      <c r="A932" s="14">
        <v>923</v>
      </c>
      <c r="B932" s="4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4"/>
      <c r="Y932" s="23"/>
      <c r="Z932" s="4" t="str">
        <f t="shared" si="18"/>
        <v/>
      </c>
      <c r="AA932" s="4" t="str">
        <f t="shared" si="19"/>
        <v/>
      </c>
      <c r="AB932" s="4" t="str">
        <f t="shared" si="20"/>
        <v/>
      </c>
      <c r="AC932" s="4">
        <v>0.26194581450245535</v>
      </c>
      <c r="AD932" s="4">
        <f t="shared" si="21"/>
        <v>-0.30373803499353996</v>
      </c>
      <c r="AE932" s="4" t="e">
        <f t="shared" si="22"/>
        <v>#VALUE!</v>
      </c>
      <c r="AF932" s="3" t="e">
        <f t="shared" si="23"/>
        <v>#VALUE!</v>
      </c>
      <c r="AG932" s="3"/>
      <c r="AH932" s="3"/>
      <c r="AI932" s="3"/>
      <c r="AJ932" s="3"/>
      <c r="AK932" s="3"/>
    </row>
    <row r="933" spans="1:37" ht="12.75" customHeight="1" x14ac:dyDescent="0.2">
      <c r="A933" s="14">
        <v>924</v>
      </c>
      <c r="B933" s="4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4"/>
      <c r="Y933" s="23"/>
      <c r="Z933" s="4" t="str">
        <f t="shared" si="18"/>
        <v/>
      </c>
      <c r="AA933" s="4" t="str">
        <f t="shared" si="19"/>
        <v/>
      </c>
      <c r="AB933" s="4" t="str">
        <f t="shared" si="20"/>
        <v/>
      </c>
      <c r="AC933" s="4">
        <v>0.26194581450245535</v>
      </c>
      <c r="AD933" s="4">
        <f t="shared" si="21"/>
        <v>-0.30373803499353996</v>
      </c>
      <c r="AE933" s="4" t="e">
        <f t="shared" si="22"/>
        <v>#VALUE!</v>
      </c>
      <c r="AF933" s="3" t="e">
        <f t="shared" si="23"/>
        <v>#VALUE!</v>
      </c>
      <c r="AG933" s="3"/>
      <c r="AH933" s="3"/>
      <c r="AI933" s="3"/>
      <c r="AJ933" s="3"/>
      <c r="AK933" s="3"/>
    </row>
    <row r="934" spans="1:37" ht="12.75" customHeight="1" x14ac:dyDescent="0.2">
      <c r="A934" s="14">
        <v>925</v>
      </c>
      <c r="B934" s="4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4"/>
      <c r="Y934" s="23"/>
      <c r="Z934" s="4" t="str">
        <f t="shared" si="18"/>
        <v/>
      </c>
      <c r="AA934" s="4" t="str">
        <f t="shared" si="19"/>
        <v/>
      </c>
      <c r="AB934" s="4" t="str">
        <f t="shared" si="20"/>
        <v/>
      </c>
      <c r="AC934" s="4">
        <v>0.26194581450245535</v>
      </c>
      <c r="AD934" s="4">
        <f t="shared" si="21"/>
        <v>-0.30373803499353996</v>
      </c>
      <c r="AE934" s="4" t="e">
        <f t="shared" si="22"/>
        <v>#VALUE!</v>
      </c>
      <c r="AF934" s="3" t="e">
        <f t="shared" si="23"/>
        <v>#VALUE!</v>
      </c>
      <c r="AG934" s="3"/>
      <c r="AH934" s="3"/>
      <c r="AI934" s="3"/>
      <c r="AJ934" s="3"/>
      <c r="AK934" s="3"/>
    </row>
    <row r="935" spans="1:37" ht="12.75" customHeight="1" x14ac:dyDescent="0.2">
      <c r="A935" s="14">
        <v>926</v>
      </c>
      <c r="B935" s="4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4"/>
      <c r="Y935" s="23"/>
      <c r="Z935" s="4" t="str">
        <f t="shared" si="18"/>
        <v/>
      </c>
      <c r="AA935" s="4" t="str">
        <f t="shared" si="19"/>
        <v/>
      </c>
      <c r="AB935" s="4" t="str">
        <f t="shared" si="20"/>
        <v/>
      </c>
      <c r="AC935" s="4">
        <v>0.26194581450245535</v>
      </c>
      <c r="AD935" s="4">
        <f t="shared" si="21"/>
        <v>-0.30373803499353996</v>
      </c>
      <c r="AE935" s="4" t="e">
        <f t="shared" si="22"/>
        <v>#VALUE!</v>
      </c>
      <c r="AF935" s="3" t="e">
        <f t="shared" si="23"/>
        <v>#VALUE!</v>
      </c>
      <c r="AG935" s="3"/>
      <c r="AH935" s="3"/>
      <c r="AI935" s="3"/>
      <c r="AJ935" s="3"/>
      <c r="AK935" s="3"/>
    </row>
    <row r="936" spans="1:37" ht="12.75" customHeight="1" x14ac:dyDescent="0.2">
      <c r="A936" s="14">
        <v>927</v>
      </c>
      <c r="B936" s="4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4"/>
      <c r="Y936" s="23"/>
      <c r="Z936" s="4" t="str">
        <f t="shared" si="18"/>
        <v/>
      </c>
      <c r="AA936" s="4" t="str">
        <f t="shared" si="19"/>
        <v/>
      </c>
      <c r="AB936" s="4" t="str">
        <f t="shared" si="20"/>
        <v/>
      </c>
      <c r="AC936" s="4">
        <v>0.26194581450245535</v>
      </c>
      <c r="AD936" s="4">
        <f t="shared" si="21"/>
        <v>-0.30373803499353996</v>
      </c>
      <c r="AE936" s="4" t="e">
        <f t="shared" si="22"/>
        <v>#VALUE!</v>
      </c>
      <c r="AF936" s="3" t="e">
        <f t="shared" si="23"/>
        <v>#VALUE!</v>
      </c>
      <c r="AG936" s="3"/>
      <c r="AH936" s="3"/>
      <c r="AI936" s="3"/>
      <c r="AJ936" s="3"/>
      <c r="AK936" s="3"/>
    </row>
    <row r="937" spans="1:37" ht="12.75" customHeight="1" x14ac:dyDescent="0.2">
      <c r="A937" s="14">
        <v>928</v>
      </c>
      <c r="B937" s="4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4"/>
      <c r="Y937" s="23"/>
      <c r="Z937" s="4" t="str">
        <f t="shared" si="18"/>
        <v/>
      </c>
      <c r="AA937" s="4" t="str">
        <f t="shared" si="19"/>
        <v/>
      </c>
      <c r="AB937" s="4" t="str">
        <f t="shared" si="20"/>
        <v/>
      </c>
      <c r="AC937" s="4">
        <v>0.26194581450245535</v>
      </c>
      <c r="AD937" s="4">
        <f t="shared" si="21"/>
        <v>-0.30373803499353996</v>
      </c>
      <c r="AE937" s="4" t="e">
        <f t="shared" si="22"/>
        <v>#VALUE!</v>
      </c>
      <c r="AF937" s="3" t="e">
        <f t="shared" si="23"/>
        <v>#VALUE!</v>
      </c>
      <c r="AG937" s="3"/>
      <c r="AH937" s="3"/>
      <c r="AI937" s="3"/>
      <c r="AJ937" s="3"/>
      <c r="AK937" s="3"/>
    </row>
    <row r="938" spans="1:37" ht="12.75" customHeight="1" x14ac:dyDescent="0.2">
      <c r="A938" s="14">
        <v>929</v>
      </c>
      <c r="B938" s="4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4"/>
      <c r="Y938" s="23"/>
      <c r="Z938" s="4" t="str">
        <f t="shared" si="18"/>
        <v/>
      </c>
      <c r="AA938" s="4" t="str">
        <f t="shared" si="19"/>
        <v/>
      </c>
      <c r="AB938" s="4" t="str">
        <f t="shared" si="20"/>
        <v/>
      </c>
      <c r="AC938" s="4">
        <v>0.26194581450245535</v>
      </c>
      <c r="AD938" s="4">
        <f t="shared" si="21"/>
        <v>-0.30373803499353996</v>
      </c>
      <c r="AE938" s="4" t="e">
        <f t="shared" si="22"/>
        <v>#VALUE!</v>
      </c>
      <c r="AF938" s="3" t="e">
        <f t="shared" si="23"/>
        <v>#VALUE!</v>
      </c>
      <c r="AG938" s="3"/>
      <c r="AH938" s="3"/>
      <c r="AI938" s="3"/>
      <c r="AJ938" s="3"/>
      <c r="AK938" s="3"/>
    </row>
    <row r="939" spans="1:37" ht="12.75" customHeight="1" x14ac:dyDescent="0.2">
      <c r="A939" s="14">
        <v>930</v>
      </c>
      <c r="B939" s="4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4"/>
      <c r="Y939" s="23"/>
      <c r="Z939" s="4" t="str">
        <f t="shared" si="18"/>
        <v/>
      </c>
      <c r="AA939" s="4" t="str">
        <f t="shared" si="19"/>
        <v/>
      </c>
      <c r="AB939" s="4" t="str">
        <f t="shared" si="20"/>
        <v/>
      </c>
      <c r="AC939" s="4">
        <v>0.26194581450245535</v>
      </c>
      <c r="AD939" s="4">
        <f t="shared" si="21"/>
        <v>-0.30373803499353996</v>
      </c>
      <c r="AE939" s="4" t="e">
        <f t="shared" si="22"/>
        <v>#VALUE!</v>
      </c>
      <c r="AF939" s="3" t="e">
        <f t="shared" si="23"/>
        <v>#VALUE!</v>
      </c>
      <c r="AG939" s="3"/>
      <c r="AH939" s="3"/>
      <c r="AI939" s="3"/>
      <c r="AJ939" s="3"/>
      <c r="AK939" s="3"/>
    </row>
    <row r="940" spans="1:37" ht="12.75" customHeight="1" x14ac:dyDescent="0.2">
      <c r="A940" s="14">
        <v>931</v>
      </c>
      <c r="B940" s="4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4"/>
      <c r="Y940" s="23"/>
      <c r="Z940" s="4" t="str">
        <f t="shared" si="18"/>
        <v/>
      </c>
      <c r="AA940" s="4" t="str">
        <f t="shared" si="19"/>
        <v/>
      </c>
      <c r="AB940" s="4" t="str">
        <f t="shared" si="20"/>
        <v/>
      </c>
      <c r="AC940" s="4">
        <v>0.26194581450245535</v>
      </c>
      <c r="AD940" s="4">
        <f t="shared" si="21"/>
        <v>-0.30373803499353996</v>
      </c>
      <c r="AE940" s="4" t="e">
        <f t="shared" si="22"/>
        <v>#VALUE!</v>
      </c>
      <c r="AF940" s="3" t="e">
        <f t="shared" si="23"/>
        <v>#VALUE!</v>
      </c>
      <c r="AG940" s="3"/>
      <c r="AH940" s="3"/>
      <c r="AI940" s="3"/>
      <c r="AJ940" s="3"/>
      <c r="AK940" s="3"/>
    </row>
    <row r="941" spans="1:37" ht="12.75" customHeight="1" x14ac:dyDescent="0.2">
      <c r="A941" s="14">
        <v>932</v>
      </c>
      <c r="B941" s="4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4"/>
      <c r="Y941" s="23"/>
      <c r="Z941" s="4" t="str">
        <f t="shared" si="18"/>
        <v/>
      </c>
      <c r="AA941" s="4" t="str">
        <f t="shared" si="19"/>
        <v/>
      </c>
      <c r="AB941" s="4" t="str">
        <f t="shared" si="20"/>
        <v/>
      </c>
      <c r="AC941" s="4">
        <v>0.26194581450245535</v>
      </c>
      <c r="AD941" s="4">
        <f t="shared" si="21"/>
        <v>-0.30373803499353996</v>
      </c>
      <c r="AE941" s="4" t="e">
        <f t="shared" si="22"/>
        <v>#VALUE!</v>
      </c>
      <c r="AF941" s="3" t="e">
        <f t="shared" si="23"/>
        <v>#VALUE!</v>
      </c>
      <c r="AG941" s="3"/>
      <c r="AH941" s="3"/>
      <c r="AI941" s="3"/>
      <c r="AJ941" s="3"/>
      <c r="AK941" s="3"/>
    </row>
    <row r="942" spans="1:37" ht="12.75" customHeight="1" x14ac:dyDescent="0.2">
      <c r="A942" s="14">
        <v>933</v>
      </c>
      <c r="B942" s="4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4"/>
      <c r="Y942" s="23"/>
      <c r="Z942" s="4" t="str">
        <f t="shared" si="18"/>
        <v/>
      </c>
      <c r="AA942" s="4" t="str">
        <f t="shared" si="19"/>
        <v/>
      </c>
      <c r="AB942" s="4" t="str">
        <f t="shared" si="20"/>
        <v/>
      </c>
      <c r="AC942" s="4">
        <v>0.26194581450245535</v>
      </c>
      <c r="AD942" s="4">
        <f t="shared" si="21"/>
        <v>-0.30373803499353996</v>
      </c>
      <c r="AE942" s="4" t="e">
        <f t="shared" si="22"/>
        <v>#VALUE!</v>
      </c>
      <c r="AF942" s="3" t="e">
        <f t="shared" si="23"/>
        <v>#VALUE!</v>
      </c>
      <c r="AG942" s="3"/>
      <c r="AH942" s="3"/>
      <c r="AI942" s="3"/>
      <c r="AJ942" s="3"/>
      <c r="AK942" s="3"/>
    </row>
    <row r="943" spans="1:37" ht="12.75" customHeight="1" x14ac:dyDescent="0.2">
      <c r="A943" s="14">
        <v>934</v>
      </c>
      <c r="B943" s="4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4"/>
      <c r="Y943" s="23"/>
      <c r="Z943" s="4" t="str">
        <f t="shared" si="18"/>
        <v/>
      </c>
      <c r="AA943" s="4" t="str">
        <f t="shared" si="19"/>
        <v/>
      </c>
      <c r="AB943" s="4" t="str">
        <f t="shared" si="20"/>
        <v/>
      </c>
      <c r="AC943" s="4">
        <v>0.26194581450245535</v>
      </c>
      <c r="AD943" s="4">
        <f t="shared" si="21"/>
        <v>-0.30373803499353996</v>
      </c>
      <c r="AE943" s="4" t="e">
        <f t="shared" si="22"/>
        <v>#VALUE!</v>
      </c>
      <c r="AF943" s="3" t="e">
        <f t="shared" si="23"/>
        <v>#VALUE!</v>
      </c>
      <c r="AG943" s="3"/>
      <c r="AH943" s="3"/>
      <c r="AI943" s="3"/>
      <c r="AJ943" s="3"/>
      <c r="AK943" s="3"/>
    </row>
    <row r="944" spans="1:37" ht="12.75" customHeight="1" x14ac:dyDescent="0.2">
      <c r="A944" s="14">
        <v>935</v>
      </c>
      <c r="B944" s="4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4"/>
      <c r="Y944" s="23"/>
      <c r="Z944" s="4" t="str">
        <f t="shared" si="18"/>
        <v/>
      </c>
      <c r="AA944" s="4" t="str">
        <f t="shared" si="19"/>
        <v/>
      </c>
      <c r="AB944" s="4" t="str">
        <f t="shared" si="20"/>
        <v/>
      </c>
      <c r="AC944" s="4">
        <v>0.26194581450245535</v>
      </c>
      <c r="AD944" s="4">
        <f t="shared" si="21"/>
        <v>-0.30373803499353996</v>
      </c>
      <c r="AE944" s="4" t="e">
        <f t="shared" si="22"/>
        <v>#VALUE!</v>
      </c>
      <c r="AF944" s="3" t="e">
        <f t="shared" si="23"/>
        <v>#VALUE!</v>
      </c>
      <c r="AG944" s="3"/>
      <c r="AH944" s="3"/>
      <c r="AI944" s="3"/>
      <c r="AJ944" s="3"/>
      <c r="AK944" s="3"/>
    </row>
    <row r="945" spans="1:37" ht="12.75" customHeight="1" x14ac:dyDescent="0.2">
      <c r="A945" s="14">
        <v>936</v>
      </c>
      <c r="B945" s="4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4"/>
      <c r="Y945" s="23"/>
      <c r="Z945" s="4" t="str">
        <f t="shared" si="18"/>
        <v/>
      </c>
      <c r="AA945" s="4" t="str">
        <f t="shared" si="19"/>
        <v/>
      </c>
      <c r="AB945" s="4" t="str">
        <f t="shared" si="20"/>
        <v/>
      </c>
      <c r="AC945" s="4">
        <v>0.26194581450245535</v>
      </c>
      <c r="AD945" s="4">
        <f t="shared" si="21"/>
        <v>-0.30373803499353996</v>
      </c>
      <c r="AE945" s="4" t="e">
        <f t="shared" si="22"/>
        <v>#VALUE!</v>
      </c>
      <c r="AF945" s="3" t="e">
        <f t="shared" si="23"/>
        <v>#VALUE!</v>
      </c>
      <c r="AG945" s="3"/>
      <c r="AH945" s="3"/>
      <c r="AI945" s="3"/>
      <c r="AJ945" s="3"/>
      <c r="AK945" s="3"/>
    </row>
    <row r="946" spans="1:37" ht="12.75" customHeight="1" x14ac:dyDescent="0.2">
      <c r="A946" s="14">
        <v>937</v>
      </c>
      <c r="B946" s="4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4"/>
      <c r="Y946" s="23"/>
      <c r="Z946" s="4" t="str">
        <f t="shared" si="18"/>
        <v/>
      </c>
      <c r="AA946" s="4" t="str">
        <f t="shared" si="19"/>
        <v/>
      </c>
      <c r="AB946" s="4" t="str">
        <f t="shared" si="20"/>
        <v/>
      </c>
      <c r="AC946" s="4">
        <v>0.26194581450245535</v>
      </c>
      <c r="AD946" s="4">
        <f t="shared" si="21"/>
        <v>-0.30373803499353996</v>
      </c>
      <c r="AE946" s="4" t="e">
        <f t="shared" si="22"/>
        <v>#VALUE!</v>
      </c>
      <c r="AF946" s="3" t="e">
        <f t="shared" si="23"/>
        <v>#VALUE!</v>
      </c>
      <c r="AG946" s="3"/>
      <c r="AH946" s="3"/>
      <c r="AI946" s="3"/>
      <c r="AJ946" s="3"/>
      <c r="AK946" s="3"/>
    </row>
    <row r="947" spans="1:37" ht="12.75" customHeight="1" x14ac:dyDescent="0.2">
      <c r="A947" s="14">
        <v>938</v>
      </c>
      <c r="B947" s="4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4"/>
      <c r="Y947" s="23"/>
      <c r="Z947" s="4" t="str">
        <f t="shared" si="18"/>
        <v/>
      </c>
      <c r="AA947" s="4" t="str">
        <f t="shared" si="19"/>
        <v/>
      </c>
      <c r="AB947" s="4" t="str">
        <f t="shared" si="20"/>
        <v/>
      </c>
      <c r="AC947" s="4">
        <v>0.26194581450245535</v>
      </c>
      <c r="AD947" s="4">
        <f t="shared" si="21"/>
        <v>-0.30373803499353996</v>
      </c>
      <c r="AE947" s="4" t="e">
        <f t="shared" si="22"/>
        <v>#VALUE!</v>
      </c>
      <c r="AF947" s="3" t="e">
        <f t="shared" si="23"/>
        <v>#VALUE!</v>
      </c>
      <c r="AG947" s="3"/>
      <c r="AH947" s="3"/>
      <c r="AI947" s="3"/>
      <c r="AJ947" s="3"/>
      <c r="AK947" s="3"/>
    </row>
    <row r="948" spans="1:37" ht="12.75" customHeight="1" x14ac:dyDescent="0.2">
      <c r="A948" s="14">
        <v>939</v>
      </c>
      <c r="B948" s="4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4"/>
      <c r="Y948" s="23"/>
      <c r="Z948" s="4" t="str">
        <f t="shared" si="18"/>
        <v/>
      </c>
      <c r="AA948" s="4" t="str">
        <f t="shared" si="19"/>
        <v/>
      </c>
      <c r="AB948" s="4" t="str">
        <f t="shared" si="20"/>
        <v/>
      </c>
      <c r="AC948" s="4">
        <v>0.26194581450245535</v>
      </c>
      <c r="AD948" s="4">
        <f t="shared" si="21"/>
        <v>-0.30373803499353996</v>
      </c>
      <c r="AE948" s="4" t="e">
        <f t="shared" si="22"/>
        <v>#VALUE!</v>
      </c>
      <c r="AF948" s="3" t="e">
        <f t="shared" si="23"/>
        <v>#VALUE!</v>
      </c>
      <c r="AG948" s="3"/>
      <c r="AH948" s="3"/>
      <c r="AI948" s="3"/>
      <c r="AJ948" s="3"/>
      <c r="AK948" s="3"/>
    </row>
    <row r="949" spans="1:37" ht="12.75" customHeight="1" x14ac:dyDescent="0.2">
      <c r="A949" s="14">
        <v>940</v>
      </c>
      <c r="B949" s="4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4"/>
      <c r="Y949" s="23"/>
      <c r="Z949" s="4" t="str">
        <f t="shared" si="18"/>
        <v/>
      </c>
      <c r="AA949" s="4" t="str">
        <f t="shared" si="19"/>
        <v/>
      </c>
      <c r="AB949" s="4" t="str">
        <f t="shared" si="20"/>
        <v/>
      </c>
      <c r="AC949" s="4">
        <v>0.26194581450245535</v>
      </c>
      <c r="AD949" s="4">
        <f t="shared" si="21"/>
        <v>-0.30373803499353996</v>
      </c>
      <c r="AE949" s="4" t="e">
        <f t="shared" si="22"/>
        <v>#VALUE!</v>
      </c>
      <c r="AF949" s="3" t="e">
        <f t="shared" si="23"/>
        <v>#VALUE!</v>
      </c>
      <c r="AG949" s="3"/>
      <c r="AH949" s="3"/>
      <c r="AI949" s="3"/>
      <c r="AJ949" s="3"/>
      <c r="AK949" s="3"/>
    </row>
    <row r="950" spans="1:37" ht="12.75" customHeight="1" x14ac:dyDescent="0.2">
      <c r="A950" s="14">
        <v>941</v>
      </c>
      <c r="B950" s="4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4"/>
      <c r="Y950" s="23"/>
      <c r="Z950" s="4" t="str">
        <f t="shared" si="18"/>
        <v/>
      </c>
      <c r="AA950" s="4" t="str">
        <f t="shared" si="19"/>
        <v/>
      </c>
      <c r="AB950" s="4" t="str">
        <f t="shared" si="20"/>
        <v/>
      </c>
      <c r="AC950" s="4">
        <v>0.26194581450245535</v>
      </c>
      <c r="AD950" s="4">
        <f t="shared" si="21"/>
        <v>-0.30373803499353996</v>
      </c>
      <c r="AE950" s="4" t="e">
        <f t="shared" si="22"/>
        <v>#VALUE!</v>
      </c>
      <c r="AF950" s="3" t="e">
        <f t="shared" si="23"/>
        <v>#VALUE!</v>
      </c>
      <c r="AG950" s="3"/>
      <c r="AH950" s="3"/>
      <c r="AI950" s="3"/>
      <c r="AJ950" s="3"/>
      <c r="AK950" s="3"/>
    </row>
    <row r="951" spans="1:37" ht="12.75" customHeight="1" x14ac:dyDescent="0.2">
      <c r="A951" s="14">
        <v>942</v>
      </c>
      <c r="B951" s="4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4"/>
      <c r="Y951" s="23"/>
      <c r="Z951" s="4" t="str">
        <f t="shared" si="18"/>
        <v/>
      </c>
      <c r="AA951" s="4" t="str">
        <f t="shared" si="19"/>
        <v/>
      </c>
      <c r="AB951" s="4" t="str">
        <f t="shared" si="20"/>
        <v/>
      </c>
      <c r="AC951" s="4">
        <v>0.26194581450245535</v>
      </c>
      <c r="AD951" s="4">
        <f t="shared" si="21"/>
        <v>-0.30373803499353996</v>
      </c>
      <c r="AE951" s="4" t="e">
        <f t="shared" si="22"/>
        <v>#VALUE!</v>
      </c>
      <c r="AF951" s="3" t="e">
        <f t="shared" si="23"/>
        <v>#VALUE!</v>
      </c>
      <c r="AG951" s="3"/>
      <c r="AH951" s="3"/>
      <c r="AI951" s="3"/>
      <c r="AJ951" s="3"/>
      <c r="AK951" s="3"/>
    </row>
    <row r="952" spans="1:37" ht="12.75" customHeight="1" x14ac:dyDescent="0.2">
      <c r="A952" s="14">
        <v>943</v>
      </c>
      <c r="B952" s="4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4"/>
      <c r="Y952" s="23"/>
      <c r="Z952" s="4" t="str">
        <f t="shared" si="18"/>
        <v/>
      </c>
      <c r="AA952" s="4" t="str">
        <f t="shared" si="19"/>
        <v/>
      </c>
      <c r="AB952" s="4" t="str">
        <f t="shared" si="20"/>
        <v/>
      </c>
      <c r="AC952" s="4">
        <v>0.26194581450245535</v>
      </c>
      <c r="AD952" s="4">
        <f t="shared" si="21"/>
        <v>-0.30373803499353996</v>
      </c>
      <c r="AE952" s="4" t="e">
        <f t="shared" si="22"/>
        <v>#VALUE!</v>
      </c>
      <c r="AF952" s="3" t="e">
        <f t="shared" si="23"/>
        <v>#VALUE!</v>
      </c>
      <c r="AG952" s="3"/>
      <c r="AH952" s="3"/>
      <c r="AI952" s="3"/>
      <c r="AJ952" s="3"/>
      <c r="AK952" s="3"/>
    </row>
    <row r="953" spans="1:37" ht="12.75" customHeight="1" x14ac:dyDescent="0.2">
      <c r="A953" s="14">
        <v>944</v>
      </c>
      <c r="B953" s="4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4"/>
      <c r="Y953" s="23"/>
      <c r="Z953" s="4" t="str">
        <f t="shared" si="18"/>
        <v/>
      </c>
      <c r="AA953" s="4" t="str">
        <f t="shared" si="19"/>
        <v/>
      </c>
      <c r="AB953" s="4" t="str">
        <f t="shared" si="20"/>
        <v/>
      </c>
      <c r="AC953" s="4">
        <v>0.26194581450245535</v>
      </c>
      <c r="AD953" s="4">
        <f t="shared" si="21"/>
        <v>-0.30373803499353996</v>
      </c>
      <c r="AE953" s="4" t="e">
        <f t="shared" si="22"/>
        <v>#VALUE!</v>
      </c>
      <c r="AF953" s="3" t="e">
        <f t="shared" si="23"/>
        <v>#VALUE!</v>
      </c>
      <c r="AG953" s="3"/>
      <c r="AH953" s="3"/>
      <c r="AI953" s="3"/>
      <c r="AJ953" s="3"/>
      <c r="AK953" s="3"/>
    </row>
    <row r="954" spans="1:37" ht="12.75" customHeight="1" x14ac:dyDescent="0.2">
      <c r="A954" s="14">
        <v>945</v>
      </c>
      <c r="B954" s="4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4"/>
      <c r="Y954" s="23"/>
      <c r="Z954" s="4" t="str">
        <f t="shared" si="18"/>
        <v/>
      </c>
      <c r="AA954" s="4" t="str">
        <f t="shared" si="19"/>
        <v/>
      </c>
      <c r="AB954" s="4" t="str">
        <f t="shared" si="20"/>
        <v/>
      </c>
      <c r="AC954" s="4">
        <v>0.26194581450245535</v>
      </c>
      <c r="AD954" s="4">
        <f t="shared" si="21"/>
        <v>-0.30373803499353996</v>
      </c>
      <c r="AE954" s="4" t="e">
        <f t="shared" si="22"/>
        <v>#VALUE!</v>
      </c>
      <c r="AF954" s="3" t="e">
        <f t="shared" si="23"/>
        <v>#VALUE!</v>
      </c>
      <c r="AG954" s="3"/>
      <c r="AH954" s="3"/>
      <c r="AI954" s="3"/>
      <c r="AJ954" s="3"/>
      <c r="AK954" s="3"/>
    </row>
    <row r="955" spans="1:37" ht="12.75" customHeight="1" x14ac:dyDescent="0.2">
      <c r="A955" s="14">
        <v>946</v>
      </c>
      <c r="B955" s="4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4"/>
      <c r="Y955" s="23"/>
      <c r="Z955" s="4" t="str">
        <f t="shared" si="18"/>
        <v/>
      </c>
      <c r="AA955" s="4" t="str">
        <f t="shared" si="19"/>
        <v/>
      </c>
      <c r="AB955" s="4" t="str">
        <f t="shared" si="20"/>
        <v/>
      </c>
      <c r="AC955" s="4">
        <v>0.26194581450245535</v>
      </c>
      <c r="AD955" s="4">
        <f t="shared" si="21"/>
        <v>-0.30373803499353996</v>
      </c>
      <c r="AE955" s="4" t="e">
        <f t="shared" si="22"/>
        <v>#VALUE!</v>
      </c>
      <c r="AF955" s="3" t="e">
        <f t="shared" si="23"/>
        <v>#VALUE!</v>
      </c>
      <c r="AG955" s="3"/>
      <c r="AH955" s="3"/>
      <c r="AI955" s="3"/>
      <c r="AJ955" s="3"/>
      <c r="AK955" s="3"/>
    </row>
    <row r="956" spans="1:37" ht="12.75" customHeight="1" x14ac:dyDescent="0.2">
      <c r="A956" s="14">
        <v>947</v>
      </c>
      <c r="B956" s="4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4"/>
      <c r="Y956" s="23"/>
      <c r="Z956" s="4" t="str">
        <f t="shared" si="18"/>
        <v/>
      </c>
      <c r="AA956" s="4" t="str">
        <f t="shared" si="19"/>
        <v/>
      </c>
      <c r="AB956" s="4" t="str">
        <f t="shared" si="20"/>
        <v/>
      </c>
      <c r="AC956" s="4">
        <v>0.26194581450245535</v>
      </c>
      <c r="AD956" s="4">
        <f t="shared" si="21"/>
        <v>-0.30373803499353996</v>
      </c>
      <c r="AE956" s="4" t="e">
        <f t="shared" si="22"/>
        <v>#VALUE!</v>
      </c>
      <c r="AF956" s="3" t="e">
        <f t="shared" si="23"/>
        <v>#VALUE!</v>
      </c>
      <c r="AG956" s="3"/>
      <c r="AH956" s="3"/>
      <c r="AI956" s="3"/>
      <c r="AJ956" s="3"/>
      <c r="AK956" s="3"/>
    </row>
    <row r="957" spans="1:37" ht="12.75" customHeight="1" x14ac:dyDescent="0.2">
      <c r="A957" s="14">
        <v>948</v>
      </c>
      <c r="B957" s="4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4"/>
      <c r="Y957" s="23"/>
      <c r="Z957" s="4" t="str">
        <f t="shared" si="18"/>
        <v/>
      </c>
      <c r="AA957" s="4" t="str">
        <f t="shared" si="19"/>
        <v/>
      </c>
      <c r="AB957" s="4" t="str">
        <f t="shared" si="20"/>
        <v/>
      </c>
      <c r="AC957" s="4">
        <v>0.26194581450245535</v>
      </c>
      <c r="AD957" s="4">
        <f t="shared" si="21"/>
        <v>-0.30373803499353996</v>
      </c>
      <c r="AE957" s="4" t="e">
        <f t="shared" si="22"/>
        <v>#VALUE!</v>
      </c>
      <c r="AF957" s="3" t="e">
        <f t="shared" si="23"/>
        <v>#VALUE!</v>
      </c>
      <c r="AG957" s="3"/>
      <c r="AH957" s="3"/>
      <c r="AI957" s="3"/>
      <c r="AJ957" s="3"/>
      <c r="AK957" s="3"/>
    </row>
    <row r="958" spans="1:37" ht="12.75" customHeight="1" x14ac:dyDescent="0.2">
      <c r="A958" s="14">
        <v>949</v>
      </c>
      <c r="B958" s="4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4"/>
      <c r="Y958" s="23"/>
      <c r="Z958" s="4" t="str">
        <f t="shared" si="18"/>
        <v/>
      </c>
      <c r="AA958" s="4" t="str">
        <f t="shared" si="19"/>
        <v/>
      </c>
      <c r="AB958" s="4" t="str">
        <f t="shared" si="20"/>
        <v/>
      </c>
      <c r="AC958" s="4">
        <v>0.26194581450245535</v>
      </c>
      <c r="AD958" s="4">
        <f t="shared" si="21"/>
        <v>-0.30373803499353996</v>
      </c>
      <c r="AE958" s="4" t="e">
        <f t="shared" si="22"/>
        <v>#VALUE!</v>
      </c>
      <c r="AF958" s="3" t="e">
        <f t="shared" si="23"/>
        <v>#VALUE!</v>
      </c>
      <c r="AG958" s="3"/>
      <c r="AH958" s="3"/>
      <c r="AI958" s="3"/>
      <c r="AJ958" s="3"/>
      <c r="AK958" s="3"/>
    </row>
    <row r="959" spans="1:37" ht="12.75" customHeight="1" x14ac:dyDescent="0.2">
      <c r="A959" s="14">
        <v>950</v>
      </c>
      <c r="B959" s="4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4"/>
      <c r="Y959" s="23"/>
      <c r="Z959" s="4" t="str">
        <f t="shared" si="18"/>
        <v/>
      </c>
      <c r="AA959" s="4" t="str">
        <f t="shared" si="19"/>
        <v/>
      </c>
      <c r="AB959" s="4" t="str">
        <f t="shared" si="20"/>
        <v/>
      </c>
      <c r="AC959" s="4">
        <v>0.26194581450245535</v>
      </c>
      <c r="AD959" s="4">
        <f t="shared" si="21"/>
        <v>-0.30373803499353996</v>
      </c>
      <c r="AE959" s="4" t="e">
        <f t="shared" si="22"/>
        <v>#VALUE!</v>
      </c>
      <c r="AF959" s="3" t="e">
        <f t="shared" si="23"/>
        <v>#VALUE!</v>
      </c>
      <c r="AG959" s="3"/>
      <c r="AH959" s="3"/>
      <c r="AI959" s="3"/>
      <c r="AJ959" s="3"/>
      <c r="AK959" s="3"/>
    </row>
    <row r="960" spans="1:37" ht="12.75" customHeight="1" x14ac:dyDescent="0.2">
      <c r="A960" s="14">
        <v>951</v>
      </c>
      <c r="B960" s="4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4"/>
      <c r="Y960" s="23"/>
      <c r="Z960" s="4" t="str">
        <f t="shared" si="18"/>
        <v/>
      </c>
      <c r="AA960" s="4" t="str">
        <f t="shared" si="19"/>
        <v/>
      </c>
      <c r="AB960" s="4" t="str">
        <f t="shared" si="20"/>
        <v/>
      </c>
      <c r="AC960" s="4">
        <v>0.26194581450245535</v>
      </c>
      <c r="AD960" s="4">
        <f t="shared" si="21"/>
        <v>-0.30373803499353996</v>
      </c>
      <c r="AE960" s="4" t="e">
        <f t="shared" si="22"/>
        <v>#VALUE!</v>
      </c>
      <c r="AF960" s="3" t="e">
        <f t="shared" si="23"/>
        <v>#VALUE!</v>
      </c>
      <c r="AG960" s="3"/>
      <c r="AH960" s="3"/>
      <c r="AI960" s="3"/>
      <c r="AJ960" s="3"/>
      <c r="AK960" s="3"/>
    </row>
    <row r="961" spans="1:37" ht="12.75" customHeight="1" x14ac:dyDescent="0.2">
      <c r="A961" s="14">
        <v>952</v>
      </c>
      <c r="B961" s="4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4"/>
      <c r="Y961" s="23"/>
      <c r="Z961" s="4" t="str">
        <f t="shared" si="18"/>
        <v/>
      </c>
      <c r="AA961" s="4" t="str">
        <f t="shared" si="19"/>
        <v/>
      </c>
      <c r="AB961" s="4" t="str">
        <f t="shared" si="20"/>
        <v/>
      </c>
      <c r="AC961" s="4">
        <v>0.26194581450245535</v>
      </c>
      <c r="AD961" s="4">
        <f t="shared" si="21"/>
        <v>-0.30373803499353996</v>
      </c>
      <c r="AE961" s="4" t="e">
        <f t="shared" si="22"/>
        <v>#VALUE!</v>
      </c>
      <c r="AF961" s="3" t="e">
        <f t="shared" si="23"/>
        <v>#VALUE!</v>
      </c>
      <c r="AG961" s="3"/>
      <c r="AH961" s="3"/>
      <c r="AI961" s="3"/>
      <c r="AJ961" s="3"/>
      <c r="AK961" s="3"/>
    </row>
    <row r="962" spans="1:37" ht="12.75" customHeight="1" x14ac:dyDescent="0.2">
      <c r="A962" s="14">
        <v>953</v>
      </c>
      <c r="B962" s="4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4"/>
      <c r="Y962" s="23"/>
      <c r="Z962" s="4" t="str">
        <f t="shared" si="18"/>
        <v/>
      </c>
      <c r="AA962" s="4" t="str">
        <f t="shared" si="19"/>
        <v/>
      </c>
      <c r="AB962" s="4" t="str">
        <f t="shared" si="20"/>
        <v/>
      </c>
      <c r="AC962" s="4">
        <v>0.26194581450245535</v>
      </c>
      <c r="AD962" s="4">
        <f t="shared" si="21"/>
        <v>-0.30373803499353996</v>
      </c>
      <c r="AE962" s="4" t="e">
        <f t="shared" si="22"/>
        <v>#VALUE!</v>
      </c>
      <c r="AF962" s="3" t="e">
        <f t="shared" si="23"/>
        <v>#VALUE!</v>
      </c>
      <c r="AG962" s="3"/>
      <c r="AH962" s="3"/>
      <c r="AI962" s="3"/>
      <c r="AJ962" s="3"/>
      <c r="AK962" s="3"/>
    </row>
    <row r="963" spans="1:37" ht="12.75" customHeight="1" x14ac:dyDescent="0.2">
      <c r="A963" s="14">
        <v>954</v>
      </c>
      <c r="B963" s="4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4"/>
      <c r="Y963" s="23"/>
      <c r="Z963" s="4" t="str">
        <f t="shared" si="18"/>
        <v/>
      </c>
      <c r="AA963" s="4" t="str">
        <f t="shared" si="19"/>
        <v/>
      </c>
      <c r="AB963" s="4" t="str">
        <f t="shared" si="20"/>
        <v/>
      </c>
      <c r="AC963" s="4">
        <v>0.26194581450245535</v>
      </c>
      <c r="AD963" s="4">
        <f t="shared" si="21"/>
        <v>-0.30373803499353996</v>
      </c>
      <c r="AE963" s="4" t="e">
        <f t="shared" si="22"/>
        <v>#VALUE!</v>
      </c>
      <c r="AF963" s="3" t="e">
        <f t="shared" si="23"/>
        <v>#VALUE!</v>
      </c>
      <c r="AG963" s="3"/>
      <c r="AH963" s="3"/>
      <c r="AI963" s="3"/>
      <c r="AJ963" s="3"/>
      <c r="AK963" s="3"/>
    </row>
    <row r="964" spans="1:37" ht="12.75" customHeight="1" x14ac:dyDescent="0.2">
      <c r="A964" s="14">
        <v>955</v>
      </c>
      <c r="B964" s="4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4"/>
      <c r="Y964" s="23"/>
      <c r="Z964" s="4" t="str">
        <f t="shared" si="18"/>
        <v/>
      </c>
      <c r="AA964" s="4" t="str">
        <f t="shared" si="19"/>
        <v/>
      </c>
      <c r="AB964" s="4" t="str">
        <f t="shared" si="20"/>
        <v/>
      </c>
      <c r="AC964" s="4">
        <v>0.26194581450245535</v>
      </c>
      <c r="AD964" s="4">
        <f t="shared" si="21"/>
        <v>-0.30373803499353996</v>
      </c>
      <c r="AE964" s="4" t="e">
        <f t="shared" si="22"/>
        <v>#VALUE!</v>
      </c>
      <c r="AF964" s="3" t="e">
        <f t="shared" si="23"/>
        <v>#VALUE!</v>
      </c>
      <c r="AG964" s="3"/>
      <c r="AH964" s="3"/>
      <c r="AI964" s="3"/>
      <c r="AJ964" s="3"/>
      <c r="AK964" s="3"/>
    </row>
    <row r="965" spans="1:37" ht="12.75" customHeight="1" x14ac:dyDescent="0.2">
      <c r="A965" s="14">
        <v>956</v>
      </c>
      <c r="B965" s="4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4"/>
      <c r="Y965" s="23"/>
      <c r="Z965" s="4" t="str">
        <f t="shared" si="18"/>
        <v/>
      </c>
      <c r="AA965" s="4" t="str">
        <f t="shared" si="19"/>
        <v/>
      </c>
      <c r="AB965" s="4" t="str">
        <f t="shared" si="20"/>
        <v/>
      </c>
      <c r="AC965" s="4">
        <v>0.25422887535978322</v>
      </c>
      <c r="AD965" s="4">
        <f t="shared" si="21"/>
        <v>-0.29333652928352227</v>
      </c>
      <c r="AE965" s="4" t="e">
        <f t="shared" si="22"/>
        <v>#VALUE!</v>
      </c>
      <c r="AF965" s="3" t="e">
        <f t="shared" si="23"/>
        <v>#VALUE!</v>
      </c>
      <c r="AG965" s="3"/>
      <c r="AH965" s="3"/>
      <c r="AI965" s="3"/>
      <c r="AJ965" s="3"/>
      <c r="AK965" s="3"/>
    </row>
    <row r="966" spans="1:37" ht="12.75" customHeight="1" x14ac:dyDescent="0.2">
      <c r="A966" s="14">
        <v>957</v>
      </c>
      <c r="B966" s="4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4"/>
      <c r="Y966" s="23"/>
      <c r="Z966" s="4" t="str">
        <f t="shared" si="18"/>
        <v/>
      </c>
      <c r="AA966" s="4" t="str">
        <f t="shared" si="19"/>
        <v/>
      </c>
      <c r="AB966" s="4" t="str">
        <f t="shared" si="20"/>
        <v/>
      </c>
      <c r="AC966" s="4">
        <v>0.25422887535978322</v>
      </c>
      <c r="AD966" s="4">
        <f t="shared" si="21"/>
        <v>-0.29333652928352227</v>
      </c>
      <c r="AE966" s="4" t="e">
        <f t="shared" si="22"/>
        <v>#VALUE!</v>
      </c>
      <c r="AF966" s="3" t="e">
        <f t="shared" si="23"/>
        <v>#VALUE!</v>
      </c>
      <c r="AG966" s="3"/>
      <c r="AH966" s="3"/>
      <c r="AI966" s="3"/>
      <c r="AJ966" s="3"/>
      <c r="AK966" s="3"/>
    </row>
    <row r="967" spans="1:37" ht="12.75" customHeight="1" x14ac:dyDescent="0.2">
      <c r="A967" s="14">
        <v>958</v>
      </c>
      <c r="B967" s="4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4"/>
      <c r="Y967" s="23"/>
      <c r="Z967" s="4" t="str">
        <f t="shared" si="18"/>
        <v/>
      </c>
      <c r="AA967" s="4" t="str">
        <f t="shared" si="19"/>
        <v/>
      </c>
      <c r="AB967" s="4" t="str">
        <f t="shared" si="20"/>
        <v/>
      </c>
      <c r="AC967" s="4">
        <v>0.25422887535978322</v>
      </c>
      <c r="AD967" s="4">
        <f t="shared" si="21"/>
        <v>-0.29333652928352227</v>
      </c>
      <c r="AE967" s="4" t="e">
        <f t="shared" si="22"/>
        <v>#VALUE!</v>
      </c>
      <c r="AF967" s="3" t="e">
        <f t="shared" si="23"/>
        <v>#VALUE!</v>
      </c>
      <c r="AG967" s="3"/>
      <c r="AH967" s="3"/>
      <c r="AI967" s="3"/>
      <c r="AJ967" s="3"/>
      <c r="AK967" s="3"/>
    </row>
    <row r="968" spans="1:37" ht="12.75" customHeight="1" x14ac:dyDescent="0.2">
      <c r="A968" s="14">
        <v>959</v>
      </c>
      <c r="B968" s="4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4"/>
      <c r="Y968" s="23"/>
      <c r="Z968" s="4" t="str">
        <f t="shared" si="18"/>
        <v/>
      </c>
      <c r="AA968" s="4" t="str">
        <f t="shared" si="19"/>
        <v/>
      </c>
      <c r="AB968" s="4" t="str">
        <f t="shared" si="20"/>
        <v/>
      </c>
      <c r="AC968" s="4">
        <v>0.25422887535978322</v>
      </c>
      <c r="AD968" s="4">
        <f t="shared" si="21"/>
        <v>-0.29333652928352227</v>
      </c>
      <c r="AE968" s="4" t="e">
        <f t="shared" si="22"/>
        <v>#VALUE!</v>
      </c>
      <c r="AF968" s="3" t="e">
        <f t="shared" si="23"/>
        <v>#VALUE!</v>
      </c>
      <c r="AG968" s="3"/>
      <c r="AH968" s="3"/>
      <c r="AI968" s="3"/>
      <c r="AJ968" s="3"/>
      <c r="AK968" s="3"/>
    </row>
    <row r="969" spans="1:37" ht="12.75" customHeight="1" x14ac:dyDescent="0.2">
      <c r="A969" s="14">
        <v>960</v>
      </c>
      <c r="B969" s="4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4"/>
      <c r="Y969" s="23"/>
      <c r="Z969" s="4" t="str">
        <f t="shared" si="18"/>
        <v/>
      </c>
      <c r="AA969" s="4" t="str">
        <f t="shared" si="19"/>
        <v/>
      </c>
      <c r="AB969" s="4" t="str">
        <f t="shared" si="20"/>
        <v/>
      </c>
      <c r="AC969" s="4">
        <v>0.25422887535978322</v>
      </c>
      <c r="AD969" s="4">
        <f t="shared" si="21"/>
        <v>-0.29333652928352227</v>
      </c>
      <c r="AE969" s="4" t="e">
        <f t="shared" si="22"/>
        <v>#VALUE!</v>
      </c>
      <c r="AF969" s="3" t="e">
        <f t="shared" si="23"/>
        <v>#VALUE!</v>
      </c>
      <c r="AG969" s="3"/>
      <c r="AH969" s="3"/>
      <c r="AI969" s="3"/>
      <c r="AJ969" s="3"/>
      <c r="AK969" s="3"/>
    </row>
    <row r="970" spans="1:37" ht="12.75" customHeight="1" x14ac:dyDescent="0.2">
      <c r="A970" s="14">
        <v>961</v>
      </c>
      <c r="B970" s="4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4"/>
      <c r="Y970" s="23"/>
      <c r="Z970" s="4" t="str">
        <f t="shared" si="18"/>
        <v/>
      </c>
      <c r="AA970" s="4" t="str">
        <f t="shared" si="19"/>
        <v/>
      </c>
      <c r="AB970" s="4" t="str">
        <f t="shared" si="20"/>
        <v/>
      </c>
      <c r="AC970" s="4">
        <v>0.24663284374938066</v>
      </c>
      <c r="AD970" s="4">
        <f t="shared" si="21"/>
        <v>-0.28320257871397247</v>
      </c>
      <c r="AE970" s="4" t="e">
        <f t="shared" si="22"/>
        <v>#VALUE!</v>
      </c>
      <c r="AF970" s="3" t="e">
        <f t="shared" si="23"/>
        <v>#VALUE!</v>
      </c>
      <c r="AG970" s="3"/>
      <c r="AH970" s="3"/>
      <c r="AI970" s="3"/>
      <c r="AJ970" s="3"/>
      <c r="AK970" s="3"/>
    </row>
    <row r="971" spans="1:37" ht="12.75" customHeight="1" x14ac:dyDescent="0.2">
      <c r="A971" s="14">
        <v>962</v>
      </c>
      <c r="B971" s="4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4"/>
      <c r="Y971" s="23"/>
      <c r="Z971" s="4" t="str">
        <f t="shared" si="18"/>
        <v/>
      </c>
      <c r="AA971" s="4" t="str">
        <f t="shared" si="19"/>
        <v/>
      </c>
      <c r="AB971" s="4" t="str">
        <f t="shared" si="20"/>
        <v/>
      </c>
      <c r="AC971" s="4">
        <v>0.24663284374938066</v>
      </c>
      <c r="AD971" s="4">
        <f t="shared" si="21"/>
        <v>-0.28320257871397247</v>
      </c>
      <c r="AE971" s="4" t="e">
        <f t="shared" si="22"/>
        <v>#VALUE!</v>
      </c>
      <c r="AF971" s="3" t="e">
        <f t="shared" si="23"/>
        <v>#VALUE!</v>
      </c>
      <c r="AG971" s="3"/>
      <c r="AH971" s="3"/>
      <c r="AI971" s="3"/>
      <c r="AJ971" s="3"/>
      <c r="AK971" s="3"/>
    </row>
    <row r="972" spans="1:37" ht="12.75" customHeight="1" x14ac:dyDescent="0.2">
      <c r="A972" s="14">
        <v>963</v>
      </c>
      <c r="B972" s="4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4"/>
      <c r="Y972" s="23"/>
      <c r="Z972" s="4" t="str">
        <f t="shared" si="18"/>
        <v/>
      </c>
      <c r="AA972" s="4" t="str">
        <f t="shared" si="19"/>
        <v/>
      </c>
      <c r="AB972" s="4" t="str">
        <f t="shared" si="20"/>
        <v/>
      </c>
      <c r="AC972" s="4">
        <v>0.23916008880213968</v>
      </c>
      <c r="AD972" s="4">
        <f t="shared" si="21"/>
        <v>-0.27333230961342242</v>
      </c>
      <c r="AE972" s="4" t="e">
        <f t="shared" si="22"/>
        <v>#VALUE!</v>
      </c>
      <c r="AF972" s="3" t="e">
        <f t="shared" si="23"/>
        <v>#VALUE!</v>
      </c>
      <c r="AG972" s="3"/>
      <c r="AH972" s="3"/>
      <c r="AI972" s="3"/>
      <c r="AJ972" s="3"/>
      <c r="AK972" s="3"/>
    </row>
    <row r="973" spans="1:37" ht="12.75" customHeight="1" x14ac:dyDescent="0.2">
      <c r="A973" s="14">
        <v>964</v>
      </c>
      <c r="B973" s="4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4"/>
      <c r="Y973" s="23"/>
      <c r="Z973" s="4" t="str">
        <f t="shared" si="18"/>
        <v/>
      </c>
      <c r="AA973" s="4" t="str">
        <f t="shared" si="19"/>
        <v/>
      </c>
      <c r="AB973" s="4" t="str">
        <f t="shared" si="20"/>
        <v/>
      </c>
      <c r="AC973" s="4">
        <v>0.23181280171328722</v>
      </c>
      <c r="AD973" s="4">
        <f t="shared" si="21"/>
        <v>-0.26372182776696873</v>
      </c>
      <c r="AE973" s="4" t="e">
        <f t="shared" si="22"/>
        <v>#VALUE!</v>
      </c>
      <c r="AF973" s="3" t="e">
        <f t="shared" si="23"/>
        <v>#VALUE!</v>
      </c>
      <c r="AG973" s="3"/>
      <c r="AH973" s="3"/>
      <c r="AI973" s="3"/>
      <c r="AJ973" s="3"/>
      <c r="AK973" s="3"/>
    </row>
    <row r="974" spans="1:37" ht="12.75" customHeight="1" x14ac:dyDescent="0.2">
      <c r="A974" s="14">
        <v>965</v>
      </c>
      <c r="B974" s="4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4"/>
      <c r="Y974" s="23"/>
      <c r="Z974" s="4" t="str">
        <f t="shared" si="18"/>
        <v/>
      </c>
      <c r="AA974" s="4" t="str">
        <f t="shared" si="19"/>
        <v/>
      </c>
      <c r="AB974" s="4" t="str">
        <f t="shared" si="20"/>
        <v/>
      </c>
      <c r="AC974" s="4">
        <v>0.23181280171328722</v>
      </c>
      <c r="AD974" s="4">
        <f t="shared" si="21"/>
        <v>-0.26372182776696873</v>
      </c>
      <c r="AE974" s="4" t="e">
        <f t="shared" si="22"/>
        <v>#VALUE!</v>
      </c>
      <c r="AF974" s="3" t="e">
        <f t="shared" si="23"/>
        <v>#VALUE!</v>
      </c>
      <c r="AG974" s="3"/>
      <c r="AH974" s="3"/>
      <c r="AI974" s="3"/>
      <c r="AJ974" s="3"/>
      <c r="AK974" s="3"/>
    </row>
    <row r="975" spans="1:37" ht="12.75" customHeight="1" x14ac:dyDescent="0.2">
      <c r="A975" s="14">
        <v>966</v>
      </c>
      <c r="B975" s="4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4"/>
      <c r="Y975" s="23"/>
      <c r="Z975" s="4" t="str">
        <f t="shared" si="18"/>
        <v/>
      </c>
      <c r="AA975" s="4" t="str">
        <f t="shared" si="19"/>
        <v/>
      </c>
      <c r="AB975" s="4" t="str">
        <f t="shared" si="20"/>
        <v/>
      </c>
      <c r="AC975" s="4">
        <v>0.23181280171328722</v>
      </c>
      <c r="AD975" s="4">
        <f t="shared" si="21"/>
        <v>-0.26372182776696873</v>
      </c>
      <c r="AE975" s="4" t="e">
        <f t="shared" si="22"/>
        <v>#VALUE!</v>
      </c>
      <c r="AF975" s="3" t="e">
        <f t="shared" si="23"/>
        <v>#VALUE!</v>
      </c>
      <c r="AG975" s="3"/>
      <c r="AH975" s="3"/>
      <c r="AI975" s="3"/>
      <c r="AJ975" s="3"/>
      <c r="AK975" s="3"/>
    </row>
    <row r="976" spans="1:37" ht="12.75" customHeight="1" x14ac:dyDescent="0.2">
      <c r="A976" s="14">
        <v>967</v>
      </c>
      <c r="B976" s="4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4"/>
      <c r="Y976" s="23"/>
      <c r="Z976" s="4" t="str">
        <f t="shared" si="18"/>
        <v/>
      </c>
      <c r="AA976" s="4" t="str">
        <f t="shared" si="19"/>
        <v/>
      </c>
      <c r="AB976" s="4" t="str">
        <f t="shared" si="20"/>
        <v/>
      </c>
      <c r="AC976" s="4">
        <v>0.23181280171328722</v>
      </c>
      <c r="AD976" s="4">
        <f t="shared" si="21"/>
        <v>-0.26372182776696873</v>
      </c>
      <c r="AE976" s="4" t="e">
        <f t="shared" si="22"/>
        <v>#VALUE!</v>
      </c>
      <c r="AF976" s="3" t="e">
        <f t="shared" si="23"/>
        <v>#VALUE!</v>
      </c>
      <c r="AG976" s="3"/>
      <c r="AH976" s="3"/>
      <c r="AI976" s="3"/>
      <c r="AJ976" s="3"/>
      <c r="AK976" s="3"/>
    </row>
    <row r="977" spans="1:37" ht="12.75" customHeight="1" x14ac:dyDescent="0.2">
      <c r="A977" s="14">
        <v>968</v>
      </c>
      <c r="B977" s="4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4"/>
      <c r="Y977" s="23"/>
      <c r="Z977" s="4" t="str">
        <f t="shared" si="18"/>
        <v/>
      </c>
      <c r="AA977" s="4" t="str">
        <f t="shared" si="19"/>
        <v/>
      </c>
      <c r="AB977" s="4" t="str">
        <f t="shared" si="20"/>
        <v/>
      </c>
      <c r="AC977" s="4">
        <v>0.22459299496723073</v>
      </c>
      <c r="AD977" s="4">
        <f t="shared" si="21"/>
        <v>-0.25436721969691078</v>
      </c>
      <c r="AE977" s="4" t="e">
        <f t="shared" si="22"/>
        <v>#VALUE!</v>
      </c>
      <c r="AF977" s="3" t="e">
        <f t="shared" si="23"/>
        <v>#VALUE!</v>
      </c>
      <c r="AG977" s="3"/>
      <c r="AH977" s="3"/>
      <c r="AI977" s="3"/>
      <c r="AJ977" s="3"/>
      <c r="AK977" s="3"/>
    </row>
    <row r="978" spans="1:37" ht="12.75" customHeight="1" x14ac:dyDescent="0.2">
      <c r="A978" s="14">
        <v>969</v>
      </c>
      <c r="B978" s="4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4"/>
      <c r="Y978" s="23"/>
      <c r="Z978" s="4" t="str">
        <f t="shared" si="18"/>
        <v/>
      </c>
      <c r="AA978" s="4" t="str">
        <f t="shared" si="19"/>
        <v/>
      </c>
      <c r="AB978" s="4" t="str">
        <f t="shared" si="20"/>
        <v/>
      </c>
      <c r="AC978" s="4">
        <v>0.22459299496723073</v>
      </c>
      <c r="AD978" s="4">
        <f t="shared" si="21"/>
        <v>-0.25436721969691078</v>
      </c>
      <c r="AE978" s="4" t="e">
        <f t="shared" si="22"/>
        <v>#VALUE!</v>
      </c>
      <c r="AF978" s="3" t="e">
        <f t="shared" si="23"/>
        <v>#VALUE!</v>
      </c>
      <c r="AG978" s="3"/>
      <c r="AH978" s="3"/>
      <c r="AI978" s="3"/>
      <c r="AJ978" s="3"/>
      <c r="AK978" s="3"/>
    </row>
    <row r="979" spans="1:37" ht="12.75" customHeight="1" x14ac:dyDescent="0.2">
      <c r="A979" s="14">
        <v>970</v>
      </c>
      <c r="B979" s="4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4"/>
      <c r="Y979" s="23"/>
      <c r="Z979" s="4" t="str">
        <f t="shared" si="18"/>
        <v/>
      </c>
      <c r="AA979" s="4" t="str">
        <f t="shared" si="19"/>
        <v/>
      </c>
      <c r="AB979" s="4" t="str">
        <f t="shared" si="20"/>
        <v/>
      </c>
      <c r="AC979" s="4">
        <v>0.22459299496723073</v>
      </c>
      <c r="AD979" s="4">
        <f t="shared" si="21"/>
        <v>-0.25436721969691078</v>
      </c>
      <c r="AE979" s="4" t="e">
        <f t="shared" si="22"/>
        <v>#VALUE!</v>
      </c>
      <c r="AF979" s="3" t="e">
        <f t="shared" si="23"/>
        <v>#VALUE!</v>
      </c>
      <c r="AG979" s="3"/>
      <c r="AH979" s="3"/>
      <c r="AI979" s="3"/>
      <c r="AJ979" s="3"/>
      <c r="AK979" s="3"/>
    </row>
    <row r="980" spans="1:37" ht="12.75" customHeight="1" x14ac:dyDescent="0.2">
      <c r="A980" s="14">
        <v>971</v>
      </c>
      <c r="B980" s="4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4"/>
      <c r="Y980" s="23"/>
      <c r="Z980" s="4" t="str">
        <f t="shared" si="18"/>
        <v/>
      </c>
      <c r="AA980" s="4" t="str">
        <f t="shared" si="19"/>
        <v/>
      </c>
      <c r="AB980" s="4" t="str">
        <f t="shared" si="20"/>
        <v/>
      </c>
      <c r="AC980" s="4">
        <v>0.22459299496723073</v>
      </c>
      <c r="AD980" s="4">
        <f t="shared" si="21"/>
        <v>-0.25436721969691078</v>
      </c>
      <c r="AE980" s="4" t="e">
        <f t="shared" si="22"/>
        <v>#VALUE!</v>
      </c>
      <c r="AF980" s="3" t="e">
        <f t="shared" si="23"/>
        <v>#VALUE!</v>
      </c>
      <c r="AG980" s="3"/>
      <c r="AH980" s="3"/>
      <c r="AI980" s="3"/>
      <c r="AJ980" s="3"/>
      <c r="AK980" s="3"/>
    </row>
    <row r="981" spans="1:37" ht="12.75" customHeight="1" x14ac:dyDescent="0.2">
      <c r="A981" s="14">
        <v>972</v>
      </c>
      <c r="B981" s="4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4"/>
      <c r="Y981" s="23"/>
      <c r="Z981" s="4" t="str">
        <f t="shared" si="18"/>
        <v/>
      </c>
      <c r="AA981" s="4" t="str">
        <f t="shared" si="19"/>
        <v/>
      </c>
      <c r="AB981" s="4" t="str">
        <f t="shared" si="20"/>
        <v/>
      </c>
      <c r="AC981" s="4">
        <v>0.21750250197973209</v>
      </c>
      <c r="AD981" s="4">
        <f t="shared" si="21"/>
        <v>-0.24526455399112848</v>
      </c>
      <c r="AE981" s="4" t="e">
        <f t="shared" si="22"/>
        <v>#VALUE!</v>
      </c>
      <c r="AF981" s="3" t="e">
        <f t="shared" si="23"/>
        <v>#VALUE!</v>
      </c>
      <c r="AG981" s="3"/>
      <c r="AH981" s="3"/>
      <c r="AI981" s="3"/>
      <c r="AJ981" s="3"/>
      <c r="AK981" s="3"/>
    </row>
    <row r="982" spans="1:37" ht="12.75" customHeight="1" x14ac:dyDescent="0.2">
      <c r="A982" s="14">
        <v>973</v>
      </c>
      <c r="B982" s="4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4"/>
      <c r="Y982" s="23"/>
      <c r="Z982" s="4" t="str">
        <f t="shared" si="18"/>
        <v/>
      </c>
      <c r="AA982" s="4" t="str">
        <f t="shared" si="19"/>
        <v/>
      </c>
      <c r="AB982" s="4" t="str">
        <f t="shared" si="20"/>
        <v/>
      </c>
      <c r="AC982" s="4">
        <v>0.21750250197973209</v>
      </c>
      <c r="AD982" s="4">
        <f t="shared" si="21"/>
        <v>-0.24526455399112848</v>
      </c>
      <c r="AE982" s="4" t="e">
        <f t="shared" si="22"/>
        <v>#VALUE!</v>
      </c>
      <c r="AF982" s="3" t="e">
        <f t="shared" si="23"/>
        <v>#VALUE!</v>
      </c>
      <c r="AG982" s="3"/>
      <c r="AH982" s="3"/>
      <c r="AI982" s="3"/>
      <c r="AJ982" s="3"/>
      <c r="AK982" s="3"/>
    </row>
    <row r="983" spans="1:37" ht="12.75" customHeight="1" x14ac:dyDescent="0.2">
      <c r="A983" s="14">
        <v>974</v>
      </c>
      <c r="B983" s="4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4"/>
      <c r="Y983" s="23"/>
      <c r="Z983" s="4" t="str">
        <f t="shared" si="18"/>
        <v/>
      </c>
      <c r="AA983" s="4" t="str">
        <f t="shared" si="19"/>
        <v/>
      </c>
      <c r="AB983" s="4" t="str">
        <f t="shared" si="20"/>
        <v/>
      </c>
      <c r="AC983" s="4">
        <v>0.21750250197973209</v>
      </c>
      <c r="AD983" s="4">
        <f t="shared" si="21"/>
        <v>-0.24526455399112848</v>
      </c>
      <c r="AE983" s="4" t="e">
        <f t="shared" si="22"/>
        <v>#VALUE!</v>
      </c>
      <c r="AF983" s="3" t="e">
        <f t="shared" si="23"/>
        <v>#VALUE!</v>
      </c>
      <c r="AG983" s="3"/>
      <c r="AH983" s="3"/>
      <c r="AI983" s="3"/>
      <c r="AJ983" s="3"/>
      <c r="AK983" s="3"/>
    </row>
    <row r="984" spans="1:37" ht="12.75" customHeight="1" x14ac:dyDescent="0.2">
      <c r="A984" s="14">
        <v>975</v>
      </c>
      <c r="B984" s="4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4"/>
      <c r="Y984" s="23"/>
      <c r="Z984" s="4" t="str">
        <f t="shared" si="18"/>
        <v/>
      </c>
      <c r="AA984" s="4" t="str">
        <f t="shared" si="19"/>
        <v/>
      </c>
      <c r="AB984" s="4" t="str">
        <f t="shared" si="20"/>
        <v/>
      </c>
      <c r="AC984" s="4">
        <v>0.21750250197973209</v>
      </c>
      <c r="AD984" s="4">
        <f t="shared" si="21"/>
        <v>-0.24526455399112848</v>
      </c>
      <c r="AE984" s="4" t="e">
        <f t="shared" si="22"/>
        <v>#VALUE!</v>
      </c>
      <c r="AF984" s="3" t="e">
        <f t="shared" si="23"/>
        <v>#VALUE!</v>
      </c>
      <c r="AG984" s="3"/>
      <c r="AH984" s="3"/>
      <c r="AI984" s="3"/>
      <c r="AJ984" s="3"/>
      <c r="AK984" s="3"/>
    </row>
    <row r="985" spans="1:37" ht="12.75" customHeight="1" x14ac:dyDescent="0.2">
      <c r="A985" s="14">
        <v>976</v>
      </c>
      <c r="B985" s="4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4"/>
      <c r="Y985" s="23"/>
      <c r="Z985" s="4" t="str">
        <f t="shared" si="18"/>
        <v/>
      </c>
      <c r="AA985" s="4" t="str">
        <f t="shared" si="19"/>
        <v/>
      </c>
      <c r="AB985" s="4" t="str">
        <f t="shared" si="20"/>
        <v/>
      </c>
      <c r="AC985" s="4">
        <v>0.20371589632334985</v>
      </c>
      <c r="AD985" s="4">
        <f t="shared" si="21"/>
        <v>-0.22779924264981785</v>
      </c>
      <c r="AE985" s="4" t="e">
        <f t="shared" si="22"/>
        <v>#VALUE!</v>
      </c>
      <c r="AF985" s="3" t="e">
        <f t="shared" si="23"/>
        <v>#VALUE!</v>
      </c>
      <c r="AG985" s="3"/>
      <c r="AH985" s="3"/>
      <c r="AI985" s="3"/>
      <c r="AJ985" s="3"/>
      <c r="AK985" s="3"/>
    </row>
    <row r="986" spans="1:37" ht="12.75" customHeight="1" x14ac:dyDescent="0.2">
      <c r="A986" s="14">
        <v>977</v>
      </c>
      <c r="B986" s="4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4"/>
      <c r="Y986" s="23"/>
      <c r="Z986" s="4" t="str">
        <f t="shared" si="18"/>
        <v/>
      </c>
      <c r="AA986" s="4" t="str">
        <f t="shared" si="19"/>
        <v/>
      </c>
      <c r="AB986" s="4" t="str">
        <f t="shared" si="20"/>
        <v/>
      </c>
      <c r="AC986" s="4">
        <v>0.20371589632334985</v>
      </c>
      <c r="AD986" s="4">
        <f t="shared" si="21"/>
        <v>-0.22779924264981785</v>
      </c>
      <c r="AE986" s="4" t="e">
        <f t="shared" si="22"/>
        <v>#VALUE!</v>
      </c>
      <c r="AF986" s="3" t="e">
        <f t="shared" si="23"/>
        <v>#VALUE!</v>
      </c>
      <c r="AG986" s="3"/>
      <c r="AH986" s="3"/>
      <c r="AI986" s="3"/>
      <c r="AJ986" s="3"/>
      <c r="AK986" s="3"/>
    </row>
    <row r="987" spans="1:37" ht="12.75" customHeight="1" x14ac:dyDescent="0.2">
      <c r="A987" s="14">
        <v>978</v>
      </c>
      <c r="B987" s="4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4"/>
      <c r="Y987" s="23"/>
      <c r="Z987" s="4" t="str">
        <f t="shared" si="18"/>
        <v/>
      </c>
      <c r="AA987" s="4" t="str">
        <f t="shared" si="19"/>
        <v/>
      </c>
      <c r="AB987" s="4" t="str">
        <f t="shared" si="20"/>
        <v/>
      </c>
      <c r="AC987" s="4">
        <v>0.19046408273957316</v>
      </c>
      <c r="AD987" s="4">
        <f t="shared" si="21"/>
        <v>-0.21129413716323459</v>
      </c>
      <c r="AE987" s="4" t="e">
        <f t="shared" si="22"/>
        <v>#VALUE!</v>
      </c>
      <c r="AF987" s="3" t="e">
        <f t="shared" si="23"/>
        <v>#VALUE!</v>
      </c>
      <c r="AG987" s="3"/>
      <c r="AH987" s="3"/>
      <c r="AI987" s="3"/>
      <c r="AJ987" s="3"/>
      <c r="AK987" s="3"/>
    </row>
    <row r="988" spans="1:37" ht="12.75" customHeight="1" x14ac:dyDescent="0.2">
      <c r="A988" s="14">
        <v>979</v>
      </c>
      <c r="B988" s="4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4"/>
      <c r="Y988" s="23"/>
      <c r="Z988" s="4" t="str">
        <f t="shared" si="18"/>
        <v/>
      </c>
      <c r="AA988" s="4" t="str">
        <f t="shared" si="19"/>
        <v/>
      </c>
      <c r="AB988" s="4" t="str">
        <f t="shared" si="20"/>
        <v/>
      </c>
      <c r="AC988" s="4">
        <v>0.19046408273957316</v>
      </c>
      <c r="AD988" s="4">
        <f t="shared" si="21"/>
        <v>-0.21129413716323459</v>
      </c>
      <c r="AE988" s="4" t="e">
        <f t="shared" si="22"/>
        <v>#VALUE!</v>
      </c>
      <c r="AF988" s="3" t="e">
        <f t="shared" si="23"/>
        <v>#VALUE!</v>
      </c>
      <c r="AG988" s="3"/>
      <c r="AH988" s="3"/>
      <c r="AI988" s="3"/>
      <c r="AJ988" s="3"/>
      <c r="AK988" s="3"/>
    </row>
    <row r="989" spans="1:37" ht="12.75" customHeight="1" x14ac:dyDescent="0.2">
      <c r="A989" s="14">
        <v>980</v>
      </c>
      <c r="B989" s="4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4"/>
      <c r="Y989" s="23"/>
      <c r="Z989" s="4" t="str">
        <f t="shared" si="18"/>
        <v/>
      </c>
      <c r="AA989" s="4" t="str">
        <f t="shared" si="19"/>
        <v/>
      </c>
      <c r="AB989" s="4" t="str">
        <f t="shared" si="20"/>
        <v/>
      </c>
      <c r="AC989" s="4">
        <v>0.19046408273957316</v>
      </c>
      <c r="AD989" s="4">
        <f t="shared" si="21"/>
        <v>-0.21129413716323459</v>
      </c>
      <c r="AE989" s="4" t="e">
        <f t="shared" si="22"/>
        <v>#VALUE!</v>
      </c>
      <c r="AF989" s="3" t="e">
        <f t="shared" si="23"/>
        <v>#VALUE!</v>
      </c>
      <c r="AG989" s="3"/>
      <c r="AH989" s="3"/>
      <c r="AI989" s="3"/>
      <c r="AJ989" s="3"/>
      <c r="AK989" s="3"/>
    </row>
    <row r="990" spans="1:37" ht="12.75" customHeight="1" x14ac:dyDescent="0.2">
      <c r="A990" s="14">
        <v>981</v>
      </c>
      <c r="B990" s="4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4"/>
      <c r="Y990" s="23"/>
      <c r="Z990" s="4" t="str">
        <f t="shared" si="18"/>
        <v/>
      </c>
      <c r="AA990" s="4" t="str">
        <f t="shared" si="19"/>
        <v/>
      </c>
      <c r="AB990" s="4" t="str">
        <f t="shared" si="20"/>
        <v/>
      </c>
      <c r="AC990" s="4">
        <v>0.19046408273957316</v>
      </c>
      <c r="AD990" s="4">
        <f t="shared" si="21"/>
        <v>-0.21129413716323459</v>
      </c>
      <c r="AE990" s="4" t="e">
        <f t="shared" si="22"/>
        <v>#VALUE!</v>
      </c>
      <c r="AF990" s="3" t="e">
        <f t="shared" si="23"/>
        <v>#VALUE!</v>
      </c>
      <c r="AG990" s="3"/>
      <c r="AH990" s="3"/>
      <c r="AI990" s="3"/>
      <c r="AJ990" s="3"/>
      <c r="AK990" s="3"/>
    </row>
    <row r="991" spans="1:37" ht="12.75" customHeight="1" x14ac:dyDescent="0.2">
      <c r="A991" s="14">
        <v>982</v>
      </c>
      <c r="B991" s="4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4"/>
      <c r="Y991" s="23"/>
      <c r="Z991" s="4" t="str">
        <f t="shared" si="18"/>
        <v/>
      </c>
      <c r="AA991" s="4" t="str">
        <f t="shared" si="19"/>
        <v/>
      </c>
      <c r="AB991" s="4" t="str">
        <f t="shared" si="20"/>
        <v/>
      </c>
      <c r="AC991" s="4">
        <v>0.19046408273957316</v>
      </c>
      <c r="AD991" s="4">
        <f t="shared" si="21"/>
        <v>-0.21129413716323459</v>
      </c>
      <c r="AE991" s="4" t="e">
        <f t="shared" si="22"/>
        <v>#VALUE!</v>
      </c>
      <c r="AF991" s="3" t="e">
        <f t="shared" si="23"/>
        <v>#VALUE!</v>
      </c>
      <c r="AG991" s="3"/>
      <c r="AH991" s="3"/>
      <c r="AI991" s="3"/>
      <c r="AJ991" s="3"/>
      <c r="AK991" s="3"/>
    </row>
    <row r="992" spans="1:37" ht="12.75" customHeight="1" x14ac:dyDescent="0.2">
      <c r="A992" s="14">
        <v>983</v>
      </c>
      <c r="B992" s="4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4"/>
      <c r="Y992" s="23"/>
      <c r="Z992" s="4" t="str">
        <f t="shared" si="18"/>
        <v/>
      </c>
      <c r="AA992" s="4" t="str">
        <f t="shared" si="19"/>
        <v/>
      </c>
      <c r="AB992" s="4" t="str">
        <f t="shared" si="20"/>
        <v/>
      </c>
      <c r="AC992" s="4">
        <v>0.19046408273957316</v>
      </c>
      <c r="AD992" s="4">
        <f t="shared" si="21"/>
        <v>-0.21129413716323459</v>
      </c>
      <c r="AE992" s="4" t="e">
        <f t="shared" si="22"/>
        <v>#VALUE!</v>
      </c>
      <c r="AF992" s="3" t="e">
        <f t="shared" si="23"/>
        <v>#VALUE!</v>
      </c>
      <c r="AG992" s="3"/>
      <c r="AH992" s="3"/>
      <c r="AI992" s="3"/>
      <c r="AJ992" s="3"/>
      <c r="AK992" s="3"/>
    </row>
    <row r="993" spans="1:37" ht="12.75" customHeight="1" x14ac:dyDescent="0.2">
      <c r="A993" s="14">
        <v>984</v>
      </c>
      <c r="B993" s="4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4"/>
      <c r="Y993" s="23"/>
      <c r="Z993" s="4" t="str">
        <f t="shared" si="18"/>
        <v/>
      </c>
      <c r="AA993" s="4" t="str">
        <f t="shared" si="19"/>
        <v/>
      </c>
      <c r="AB993" s="4" t="str">
        <f t="shared" si="20"/>
        <v/>
      </c>
      <c r="AC993" s="4">
        <v>0.19046408273957316</v>
      </c>
      <c r="AD993" s="4">
        <f t="shared" si="21"/>
        <v>-0.21129413716323459</v>
      </c>
      <c r="AE993" s="4" t="e">
        <f t="shared" si="22"/>
        <v>#VALUE!</v>
      </c>
      <c r="AF993" s="3" t="e">
        <f t="shared" si="23"/>
        <v>#VALUE!</v>
      </c>
      <c r="AG993" s="3"/>
      <c r="AH993" s="3"/>
      <c r="AI993" s="3"/>
      <c r="AJ993" s="3"/>
      <c r="AK993" s="3"/>
    </row>
    <row r="994" spans="1:37" ht="12.75" customHeight="1" x14ac:dyDescent="0.2">
      <c r="A994" s="14">
        <v>985</v>
      </c>
      <c r="B994" s="4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4"/>
      <c r="Y994" s="23"/>
      <c r="Z994" s="4" t="str">
        <f t="shared" si="18"/>
        <v/>
      </c>
      <c r="AA994" s="4" t="str">
        <f t="shared" si="19"/>
        <v/>
      </c>
      <c r="AB994" s="4" t="str">
        <f t="shared" si="20"/>
        <v/>
      </c>
      <c r="AC994" s="4">
        <v>0.19046408273957316</v>
      </c>
      <c r="AD994" s="4">
        <f t="shared" si="21"/>
        <v>-0.21129413716323459</v>
      </c>
      <c r="AE994" s="4" t="e">
        <f t="shared" si="22"/>
        <v>#VALUE!</v>
      </c>
      <c r="AF994" s="3" t="e">
        <f t="shared" si="23"/>
        <v>#VALUE!</v>
      </c>
      <c r="AG994" s="3"/>
      <c r="AH994" s="3"/>
      <c r="AI994" s="3"/>
      <c r="AJ994" s="3"/>
      <c r="AK994" s="3"/>
    </row>
    <row r="995" spans="1:37" ht="12.75" customHeight="1" x14ac:dyDescent="0.2">
      <c r="A995" s="14">
        <v>986</v>
      </c>
      <c r="B995" s="4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4"/>
      <c r="Y995" s="23"/>
      <c r="Z995" s="4" t="str">
        <f t="shared" si="18"/>
        <v/>
      </c>
      <c r="AA995" s="4" t="str">
        <f t="shared" si="19"/>
        <v/>
      </c>
      <c r="AB995" s="4" t="str">
        <f t="shared" si="20"/>
        <v/>
      </c>
      <c r="AC995" s="4">
        <v>0.19046408273957316</v>
      </c>
      <c r="AD995" s="4">
        <f t="shared" si="21"/>
        <v>-0.21129413716323459</v>
      </c>
      <c r="AE995" s="4" t="e">
        <f t="shared" si="22"/>
        <v>#VALUE!</v>
      </c>
      <c r="AF995" s="3" t="e">
        <f t="shared" si="23"/>
        <v>#VALUE!</v>
      </c>
      <c r="AG995" s="3"/>
      <c r="AH995" s="3"/>
      <c r="AI995" s="3"/>
      <c r="AJ995" s="3"/>
      <c r="AK995" s="3"/>
    </row>
    <row r="996" spans="1:37" ht="12.75" customHeight="1" x14ac:dyDescent="0.2">
      <c r="A996" s="14">
        <v>987</v>
      </c>
      <c r="B996" s="4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4"/>
      <c r="Y996" s="23"/>
      <c r="Z996" s="4" t="str">
        <f t="shared" si="18"/>
        <v/>
      </c>
      <c r="AA996" s="4" t="str">
        <f t="shared" si="19"/>
        <v/>
      </c>
      <c r="AB996" s="4" t="str">
        <f t="shared" si="20"/>
        <v/>
      </c>
      <c r="AC996" s="4">
        <v>0.19046408273957316</v>
      </c>
      <c r="AD996" s="4">
        <f t="shared" si="21"/>
        <v>-0.21129413716323459</v>
      </c>
      <c r="AE996" s="4" t="e">
        <f t="shared" si="22"/>
        <v>#VALUE!</v>
      </c>
      <c r="AF996" s="3" t="e">
        <f t="shared" si="23"/>
        <v>#VALUE!</v>
      </c>
      <c r="AG996" s="3"/>
      <c r="AH996" s="3"/>
      <c r="AI996" s="3"/>
      <c r="AJ996" s="3"/>
      <c r="AK996" s="3"/>
    </row>
    <row r="997" spans="1:37" ht="12.75" customHeight="1" x14ac:dyDescent="0.2">
      <c r="A997" s="14">
        <v>988</v>
      </c>
      <c r="B997" s="4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4"/>
      <c r="Y997" s="23"/>
      <c r="Z997" s="4" t="str">
        <f t="shared" si="18"/>
        <v/>
      </c>
      <c r="AA997" s="4" t="str">
        <f t="shared" si="19"/>
        <v/>
      </c>
      <c r="AB997" s="4" t="str">
        <f t="shared" si="20"/>
        <v/>
      </c>
      <c r="AC997" s="4">
        <v>0.19046408273957316</v>
      </c>
      <c r="AD997" s="4">
        <f t="shared" si="21"/>
        <v>-0.21129413716323459</v>
      </c>
      <c r="AE997" s="4" t="e">
        <f t="shared" si="22"/>
        <v>#VALUE!</v>
      </c>
      <c r="AF997" s="3" t="e">
        <f t="shared" si="23"/>
        <v>#VALUE!</v>
      </c>
      <c r="AG997" s="3"/>
      <c r="AH997" s="3"/>
      <c r="AI997" s="3"/>
      <c r="AJ997" s="3"/>
      <c r="AK997" s="3"/>
    </row>
    <row r="998" spans="1:37" ht="12.75" customHeight="1" x14ac:dyDescent="0.2">
      <c r="A998" s="14">
        <v>989</v>
      </c>
      <c r="B998" s="4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4"/>
      <c r="Y998" s="23"/>
      <c r="Z998" s="4" t="str">
        <f t="shared" si="18"/>
        <v/>
      </c>
      <c r="AA998" s="4" t="str">
        <f t="shared" si="19"/>
        <v/>
      </c>
      <c r="AB998" s="4" t="str">
        <f t="shared" si="20"/>
        <v/>
      </c>
      <c r="AC998" s="4">
        <v>0.19046408273957316</v>
      </c>
      <c r="AD998" s="4">
        <f t="shared" si="21"/>
        <v>-0.21129413716323459</v>
      </c>
      <c r="AE998" s="4" t="e">
        <f t="shared" si="22"/>
        <v>#VALUE!</v>
      </c>
      <c r="AF998" s="3" t="e">
        <f t="shared" si="23"/>
        <v>#VALUE!</v>
      </c>
      <c r="AG998" s="3"/>
      <c r="AH998" s="3"/>
      <c r="AI998" s="3"/>
      <c r="AJ998" s="3"/>
      <c r="AK998" s="3"/>
    </row>
    <row r="999" spans="1:37" ht="12.75" customHeight="1" x14ac:dyDescent="0.2">
      <c r="A999" s="14">
        <v>990</v>
      </c>
      <c r="B999" s="4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4"/>
      <c r="Y999" s="23"/>
      <c r="Z999" s="4" t="str">
        <f t="shared" si="18"/>
        <v/>
      </c>
      <c r="AA999" s="4" t="str">
        <f t="shared" si="19"/>
        <v/>
      </c>
      <c r="AB999" s="4" t="str">
        <f t="shared" si="20"/>
        <v/>
      </c>
      <c r="AC999" s="4">
        <v>0.19046408273957316</v>
      </c>
      <c r="AD999" s="4">
        <f t="shared" si="21"/>
        <v>-0.21129413716323459</v>
      </c>
      <c r="AE999" s="4" t="e">
        <f t="shared" si="22"/>
        <v>#VALUE!</v>
      </c>
      <c r="AF999" s="3" t="e">
        <f t="shared" si="23"/>
        <v>#VALUE!</v>
      </c>
      <c r="AG999" s="3"/>
      <c r="AH999" s="3"/>
      <c r="AI999" s="3"/>
      <c r="AJ999" s="3"/>
      <c r="AK999" s="3"/>
    </row>
    <row r="1000" spans="1:37" ht="12.75" customHeight="1" x14ac:dyDescent="0.2">
      <c r="A1000" s="14">
        <v>991</v>
      </c>
      <c r="B1000" s="4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4"/>
      <c r="Y1000" s="23"/>
      <c r="Z1000" s="4" t="str">
        <f t="shared" si="18"/>
        <v/>
      </c>
      <c r="AA1000" s="4" t="str">
        <f t="shared" si="19"/>
        <v/>
      </c>
      <c r="AB1000" s="4" t="str">
        <f t="shared" si="20"/>
        <v/>
      </c>
      <c r="AC1000" s="4">
        <v>0.19046408273957316</v>
      </c>
      <c r="AD1000" s="4">
        <f t="shared" si="21"/>
        <v>-0.21129413716323459</v>
      </c>
      <c r="AE1000" s="4" t="e">
        <f t="shared" si="22"/>
        <v>#VALUE!</v>
      </c>
      <c r="AF1000" s="3" t="e">
        <f t="shared" si="23"/>
        <v>#VALUE!</v>
      </c>
      <c r="AG1000" s="3"/>
      <c r="AH1000" s="3"/>
      <c r="AI1000" s="3"/>
      <c r="AJ1000" s="3"/>
      <c r="AK1000" s="3"/>
    </row>
    <row r="1001" spans="1:37" ht="12.75" customHeight="1" x14ac:dyDescent="0.2">
      <c r="A1001" s="14">
        <v>992</v>
      </c>
      <c r="B1001" s="4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4"/>
      <c r="Y1001" s="23"/>
      <c r="Z1001" s="4" t="str">
        <f t="shared" si="18"/>
        <v/>
      </c>
      <c r="AA1001" s="4" t="str">
        <f t="shared" si="19"/>
        <v/>
      </c>
      <c r="AB1001" s="4" t="str">
        <f t="shared" si="20"/>
        <v/>
      </c>
      <c r="AC1001" s="4">
        <v>0.19046408273957316</v>
      </c>
      <c r="AD1001" s="4">
        <f t="shared" si="21"/>
        <v>-0.21129413716323459</v>
      </c>
      <c r="AE1001" s="4" t="e">
        <f t="shared" si="22"/>
        <v>#VALUE!</v>
      </c>
      <c r="AF1001" s="3" t="e">
        <f t="shared" si="23"/>
        <v>#VALUE!</v>
      </c>
      <c r="AG1001" s="3"/>
      <c r="AH1001" s="3"/>
      <c r="AI1001" s="3"/>
      <c r="AJ1001" s="3"/>
      <c r="AK1001" s="3"/>
    </row>
    <row r="1002" spans="1:37" ht="12.75" customHeight="1" x14ac:dyDescent="0.2">
      <c r="A1002" s="14">
        <v>993</v>
      </c>
      <c r="B1002" s="4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4"/>
      <c r="Y1002" s="23"/>
      <c r="Z1002" s="4" t="str">
        <f t="shared" si="18"/>
        <v/>
      </c>
      <c r="AA1002" s="4" t="str">
        <f t="shared" si="19"/>
        <v/>
      </c>
      <c r="AB1002" s="4" t="str">
        <f t="shared" si="20"/>
        <v/>
      </c>
      <c r="AC1002" s="4">
        <v>0.19046408273957316</v>
      </c>
      <c r="AD1002" s="4">
        <f t="shared" si="21"/>
        <v>-0.21129413716323459</v>
      </c>
      <c r="AE1002" s="4" t="e">
        <f t="shared" si="22"/>
        <v>#VALUE!</v>
      </c>
      <c r="AF1002" s="3" t="e">
        <f t="shared" si="23"/>
        <v>#VALUE!</v>
      </c>
      <c r="AG1002" s="3"/>
      <c r="AH1002" s="3"/>
      <c r="AI1002" s="3"/>
      <c r="AJ1002" s="3"/>
      <c r="AK1002" s="3"/>
    </row>
    <row r="1003" spans="1:37" ht="12.75" customHeight="1" x14ac:dyDescent="0.2">
      <c r="A1003" s="14">
        <v>994</v>
      </c>
      <c r="B1003" s="4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4"/>
      <c r="Y1003" s="23"/>
      <c r="Z1003" s="4" t="str">
        <f t="shared" si="18"/>
        <v/>
      </c>
      <c r="AA1003" s="4" t="str">
        <f t="shared" si="19"/>
        <v/>
      </c>
      <c r="AB1003" s="4" t="str">
        <f t="shared" si="20"/>
        <v/>
      </c>
      <c r="AC1003" s="4">
        <v>0.19046408273957316</v>
      </c>
      <c r="AD1003" s="4">
        <f t="shared" si="21"/>
        <v>-0.21129413716323459</v>
      </c>
      <c r="AE1003" s="4" t="e">
        <f t="shared" si="22"/>
        <v>#VALUE!</v>
      </c>
      <c r="AF1003" s="3" t="e">
        <f t="shared" si="23"/>
        <v>#VALUE!</v>
      </c>
      <c r="AG1003" s="3"/>
      <c r="AH1003" s="3"/>
      <c r="AI1003" s="3"/>
      <c r="AJ1003" s="3"/>
      <c r="AK1003" s="3"/>
    </row>
    <row r="1004" spans="1:37" ht="12.75" customHeight="1" x14ac:dyDescent="0.2">
      <c r="A1004" s="14">
        <v>995</v>
      </c>
      <c r="B1004" s="4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4"/>
      <c r="Y1004" s="23"/>
      <c r="Z1004" s="4" t="str">
        <f t="shared" si="18"/>
        <v/>
      </c>
      <c r="AA1004" s="4" t="str">
        <f t="shared" si="19"/>
        <v/>
      </c>
      <c r="AB1004" s="4" t="str">
        <f t="shared" si="20"/>
        <v/>
      </c>
      <c r="AC1004" s="4">
        <v>0.19046408273957316</v>
      </c>
      <c r="AD1004" s="4">
        <f t="shared" si="21"/>
        <v>-0.21129413716323459</v>
      </c>
      <c r="AE1004" s="4" t="e">
        <f t="shared" si="22"/>
        <v>#VALUE!</v>
      </c>
      <c r="AF1004" s="3" t="e">
        <f t="shared" si="23"/>
        <v>#VALUE!</v>
      </c>
      <c r="AG1004" s="3"/>
      <c r="AH1004" s="3"/>
      <c r="AI1004" s="3"/>
      <c r="AJ1004" s="3"/>
      <c r="AK1004" s="3"/>
    </row>
    <row r="1005" spans="1:37" ht="12.75" customHeight="1" x14ac:dyDescent="0.2">
      <c r="A1005" s="14">
        <v>996</v>
      </c>
      <c r="B1005" s="4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4"/>
      <c r="Y1005" s="23"/>
      <c r="Z1005" s="4" t="str">
        <f t="shared" si="18"/>
        <v/>
      </c>
      <c r="AA1005" s="4" t="str">
        <f t="shared" si="19"/>
        <v/>
      </c>
      <c r="AB1005" s="4" t="str">
        <f t="shared" si="20"/>
        <v/>
      </c>
      <c r="AC1005" s="4">
        <v>0.19046408273957316</v>
      </c>
      <c r="AD1005" s="4">
        <f t="shared" si="21"/>
        <v>-0.21129413716323459</v>
      </c>
      <c r="AE1005" s="4" t="e">
        <f t="shared" si="22"/>
        <v>#VALUE!</v>
      </c>
      <c r="AF1005" s="3" t="e">
        <f t="shared" si="23"/>
        <v>#VALUE!</v>
      </c>
      <c r="AG1005" s="3"/>
      <c r="AH1005" s="3"/>
      <c r="AI1005" s="3"/>
      <c r="AJ1005" s="3"/>
      <c r="AK1005" s="3"/>
    </row>
    <row r="1006" spans="1:37" ht="12.75" customHeight="1" x14ac:dyDescent="0.2">
      <c r="A1006" s="14">
        <v>997</v>
      </c>
      <c r="B1006" s="4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4"/>
      <c r="Y1006" s="23"/>
      <c r="Z1006" s="4" t="str">
        <f t="shared" si="18"/>
        <v/>
      </c>
      <c r="AA1006" s="4" t="str">
        <f t="shared" si="19"/>
        <v/>
      </c>
      <c r="AB1006" s="4" t="str">
        <f t="shared" si="20"/>
        <v/>
      </c>
      <c r="AC1006" s="4">
        <v>4.2801038401617308E-2</v>
      </c>
      <c r="AD1006" s="4">
        <f t="shared" si="21"/>
        <v>-4.374400778095322E-2</v>
      </c>
      <c r="AE1006" s="4" t="e">
        <f t="shared" si="22"/>
        <v>#VALUE!</v>
      </c>
      <c r="AF1006" s="3" t="e">
        <f t="shared" si="23"/>
        <v>#VALUE!</v>
      </c>
      <c r="AG1006" s="3"/>
      <c r="AH1006" s="3"/>
      <c r="AI1006" s="3"/>
      <c r="AJ1006" s="3"/>
      <c r="AK1006" s="3"/>
    </row>
    <row r="1007" spans="1:37" ht="12.75" customHeight="1" x14ac:dyDescent="0.2">
      <c r="A1007" s="14">
        <v>998</v>
      </c>
      <c r="B1007" s="4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4"/>
      <c r="Y1007" s="23"/>
      <c r="Z1007" s="4" t="str">
        <f t="shared" si="18"/>
        <v/>
      </c>
      <c r="AA1007" s="4" t="str">
        <f t="shared" si="19"/>
        <v/>
      </c>
      <c r="AB1007" s="4" t="str">
        <f t="shared" si="20"/>
        <v/>
      </c>
      <c r="AC1007" s="4">
        <v>4.2486784700178748E-2</v>
      </c>
      <c r="AD1007" s="4">
        <f t="shared" si="21"/>
        <v>-4.3415756142872186E-2</v>
      </c>
      <c r="AE1007" s="4" t="e">
        <f t="shared" si="22"/>
        <v>#VALUE!</v>
      </c>
      <c r="AF1007" s="3" t="e">
        <f t="shared" si="23"/>
        <v>#VALUE!</v>
      </c>
      <c r="AG1007" s="3"/>
      <c r="AH1007" s="3"/>
      <c r="AI1007" s="3"/>
      <c r="AJ1007" s="3"/>
      <c r="AK1007" s="3"/>
    </row>
    <row r="1008" spans="1:37" ht="12.75" customHeight="1" x14ac:dyDescent="0.2">
      <c r="A1008" s="14">
        <v>999</v>
      </c>
      <c r="B1008" s="4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4"/>
      <c r="Y1008" s="23"/>
      <c r="Z1008" s="4" t="str">
        <f t="shared" si="18"/>
        <v/>
      </c>
      <c r="AA1008" s="4" t="str">
        <f t="shared" si="19"/>
        <v/>
      </c>
      <c r="AB1008" s="4" t="str">
        <f t="shared" si="20"/>
        <v/>
      </c>
      <c r="AC1008" s="4">
        <v>4.2174399642842197E-2</v>
      </c>
      <c r="AD1008" s="4">
        <f t="shared" si="21"/>
        <v>-4.3089563139782794E-2</v>
      </c>
      <c r="AE1008" s="4" t="e">
        <f t="shared" si="22"/>
        <v>#VALUE!</v>
      </c>
      <c r="AF1008" s="3" t="e">
        <f t="shared" si="23"/>
        <v>#VALUE!</v>
      </c>
      <c r="AG1008" s="3"/>
      <c r="AH1008" s="3"/>
      <c r="AI1008" s="3"/>
      <c r="AJ1008" s="3"/>
      <c r="AK1008" s="3"/>
    </row>
    <row r="1009" spans="1:37" ht="12.75" customHeight="1" x14ac:dyDescent="0.2">
      <c r="A1009" s="14">
        <v>1000</v>
      </c>
      <c r="B1009" s="4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4"/>
      <c r="Y1009" s="23"/>
      <c r="Z1009" s="4" t="str">
        <f t="shared" si="18"/>
        <v/>
      </c>
      <c r="AA1009" s="4" t="str">
        <f t="shared" si="19"/>
        <v/>
      </c>
      <c r="AB1009" s="4" t="str">
        <f t="shared" si="20"/>
        <v/>
      </c>
      <c r="AC1009" s="4">
        <v>4.1863875840902787E-2</v>
      </c>
      <c r="AD1009" s="4">
        <f t="shared" si="21"/>
        <v>-4.2765419081282154E-2</v>
      </c>
      <c r="AE1009" s="4" t="e">
        <f t="shared" si="22"/>
        <v>#VALUE!</v>
      </c>
      <c r="AF1009" s="3" t="e">
        <f t="shared" si="23"/>
        <v>#VALUE!</v>
      </c>
      <c r="AG1009" s="3"/>
      <c r="AH1009" s="3"/>
      <c r="AI1009" s="3"/>
      <c r="AJ1009" s="3"/>
      <c r="AK1009" s="3"/>
    </row>
    <row r="1010" spans="1:37" ht="12.75" customHeight="1" x14ac:dyDescent="0.2">
      <c r="A1010" s="14"/>
      <c r="B1010" s="4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4"/>
      <c r="Y1010" s="4"/>
      <c r="Z1010" s="4"/>
      <c r="AA1010" s="4"/>
      <c r="AB1010" s="4"/>
      <c r="AC1010" s="4"/>
      <c r="AD1010" s="4"/>
      <c r="AE1010" s="4"/>
      <c r="AF1010" s="3"/>
      <c r="AG1010" s="3"/>
      <c r="AH1010" s="3"/>
      <c r="AI1010" s="3"/>
      <c r="AJ1010" s="3"/>
      <c r="AK1010" s="3"/>
    </row>
    <row r="1011" spans="1:37" ht="12.75" customHeight="1" x14ac:dyDescent="0.2">
      <c r="A1011" s="14"/>
      <c r="B1011" s="4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4"/>
      <c r="Y1011" s="4"/>
      <c r="Z1011" s="4"/>
      <c r="AA1011" s="4"/>
      <c r="AB1011" s="4"/>
      <c r="AC1011" s="4"/>
      <c r="AD1011" s="4"/>
      <c r="AE1011" s="4"/>
      <c r="AF1011" s="3"/>
      <c r="AG1011" s="3"/>
      <c r="AH1011" s="3"/>
      <c r="AI1011" s="3"/>
      <c r="AJ1011" s="3"/>
      <c r="AK1011" s="3"/>
    </row>
    <row r="1012" spans="1:37" ht="12.75" customHeight="1" x14ac:dyDescent="0.2">
      <c r="A1012" s="14"/>
      <c r="B1012" s="4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4"/>
      <c r="Y1012" s="4"/>
      <c r="Z1012" s="4"/>
      <c r="AA1012" s="4"/>
      <c r="AB1012" s="4"/>
      <c r="AC1012" s="4"/>
      <c r="AD1012" s="4"/>
      <c r="AE1012" s="4"/>
      <c r="AF1012" s="3"/>
      <c r="AG1012" s="3"/>
      <c r="AH1012" s="3"/>
      <c r="AI1012" s="3"/>
      <c r="AJ1012" s="3"/>
      <c r="AK1012" s="3"/>
    </row>
    <row r="1013" spans="1:37" ht="12.75" customHeight="1" x14ac:dyDescent="0.2">
      <c r="A1013" s="14"/>
      <c r="B1013" s="4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4"/>
      <c r="Y1013" s="4"/>
      <c r="Z1013" s="4"/>
      <c r="AA1013" s="4"/>
      <c r="AB1013" s="4"/>
      <c r="AC1013" s="4"/>
      <c r="AD1013" s="4"/>
      <c r="AE1013" s="4"/>
      <c r="AF1013" s="3"/>
      <c r="AG1013" s="3"/>
      <c r="AH1013" s="3"/>
      <c r="AI1013" s="3"/>
      <c r="AJ1013" s="3"/>
      <c r="AK1013" s="3"/>
    </row>
    <row r="1014" spans="1:37" ht="12.75" customHeight="1" x14ac:dyDescent="0.2">
      <c r="A1014" s="14"/>
      <c r="B1014" s="4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4"/>
      <c r="Y1014" s="4"/>
      <c r="Z1014" s="4"/>
      <c r="AA1014" s="4"/>
      <c r="AB1014" s="4"/>
      <c r="AC1014" s="4"/>
      <c r="AD1014" s="4"/>
      <c r="AE1014" s="4"/>
      <c r="AF1014" s="3"/>
      <c r="AG1014" s="3"/>
      <c r="AH1014" s="3"/>
      <c r="AI1014" s="3"/>
      <c r="AJ1014" s="3"/>
      <c r="AK1014" s="3"/>
    </row>
    <row r="1015" spans="1:37" ht="12.75" customHeight="1" x14ac:dyDescent="0.2">
      <c r="A1015" s="14"/>
      <c r="B1015" s="4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4"/>
      <c r="Y1015" s="4"/>
      <c r="Z1015" s="4"/>
      <c r="AA1015" s="4"/>
      <c r="AB1015" s="4"/>
      <c r="AC1015" s="4"/>
      <c r="AD1015" s="4"/>
      <c r="AE1015" s="4"/>
      <c r="AF1015" s="3"/>
      <c r="AG1015" s="3"/>
      <c r="AH1015" s="3"/>
      <c r="AI1015" s="3"/>
      <c r="AJ1015" s="3"/>
      <c r="AK1015" s="3"/>
    </row>
    <row r="1016" spans="1:37" ht="12.75" customHeight="1" x14ac:dyDescent="0.2">
      <c r="A1016" s="14"/>
      <c r="B1016" s="4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4"/>
      <c r="Y1016" s="4"/>
      <c r="Z1016" s="4"/>
      <c r="AA1016" s="4"/>
      <c r="AB1016" s="4"/>
      <c r="AC1016" s="4"/>
      <c r="AD1016" s="4"/>
      <c r="AE1016" s="4"/>
      <c r="AF1016" s="3"/>
      <c r="AG1016" s="3"/>
      <c r="AH1016" s="3"/>
      <c r="AI1016" s="3"/>
      <c r="AJ1016" s="3"/>
      <c r="AK1016" s="3"/>
    </row>
    <row r="1017" spans="1:37" ht="12.75" customHeight="1" x14ac:dyDescent="0.2">
      <c r="A1017" s="14"/>
      <c r="B1017" s="4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4"/>
      <c r="Y1017" s="4"/>
      <c r="Z1017" s="4"/>
      <c r="AA1017" s="4"/>
      <c r="AB1017" s="4"/>
      <c r="AC1017" s="4"/>
      <c r="AD1017" s="4"/>
      <c r="AE1017" s="4"/>
      <c r="AF1017" s="3"/>
      <c r="AG1017" s="3"/>
      <c r="AH1017" s="3"/>
      <c r="AI1017" s="3"/>
      <c r="AJ1017" s="3"/>
      <c r="AK1017" s="3"/>
    </row>
    <row r="1018" spans="1:37" ht="12.75" customHeight="1" x14ac:dyDescent="0.2">
      <c r="A1018" s="14"/>
      <c r="B1018" s="4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4"/>
      <c r="Y1018" s="4"/>
      <c r="Z1018" s="4"/>
      <c r="AA1018" s="4"/>
      <c r="AB1018" s="4"/>
      <c r="AC1018" s="4"/>
      <c r="AD1018" s="4"/>
      <c r="AE1018" s="4"/>
      <c r="AF1018" s="3"/>
      <c r="AG1018" s="3"/>
      <c r="AH1018" s="3"/>
      <c r="AI1018" s="3"/>
      <c r="AJ1018" s="3"/>
      <c r="AK1018" s="3"/>
    </row>
    <row r="1019" spans="1:37" ht="12.75" customHeight="1" x14ac:dyDescent="0.2">
      <c r="A1019" s="14"/>
      <c r="B1019" s="4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4"/>
      <c r="Y1019" s="4"/>
      <c r="Z1019" s="4"/>
      <c r="AA1019" s="4"/>
      <c r="AB1019" s="4"/>
      <c r="AC1019" s="4"/>
      <c r="AD1019" s="4"/>
      <c r="AE1019" s="4"/>
      <c r="AF1019" s="3"/>
      <c r="AG1019" s="3"/>
      <c r="AH1019" s="3"/>
      <c r="AI1019" s="3"/>
      <c r="AJ1019" s="3"/>
      <c r="AK1019" s="3"/>
    </row>
    <row r="1020" spans="1:37" ht="12.75" customHeight="1" x14ac:dyDescent="0.2">
      <c r="A1020" s="14"/>
      <c r="B1020" s="4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4"/>
      <c r="Y1020" s="4"/>
      <c r="Z1020" s="4"/>
      <c r="AA1020" s="4"/>
      <c r="AB1020" s="4"/>
      <c r="AC1020" s="4"/>
      <c r="AD1020" s="4"/>
      <c r="AE1020" s="4"/>
      <c r="AF1020" s="3"/>
      <c r="AG1020" s="3"/>
      <c r="AH1020" s="3"/>
      <c r="AI1020" s="3"/>
      <c r="AJ1020" s="3"/>
      <c r="AK1020" s="3"/>
    </row>
    <row r="1021" spans="1:37" ht="12.75" customHeight="1" x14ac:dyDescent="0.2">
      <c r="A1021" s="14"/>
      <c r="B1021" s="4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4"/>
      <c r="Y1021" s="4"/>
      <c r="Z1021" s="4"/>
      <c r="AA1021" s="4"/>
      <c r="AB1021" s="4"/>
      <c r="AC1021" s="4"/>
      <c r="AD1021" s="4"/>
      <c r="AE1021" s="4"/>
      <c r="AF1021" s="3"/>
      <c r="AG1021" s="3"/>
      <c r="AH1021" s="3"/>
      <c r="AI1021" s="3"/>
      <c r="AJ1021" s="3"/>
      <c r="AK1021" s="3"/>
    </row>
    <row r="1022" spans="1:37" ht="12.75" customHeight="1" x14ac:dyDescent="0.2">
      <c r="A1022" s="14"/>
      <c r="B1022" s="4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4"/>
      <c r="Y1022" s="4"/>
      <c r="Z1022" s="4"/>
      <c r="AA1022" s="4"/>
      <c r="AB1022" s="4"/>
      <c r="AC1022" s="4"/>
      <c r="AD1022" s="4"/>
      <c r="AE1022" s="4"/>
      <c r="AF1022" s="3"/>
      <c r="AG1022" s="3"/>
      <c r="AH1022" s="3"/>
      <c r="AI1022" s="3"/>
      <c r="AJ1022" s="3"/>
      <c r="AK1022" s="3"/>
    </row>
    <row r="1023" spans="1:37" ht="12.75" customHeight="1" x14ac:dyDescent="0.2">
      <c r="A1023" s="14"/>
      <c r="B1023" s="4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4"/>
      <c r="Y1023" s="4"/>
      <c r="Z1023" s="4"/>
      <c r="AA1023" s="4"/>
      <c r="AB1023" s="4"/>
      <c r="AC1023" s="4"/>
      <c r="AD1023" s="4"/>
      <c r="AE1023" s="4"/>
      <c r="AF1023" s="3"/>
      <c r="AG1023" s="3"/>
      <c r="AH1023" s="3"/>
      <c r="AI1023" s="3"/>
      <c r="AJ1023" s="3"/>
      <c r="AK1023" s="3"/>
    </row>
    <row r="1024" spans="1:37" ht="12.75" customHeight="1" x14ac:dyDescent="0.2">
      <c r="A1024" s="14"/>
      <c r="B1024" s="4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4"/>
      <c r="Y1024" s="4"/>
      <c r="Z1024" s="4"/>
      <c r="AA1024" s="4"/>
      <c r="AB1024" s="4"/>
      <c r="AC1024" s="4"/>
      <c r="AD1024" s="4"/>
      <c r="AE1024" s="4"/>
      <c r="AF1024" s="3"/>
      <c r="AG1024" s="3"/>
      <c r="AH1024" s="3"/>
      <c r="AI1024" s="3"/>
      <c r="AJ1024" s="3"/>
      <c r="AK1024" s="3"/>
    </row>
    <row r="1025" spans="1:37" ht="12.75" customHeight="1" x14ac:dyDescent="0.2">
      <c r="A1025" s="14"/>
      <c r="B1025" s="4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4"/>
      <c r="Y1025" s="4"/>
      <c r="Z1025" s="4"/>
      <c r="AA1025" s="4"/>
      <c r="AB1025" s="4"/>
      <c r="AC1025" s="4"/>
      <c r="AD1025" s="4"/>
      <c r="AE1025" s="4"/>
      <c r="AF1025" s="3"/>
      <c r="AG1025" s="3"/>
      <c r="AH1025" s="3"/>
      <c r="AI1025" s="3"/>
      <c r="AJ1025" s="3"/>
      <c r="AK1025" s="3"/>
    </row>
    <row r="1026" spans="1:37" ht="12.75" customHeight="1" x14ac:dyDescent="0.2">
      <c r="A1026" s="14"/>
      <c r="B1026" s="4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4"/>
      <c r="Y1026" s="4"/>
      <c r="Z1026" s="4"/>
      <c r="AA1026" s="4"/>
      <c r="AB1026" s="4"/>
      <c r="AC1026" s="4"/>
      <c r="AD1026" s="4"/>
      <c r="AE1026" s="4"/>
      <c r="AF1026" s="3"/>
      <c r="AG1026" s="3"/>
      <c r="AH1026" s="3"/>
      <c r="AI1026" s="3"/>
      <c r="AJ1026" s="3"/>
      <c r="AK1026" s="3"/>
    </row>
    <row r="1027" spans="1:37" ht="12.75" customHeight="1" x14ac:dyDescent="0.2">
      <c r="A1027" s="14"/>
      <c r="B1027" s="4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4"/>
      <c r="Y1027" s="4"/>
      <c r="Z1027" s="4"/>
      <c r="AA1027" s="4"/>
      <c r="AB1027" s="4"/>
      <c r="AC1027" s="4"/>
      <c r="AD1027" s="4"/>
      <c r="AE1027" s="4"/>
      <c r="AF1027" s="3"/>
      <c r="AG1027" s="3"/>
      <c r="AH1027" s="3"/>
      <c r="AI1027" s="3"/>
      <c r="AJ1027" s="3"/>
      <c r="AK1027" s="3"/>
    </row>
    <row r="1028" spans="1:37" ht="12.75" customHeight="1" x14ac:dyDescent="0.2">
      <c r="A1028" s="14"/>
      <c r="B1028" s="4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4"/>
      <c r="Y1028" s="4"/>
      <c r="Z1028" s="4"/>
      <c r="AA1028" s="4"/>
      <c r="AB1028" s="4"/>
      <c r="AC1028" s="4"/>
      <c r="AD1028" s="4"/>
      <c r="AE1028" s="4"/>
      <c r="AF1028" s="3"/>
      <c r="AG1028" s="3"/>
      <c r="AH1028" s="3"/>
      <c r="AI1028" s="3"/>
      <c r="AJ1028" s="3"/>
      <c r="AK1028" s="3"/>
    </row>
    <row r="1029" spans="1:37" ht="12.75" customHeight="1" x14ac:dyDescent="0.2">
      <c r="A1029" s="14"/>
      <c r="B1029" s="4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4"/>
      <c r="Y1029" s="4"/>
      <c r="Z1029" s="4"/>
      <c r="AA1029" s="4"/>
      <c r="AB1029" s="4"/>
      <c r="AC1029" s="4"/>
      <c r="AD1029" s="4"/>
      <c r="AE1029" s="4"/>
      <c r="AF1029" s="3"/>
      <c r="AG1029" s="3"/>
      <c r="AH1029" s="3"/>
      <c r="AI1029" s="3"/>
      <c r="AJ1029" s="3"/>
      <c r="AK1029" s="3"/>
    </row>
    <row r="1030" spans="1:37" ht="12.75" customHeight="1" x14ac:dyDescent="0.2">
      <c r="A1030" s="14"/>
      <c r="B1030" s="4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4"/>
      <c r="Y1030" s="4"/>
      <c r="Z1030" s="4"/>
      <c r="AA1030" s="4"/>
      <c r="AB1030" s="4"/>
      <c r="AC1030" s="4"/>
      <c r="AD1030" s="4"/>
      <c r="AE1030" s="4"/>
      <c r="AF1030" s="3"/>
      <c r="AG1030" s="3"/>
      <c r="AH1030" s="3"/>
      <c r="AI1030" s="3"/>
      <c r="AJ1030" s="3"/>
      <c r="AK1030" s="3"/>
    </row>
    <row r="1031" spans="1:37" ht="12.75" customHeight="1" x14ac:dyDescent="0.2">
      <c r="A1031" s="14"/>
      <c r="B1031" s="4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4"/>
      <c r="Y1031" s="4"/>
      <c r="Z1031" s="4"/>
      <c r="AA1031" s="4"/>
      <c r="AB1031" s="4"/>
      <c r="AC1031" s="4"/>
      <c r="AD1031" s="4"/>
      <c r="AE1031" s="4"/>
      <c r="AF1031" s="3"/>
      <c r="AG1031" s="3"/>
      <c r="AH1031" s="3"/>
      <c r="AI1031" s="3"/>
      <c r="AJ1031" s="3"/>
      <c r="AK1031" s="3"/>
    </row>
    <row r="1032" spans="1:37" ht="12.75" customHeight="1" x14ac:dyDescent="0.2">
      <c r="A1032" s="14"/>
      <c r="B1032" s="4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4"/>
      <c r="Y1032" s="4"/>
      <c r="Z1032" s="4"/>
      <c r="AA1032" s="4"/>
      <c r="AB1032" s="4"/>
      <c r="AC1032" s="4"/>
      <c r="AD1032" s="4"/>
      <c r="AE1032" s="4"/>
      <c r="AF1032" s="3"/>
      <c r="AG1032" s="3"/>
      <c r="AH1032" s="3"/>
      <c r="AI1032" s="3"/>
      <c r="AJ1032" s="3"/>
      <c r="AK1032" s="3"/>
    </row>
    <row r="1033" spans="1:37" ht="12.75" customHeight="1" x14ac:dyDescent="0.2">
      <c r="A1033" s="14"/>
      <c r="B1033" s="4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4"/>
      <c r="Y1033" s="4"/>
      <c r="Z1033" s="4"/>
      <c r="AA1033" s="4"/>
      <c r="AB1033" s="4"/>
      <c r="AC1033" s="4"/>
      <c r="AD1033" s="4"/>
      <c r="AE1033" s="4"/>
      <c r="AF1033" s="3"/>
      <c r="AG1033" s="3"/>
      <c r="AH1033" s="3"/>
      <c r="AI1033" s="3"/>
      <c r="AJ1033" s="3"/>
      <c r="AK1033" s="3"/>
    </row>
    <row r="1034" spans="1:37" ht="12.75" customHeight="1" x14ac:dyDescent="0.2">
      <c r="A1034" s="14"/>
      <c r="B1034" s="4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4"/>
      <c r="Y1034" s="4"/>
      <c r="Z1034" s="4"/>
      <c r="AA1034" s="4"/>
      <c r="AB1034" s="4"/>
      <c r="AC1034" s="4"/>
      <c r="AD1034" s="4"/>
      <c r="AE1034" s="4"/>
      <c r="AF1034" s="3"/>
      <c r="AG1034" s="3"/>
      <c r="AH1034" s="3"/>
      <c r="AI1034" s="3"/>
      <c r="AJ1034" s="3"/>
      <c r="AK1034" s="3"/>
    </row>
    <row r="1035" spans="1:37" ht="12.75" customHeight="1" x14ac:dyDescent="0.2">
      <c r="A1035" s="14"/>
      <c r="B1035" s="4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4"/>
      <c r="Y1035" s="4"/>
      <c r="Z1035" s="4"/>
      <c r="AA1035" s="4"/>
      <c r="AB1035" s="4"/>
      <c r="AC1035" s="4"/>
      <c r="AD1035" s="4"/>
      <c r="AE1035" s="4"/>
      <c r="AF1035" s="3"/>
      <c r="AG1035" s="3"/>
      <c r="AH1035" s="3"/>
      <c r="AI1035" s="3"/>
      <c r="AJ1035" s="3"/>
      <c r="AK1035" s="3"/>
    </row>
    <row r="1036" spans="1:37" ht="12.75" customHeight="1" x14ac:dyDescent="0.2">
      <c r="A1036" s="14"/>
      <c r="B1036" s="4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4"/>
      <c r="Y1036" s="4"/>
      <c r="Z1036" s="4"/>
      <c r="AA1036" s="4"/>
      <c r="AB1036" s="4"/>
      <c r="AC1036" s="4"/>
      <c r="AD1036" s="4"/>
      <c r="AE1036" s="4"/>
      <c r="AF1036" s="3"/>
      <c r="AG1036" s="3"/>
      <c r="AH1036" s="3"/>
      <c r="AI1036" s="3"/>
      <c r="AJ1036" s="3"/>
      <c r="AK1036" s="3"/>
    </row>
    <row r="1037" spans="1:37" ht="12.75" customHeight="1" x14ac:dyDescent="0.2">
      <c r="A1037" s="14"/>
      <c r="B1037" s="4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4"/>
      <c r="Y1037" s="4"/>
      <c r="Z1037" s="4"/>
      <c r="AA1037" s="4"/>
      <c r="AB1037" s="4"/>
      <c r="AC1037" s="4"/>
      <c r="AD1037" s="4"/>
      <c r="AE1037" s="4"/>
      <c r="AF1037" s="3"/>
      <c r="AG1037" s="3"/>
      <c r="AH1037" s="3"/>
      <c r="AI1037" s="3"/>
      <c r="AJ1037" s="3"/>
      <c r="AK1037" s="3"/>
    </row>
    <row r="1038" spans="1:37" ht="12.75" customHeight="1" x14ac:dyDescent="0.2">
      <c r="A1038" s="14"/>
      <c r="B1038" s="4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4"/>
      <c r="Y1038" s="4"/>
      <c r="Z1038" s="4"/>
      <c r="AA1038" s="4"/>
      <c r="AB1038" s="4"/>
      <c r="AC1038" s="4"/>
      <c r="AD1038" s="4"/>
      <c r="AE1038" s="4"/>
      <c r="AF1038" s="3"/>
      <c r="AG1038" s="3"/>
      <c r="AH1038" s="3"/>
      <c r="AI1038" s="3"/>
      <c r="AJ1038" s="3"/>
      <c r="AK1038" s="3"/>
    </row>
    <row r="1039" spans="1:37" ht="12.75" customHeight="1" x14ac:dyDescent="0.2">
      <c r="A1039" s="14"/>
      <c r="B1039" s="4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4"/>
      <c r="Y1039" s="4"/>
      <c r="Z1039" s="4"/>
      <c r="AA1039" s="4"/>
      <c r="AB1039" s="4"/>
      <c r="AC1039" s="4"/>
      <c r="AD1039" s="4"/>
      <c r="AE1039" s="4"/>
      <c r="AF1039" s="3"/>
      <c r="AG1039" s="3"/>
      <c r="AH1039" s="3"/>
      <c r="AI1039" s="3"/>
      <c r="AJ1039" s="3"/>
      <c r="AK1039" s="3"/>
    </row>
    <row r="1040" spans="1:37" ht="12.75" customHeight="1" x14ac:dyDescent="0.2">
      <c r="A1040" s="14"/>
      <c r="B1040" s="4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4"/>
      <c r="Y1040" s="4"/>
      <c r="Z1040" s="4"/>
      <c r="AA1040" s="4"/>
      <c r="AB1040" s="4"/>
      <c r="AC1040" s="4"/>
      <c r="AD1040" s="4"/>
      <c r="AE1040" s="4"/>
      <c r="AF1040" s="3"/>
      <c r="AG1040" s="3"/>
      <c r="AH1040" s="3"/>
      <c r="AI1040" s="3"/>
      <c r="AJ1040" s="3"/>
      <c r="AK1040" s="3"/>
    </row>
    <row r="1041" spans="1:37" ht="12.75" customHeight="1" x14ac:dyDescent="0.2">
      <c r="A1041" s="14"/>
      <c r="B1041" s="4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4"/>
      <c r="Y1041" s="4"/>
      <c r="Z1041" s="4"/>
      <c r="AA1041" s="4"/>
      <c r="AB1041" s="4"/>
      <c r="AC1041" s="4"/>
      <c r="AD1041" s="4"/>
      <c r="AE1041" s="4"/>
      <c r="AF1041" s="3"/>
      <c r="AG1041" s="3"/>
      <c r="AH1041" s="3"/>
      <c r="AI1041" s="3"/>
      <c r="AJ1041" s="3"/>
      <c r="AK1041" s="3"/>
    </row>
    <row r="1042" spans="1:37" ht="12.75" customHeight="1" x14ac:dyDescent="0.2">
      <c r="A1042" s="14"/>
      <c r="B1042" s="4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4"/>
      <c r="Y1042" s="4"/>
      <c r="Z1042" s="4"/>
      <c r="AA1042" s="4"/>
      <c r="AB1042" s="4"/>
      <c r="AC1042" s="4"/>
      <c r="AD1042" s="4"/>
      <c r="AE1042" s="4"/>
      <c r="AF1042" s="3"/>
      <c r="AG1042" s="3"/>
      <c r="AH1042" s="3"/>
      <c r="AI1042" s="3"/>
      <c r="AJ1042" s="3"/>
      <c r="AK1042" s="3"/>
    </row>
    <row r="1043" spans="1:37" ht="12.75" customHeight="1" x14ac:dyDescent="0.2">
      <c r="A1043" s="14"/>
      <c r="B1043" s="4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4"/>
      <c r="Y1043" s="4"/>
      <c r="Z1043" s="4"/>
      <c r="AA1043" s="4"/>
      <c r="AB1043" s="4"/>
      <c r="AC1043" s="4"/>
      <c r="AD1043" s="4"/>
      <c r="AE1043" s="4"/>
      <c r="AF1043" s="3"/>
      <c r="AG1043" s="3"/>
      <c r="AH1043" s="3"/>
      <c r="AI1043" s="3"/>
      <c r="AJ1043" s="3"/>
      <c r="AK1043" s="3"/>
    </row>
    <row r="1044" spans="1:37" ht="12.75" customHeight="1" x14ac:dyDescent="0.2">
      <c r="A1044" s="14"/>
      <c r="B1044" s="4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4"/>
      <c r="Y1044" s="4"/>
      <c r="Z1044" s="4"/>
      <c r="AA1044" s="4"/>
      <c r="AB1044" s="4"/>
      <c r="AC1044" s="4"/>
      <c r="AD1044" s="4"/>
      <c r="AE1044" s="4"/>
      <c r="AF1044" s="3"/>
      <c r="AG1044" s="3"/>
      <c r="AH1044" s="3"/>
      <c r="AI1044" s="3"/>
      <c r="AJ1044" s="3"/>
      <c r="AK1044" s="3"/>
    </row>
    <row r="1045" spans="1:37" ht="12.75" customHeight="1" x14ac:dyDescent="0.2">
      <c r="A1045" s="14"/>
      <c r="B1045" s="4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4"/>
      <c r="Y1045" s="4"/>
      <c r="Z1045" s="4"/>
      <c r="AA1045" s="4"/>
      <c r="AB1045" s="4"/>
      <c r="AC1045" s="4"/>
      <c r="AD1045" s="4"/>
      <c r="AE1045" s="4"/>
      <c r="AF1045" s="3"/>
      <c r="AG1045" s="3"/>
      <c r="AH1045" s="3"/>
      <c r="AI1045" s="3"/>
      <c r="AJ1045" s="3"/>
      <c r="AK1045" s="3"/>
    </row>
    <row r="1046" spans="1:37" ht="12.75" customHeight="1" x14ac:dyDescent="0.2">
      <c r="A1046" s="14"/>
      <c r="B1046" s="4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4"/>
      <c r="Y1046" s="4"/>
      <c r="Z1046" s="4"/>
      <c r="AA1046" s="4"/>
      <c r="AB1046" s="4"/>
      <c r="AC1046" s="4"/>
      <c r="AD1046" s="4"/>
      <c r="AE1046" s="4"/>
      <c r="AF1046" s="3"/>
      <c r="AG1046" s="3"/>
      <c r="AH1046" s="3"/>
      <c r="AI1046" s="3"/>
      <c r="AJ1046" s="3"/>
      <c r="AK1046" s="3"/>
    </row>
    <row r="1047" spans="1:37" ht="12.75" customHeight="1" x14ac:dyDescent="0.2">
      <c r="A1047" s="14"/>
      <c r="B1047" s="4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4"/>
      <c r="Y1047" s="4"/>
      <c r="Z1047" s="4"/>
      <c r="AA1047" s="4"/>
      <c r="AB1047" s="4"/>
      <c r="AC1047" s="4"/>
      <c r="AD1047" s="4"/>
      <c r="AE1047" s="4"/>
      <c r="AF1047" s="3"/>
      <c r="AG1047" s="3"/>
      <c r="AH1047" s="3"/>
      <c r="AI1047" s="3"/>
      <c r="AJ1047" s="3"/>
      <c r="AK1047" s="3"/>
    </row>
    <row r="1048" spans="1:37" ht="12.75" customHeight="1" x14ac:dyDescent="0.2">
      <c r="A1048" s="14"/>
      <c r="B1048" s="4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4"/>
      <c r="Y1048" s="4"/>
      <c r="Z1048" s="4"/>
      <c r="AA1048" s="4"/>
      <c r="AB1048" s="4"/>
      <c r="AC1048" s="4"/>
      <c r="AD1048" s="4"/>
      <c r="AE1048" s="4"/>
      <c r="AF1048" s="3"/>
      <c r="AG1048" s="3"/>
      <c r="AH1048" s="3"/>
      <c r="AI1048" s="3"/>
      <c r="AJ1048" s="3"/>
      <c r="AK1048" s="3"/>
    </row>
    <row r="1049" spans="1:37" ht="12.75" customHeight="1" x14ac:dyDescent="0.2">
      <c r="A1049" s="14"/>
      <c r="B1049" s="4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4"/>
      <c r="Y1049" s="4"/>
      <c r="Z1049" s="4"/>
      <c r="AA1049" s="4"/>
      <c r="AB1049" s="4"/>
      <c r="AC1049" s="4"/>
      <c r="AD1049" s="4"/>
      <c r="AE1049" s="4"/>
      <c r="AF1049" s="3"/>
      <c r="AG1049" s="3"/>
      <c r="AH1049" s="3"/>
      <c r="AI1049" s="3"/>
      <c r="AJ1049" s="3"/>
      <c r="AK1049" s="3"/>
    </row>
    <row r="1050" spans="1:37" ht="12.75" customHeight="1" x14ac:dyDescent="0.2">
      <c r="A1050" s="14"/>
      <c r="B1050" s="4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4"/>
      <c r="Y1050" s="4"/>
      <c r="Z1050" s="4"/>
      <c r="AA1050" s="4"/>
      <c r="AB1050" s="4"/>
      <c r="AC1050" s="4"/>
      <c r="AD1050" s="4"/>
      <c r="AE1050" s="4"/>
      <c r="AF1050" s="3"/>
      <c r="AG1050" s="3"/>
      <c r="AH1050" s="3"/>
      <c r="AI1050" s="3"/>
      <c r="AJ1050" s="3"/>
      <c r="AK1050" s="3"/>
    </row>
    <row r="1051" spans="1:37" ht="12.75" customHeight="1" x14ac:dyDescent="0.2">
      <c r="A1051" s="14"/>
      <c r="B1051" s="4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4"/>
      <c r="Y1051" s="4"/>
      <c r="Z1051" s="4"/>
      <c r="AA1051" s="4"/>
      <c r="AB1051" s="4"/>
      <c r="AC1051" s="4"/>
      <c r="AD1051" s="4"/>
      <c r="AE1051" s="4"/>
      <c r="AF1051" s="3"/>
      <c r="AG1051" s="3"/>
      <c r="AH1051" s="3"/>
      <c r="AI1051" s="3"/>
      <c r="AJ1051" s="3"/>
      <c r="AK1051" s="3"/>
    </row>
    <row r="1052" spans="1:37" ht="12.75" customHeight="1" x14ac:dyDescent="0.2">
      <c r="A1052" s="14"/>
      <c r="B1052" s="4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4"/>
      <c r="Y1052" s="4"/>
      <c r="Z1052" s="4"/>
      <c r="AA1052" s="4"/>
      <c r="AB1052" s="4"/>
      <c r="AC1052" s="4"/>
      <c r="AD1052" s="4"/>
      <c r="AE1052" s="4"/>
      <c r="AF1052" s="3"/>
      <c r="AG1052" s="3"/>
      <c r="AH1052" s="3"/>
      <c r="AI1052" s="3"/>
      <c r="AJ1052" s="3"/>
      <c r="AK1052" s="3"/>
    </row>
    <row r="1053" spans="1:37" ht="12.75" customHeight="1" x14ac:dyDescent="0.2">
      <c r="A1053" s="14"/>
      <c r="B1053" s="4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4"/>
      <c r="Y1053" s="4"/>
      <c r="Z1053" s="4"/>
      <c r="AA1053" s="4"/>
      <c r="AB1053" s="4"/>
      <c r="AC1053" s="4"/>
      <c r="AD1053" s="4"/>
      <c r="AE1053" s="4"/>
      <c r="AF1053" s="3"/>
      <c r="AG1053" s="3"/>
      <c r="AH1053" s="3"/>
      <c r="AI1053" s="3"/>
      <c r="AJ1053" s="3"/>
      <c r="AK1053" s="3"/>
    </row>
    <row r="1054" spans="1:37" ht="12.75" customHeight="1" x14ac:dyDescent="0.2">
      <c r="A1054" s="14"/>
      <c r="B1054" s="4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4"/>
      <c r="Y1054" s="4"/>
      <c r="Z1054" s="4"/>
      <c r="AA1054" s="4"/>
      <c r="AB1054" s="4"/>
      <c r="AC1054" s="4"/>
      <c r="AD1054" s="4"/>
      <c r="AE1054" s="4"/>
      <c r="AF1054" s="3"/>
      <c r="AG1054" s="3"/>
      <c r="AH1054" s="3"/>
      <c r="AI1054" s="3"/>
      <c r="AJ1054" s="3"/>
      <c r="AK1054" s="3"/>
    </row>
    <row r="1055" spans="1:37" ht="12.75" customHeight="1" x14ac:dyDescent="0.2">
      <c r="A1055" s="14"/>
      <c r="B1055" s="4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4"/>
      <c r="Y1055" s="4"/>
      <c r="Z1055" s="4"/>
      <c r="AA1055" s="4"/>
      <c r="AB1055" s="4"/>
      <c r="AC1055" s="4"/>
      <c r="AD1055" s="4"/>
      <c r="AE1055" s="4"/>
      <c r="AF1055" s="3"/>
      <c r="AG1055" s="3"/>
      <c r="AH1055" s="3"/>
      <c r="AI1055" s="3"/>
      <c r="AJ1055" s="3"/>
      <c r="AK1055" s="3"/>
    </row>
    <row r="1056" spans="1:37" ht="12.75" customHeight="1" x14ac:dyDescent="0.2">
      <c r="A1056" s="14"/>
      <c r="B1056" s="4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4"/>
      <c r="Y1056" s="4"/>
      <c r="Z1056" s="4"/>
      <c r="AA1056" s="4"/>
      <c r="AB1056" s="4"/>
      <c r="AC1056" s="4"/>
      <c r="AD1056" s="4"/>
      <c r="AE1056" s="4"/>
      <c r="AF1056" s="3"/>
      <c r="AG1056" s="3"/>
      <c r="AH1056" s="3"/>
      <c r="AI1056" s="3"/>
      <c r="AJ1056" s="3"/>
      <c r="AK1056" s="3"/>
    </row>
    <row r="1057" spans="1:37" ht="12.75" customHeight="1" x14ac:dyDescent="0.2">
      <c r="A1057" s="14"/>
      <c r="B1057" s="4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4"/>
      <c r="Y1057" s="4"/>
      <c r="Z1057" s="4"/>
      <c r="AA1057" s="4"/>
      <c r="AB1057" s="4"/>
      <c r="AC1057" s="4"/>
      <c r="AD1057" s="4"/>
      <c r="AE1057" s="4"/>
      <c r="AF1057" s="3"/>
      <c r="AG1057" s="3"/>
      <c r="AH1057" s="3"/>
      <c r="AI1057" s="3"/>
      <c r="AJ1057" s="3"/>
      <c r="AK1057" s="3"/>
    </row>
    <row r="1058" spans="1:37" ht="12.75" customHeight="1" x14ac:dyDescent="0.2">
      <c r="A1058" s="14"/>
      <c r="B1058" s="4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4"/>
      <c r="Y1058" s="4"/>
      <c r="Z1058" s="4"/>
      <c r="AA1058" s="4"/>
      <c r="AB1058" s="4"/>
      <c r="AC1058" s="4"/>
      <c r="AD1058" s="4"/>
      <c r="AE1058" s="4"/>
      <c r="AF1058" s="3"/>
      <c r="AG1058" s="3"/>
      <c r="AH1058" s="3"/>
      <c r="AI1058" s="3"/>
      <c r="AJ1058" s="3"/>
      <c r="AK1058" s="3"/>
    </row>
    <row r="1059" spans="1:37" ht="12.75" customHeight="1" x14ac:dyDescent="0.2">
      <c r="A1059" s="14"/>
      <c r="B1059" s="4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4"/>
      <c r="Y1059" s="4"/>
      <c r="Z1059" s="4"/>
      <c r="AA1059" s="4"/>
      <c r="AB1059" s="4"/>
      <c r="AC1059" s="4"/>
      <c r="AD1059" s="4"/>
      <c r="AE1059" s="4"/>
      <c r="AF1059" s="3"/>
      <c r="AG1059" s="3"/>
      <c r="AH1059" s="3"/>
      <c r="AI1059" s="3"/>
      <c r="AJ1059" s="3"/>
      <c r="AK1059" s="3"/>
    </row>
    <row r="1060" spans="1:37" ht="12.75" customHeight="1" x14ac:dyDescent="0.2">
      <c r="A1060" s="14"/>
      <c r="B1060" s="4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4"/>
      <c r="Y1060" s="4"/>
      <c r="Z1060" s="4"/>
      <c r="AA1060" s="4"/>
      <c r="AB1060" s="4"/>
      <c r="AC1060" s="4"/>
      <c r="AD1060" s="4"/>
      <c r="AE1060" s="4"/>
      <c r="AF1060" s="3"/>
      <c r="AG1060" s="3"/>
      <c r="AH1060" s="3"/>
      <c r="AI1060" s="3"/>
      <c r="AJ1060" s="3"/>
      <c r="AK1060" s="3"/>
    </row>
    <row r="1061" spans="1:37" ht="12.75" customHeight="1" x14ac:dyDescent="0.2">
      <c r="A1061" s="14"/>
      <c r="B1061" s="4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4"/>
      <c r="Y1061" s="4"/>
      <c r="Z1061" s="4"/>
      <c r="AA1061" s="4"/>
      <c r="AB1061" s="4"/>
      <c r="AC1061" s="4"/>
      <c r="AD1061" s="4"/>
      <c r="AE1061" s="4"/>
      <c r="AF1061" s="3"/>
      <c r="AG1061" s="3"/>
      <c r="AH1061" s="3"/>
      <c r="AI1061" s="3"/>
      <c r="AJ1061" s="3"/>
      <c r="AK1061" s="3"/>
    </row>
    <row r="1062" spans="1:37" ht="12.75" customHeight="1" x14ac:dyDescent="0.2">
      <c r="A1062" s="14"/>
      <c r="B1062" s="4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4"/>
      <c r="Y1062" s="4"/>
      <c r="Z1062" s="4"/>
      <c r="AA1062" s="4"/>
      <c r="AB1062" s="4"/>
      <c r="AC1062" s="4"/>
      <c r="AD1062" s="4"/>
      <c r="AE1062" s="4"/>
      <c r="AF1062" s="3"/>
      <c r="AG1062" s="3"/>
      <c r="AH1062" s="3"/>
      <c r="AI1062" s="3"/>
      <c r="AJ1062" s="3"/>
      <c r="AK1062" s="3"/>
    </row>
    <row r="1063" spans="1:37" ht="12.75" customHeight="1" x14ac:dyDescent="0.2">
      <c r="A1063" s="14"/>
      <c r="B1063" s="4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4"/>
      <c r="Y1063" s="4"/>
      <c r="Z1063" s="4"/>
      <c r="AA1063" s="4"/>
      <c r="AB1063" s="4"/>
      <c r="AC1063" s="4"/>
      <c r="AD1063" s="4"/>
      <c r="AE1063" s="4"/>
      <c r="AF1063" s="3"/>
      <c r="AG1063" s="3"/>
      <c r="AH1063" s="3"/>
      <c r="AI1063" s="3"/>
      <c r="AJ1063" s="3"/>
      <c r="AK1063" s="3"/>
    </row>
    <row r="1064" spans="1:37" ht="12.75" customHeight="1" x14ac:dyDescent="0.2">
      <c r="A1064" s="14"/>
      <c r="B1064" s="4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4"/>
      <c r="Y1064" s="4"/>
      <c r="Z1064" s="4"/>
      <c r="AA1064" s="4"/>
      <c r="AB1064" s="4"/>
      <c r="AC1064" s="4"/>
      <c r="AD1064" s="4"/>
      <c r="AE1064" s="4"/>
      <c r="AF1064" s="3"/>
      <c r="AG1064" s="3"/>
      <c r="AH1064" s="3"/>
      <c r="AI1064" s="3"/>
      <c r="AJ1064" s="3"/>
      <c r="AK1064" s="3"/>
    </row>
    <row r="1065" spans="1:37" ht="12.75" customHeight="1" x14ac:dyDescent="0.2">
      <c r="A1065" s="14"/>
      <c r="B1065" s="4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4"/>
      <c r="Y1065" s="4"/>
      <c r="Z1065" s="4"/>
      <c r="AA1065" s="4"/>
      <c r="AB1065" s="4"/>
      <c r="AC1065" s="4"/>
      <c r="AD1065" s="4"/>
      <c r="AE1065" s="4"/>
      <c r="AF1065" s="3"/>
      <c r="AG1065" s="3"/>
      <c r="AH1065" s="3"/>
      <c r="AI1065" s="3"/>
      <c r="AJ1065" s="3"/>
      <c r="AK1065" s="3"/>
    </row>
    <row r="1066" spans="1:37" ht="12.75" customHeight="1" x14ac:dyDescent="0.2">
      <c r="A1066" s="14"/>
      <c r="B1066" s="4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4"/>
      <c r="Y1066" s="4"/>
      <c r="Z1066" s="4"/>
      <c r="AA1066" s="4"/>
      <c r="AB1066" s="4"/>
      <c r="AC1066" s="4"/>
      <c r="AD1066" s="4"/>
      <c r="AE1066" s="4"/>
      <c r="AF1066" s="3"/>
      <c r="AG1066" s="3"/>
      <c r="AH1066" s="3"/>
      <c r="AI1066" s="3"/>
      <c r="AJ1066" s="3"/>
      <c r="AK1066" s="3"/>
    </row>
    <row r="1067" spans="1:37" ht="12.75" customHeight="1" x14ac:dyDescent="0.2">
      <c r="A1067" s="14"/>
      <c r="B1067" s="4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4"/>
      <c r="Y1067" s="4"/>
      <c r="Z1067" s="4"/>
      <c r="AA1067" s="4"/>
      <c r="AB1067" s="4"/>
      <c r="AC1067" s="4"/>
      <c r="AD1067" s="4"/>
      <c r="AE1067" s="4"/>
      <c r="AF1067" s="3"/>
      <c r="AG1067" s="3"/>
      <c r="AH1067" s="3"/>
      <c r="AI1067" s="3"/>
      <c r="AJ1067" s="3"/>
      <c r="AK1067" s="3"/>
    </row>
    <row r="1068" spans="1:37" ht="12.75" customHeight="1" x14ac:dyDescent="0.2">
      <c r="A1068" s="14"/>
      <c r="B1068" s="4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4"/>
      <c r="Y1068" s="4"/>
      <c r="Z1068" s="4"/>
      <c r="AA1068" s="4"/>
      <c r="AB1068" s="4"/>
      <c r="AC1068" s="4"/>
      <c r="AD1068" s="4"/>
      <c r="AE1068" s="4"/>
      <c r="AF1068" s="3"/>
      <c r="AG1068" s="3"/>
      <c r="AH1068" s="3"/>
      <c r="AI1068" s="3"/>
      <c r="AJ1068" s="3"/>
      <c r="AK1068" s="3"/>
    </row>
    <row r="1069" spans="1:37" ht="12.75" customHeight="1" x14ac:dyDescent="0.2">
      <c r="A1069" s="14"/>
      <c r="B1069" s="4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4"/>
      <c r="Y1069" s="4"/>
      <c r="Z1069" s="4"/>
      <c r="AA1069" s="4"/>
      <c r="AB1069" s="4"/>
      <c r="AC1069" s="4"/>
      <c r="AD1069" s="4"/>
      <c r="AE1069" s="4"/>
      <c r="AF1069" s="3"/>
      <c r="AG1069" s="3"/>
      <c r="AH1069" s="3"/>
      <c r="AI1069" s="3"/>
      <c r="AJ1069" s="3"/>
      <c r="AK1069" s="3"/>
    </row>
    <row r="1070" spans="1:37" ht="12.75" customHeight="1" x14ac:dyDescent="0.2">
      <c r="A1070" s="14"/>
      <c r="B1070" s="4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4"/>
      <c r="Y1070" s="4"/>
      <c r="Z1070" s="4"/>
      <c r="AA1070" s="4"/>
      <c r="AB1070" s="4"/>
      <c r="AC1070" s="4"/>
      <c r="AD1070" s="4"/>
      <c r="AE1070" s="4"/>
      <c r="AF1070" s="3"/>
      <c r="AG1070" s="3"/>
      <c r="AH1070" s="3"/>
      <c r="AI1070" s="3"/>
      <c r="AJ1070" s="3"/>
      <c r="AK1070" s="3"/>
    </row>
    <row r="1071" spans="1:37" ht="12.75" customHeight="1" x14ac:dyDescent="0.2">
      <c r="A1071" s="14"/>
      <c r="B1071" s="4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4"/>
      <c r="Y1071" s="4"/>
      <c r="Z1071" s="4"/>
      <c r="AA1071" s="4"/>
      <c r="AB1071" s="4"/>
      <c r="AC1071" s="4"/>
      <c r="AD1071" s="4"/>
      <c r="AE1071" s="4"/>
      <c r="AF1071" s="3"/>
      <c r="AG1071" s="3"/>
      <c r="AH1071" s="3"/>
      <c r="AI1071" s="3"/>
      <c r="AJ1071" s="3"/>
      <c r="AK1071" s="3"/>
    </row>
    <row r="1072" spans="1:37" ht="12.75" customHeight="1" x14ac:dyDescent="0.2">
      <c r="A1072" s="14"/>
      <c r="B1072" s="4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4"/>
      <c r="Y1072" s="4"/>
      <c r="Z1072" s="4"/>
      <c r="AA1072" s="4"/>
      <c r="AB1072" s="4"/>
      <c r="AC1072" s="4"/>
      <c r="AD1072" s="4"/>
      <c r="AE1072" s="4"/>
      <c r="AF1072" s="3"/>
      <c r="AG1072" s="3"/>
      <c r="AH1072" s="3"/>
      <c r="AI1072" s="3"/>
      <c r="AJ1072" s="3"/>
      <c r="AK1072" s="3"/>
    </row>
    <row r="1073" spans="1:37" ht="12.75" customHeight="1" x14ac:dyDescent="0.2">
      <c r="A1073" s="14"/>
      <c r="B1073" s="4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4"/>
      <c r="Y1073" s="4"/>
      <c r="Z1073" s="4"/>
      <c r="AA1073" s="4"/>
      <c r="AB1073" s="4"/>
      <c r="AC1073" s="4"/>
      <c r="AD1073" s="4"/>
      <c r="AE1073" s="4"/>
      <c r="AF1073" s="3"/>
      <c r="AG1073" s="3"/>
      <c r="AH1073" s="3"/>
      <c r="AI1073" s="3"/>
      <c r="AJ1073" s="3"/>
      <c r="AK1073" s="3"/>
    </row>
    <row r="1074" spans="1:37" ht="12.75" customHeight="1" x14ac:dyDescent="0.2">
      <c r="A1074" s="14"/>
      <c r="B1074" s="4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4"/>
      <c r="Y1074" s="4"/>
      <c r="Z1074" s="4"/>
      <c r="AA1074" s="4"/>
      <c r="AB1074" s="4"/>
      <c r="AC1074" s="4"/>
      <c r="AD1074" s="4"/>
      <c r="AE1074" s="4"/>
      <c r="AF1074" s="3"/>
      <c r="AG1074" s="3"/>
      <c r="AH1074" s="3"/>
      <c r="AI1074" s="3"/>
      <c r="AJ1074" s="3"/>
      <c r="AK1074" s="3"/>
    </row>
    <row r="1075" spans="1:37" ht="12.75" customHeight="1" x14ac:dyDescent="0.2">
      <c r="A1075" s="14"/>
      <c r="B1075" s="4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4"/>
      <c r="Y1075" s="4"/>
      <c r="Z1075" s="4"/>
      <c r="AA1075" s="4"/>
      <c r="AB1075" s="4"/>
      <c r="AC1075" s="4"/>
      <c r="AD1075" s="4"/>
      <c r="AE1075" s="4"/>
      <c r="AF1075" s="3"/>
      <c r="AG1075" s="3"/>
      <c r="AH1075" s="3"/>
      <c r="AI1075" s="3"/>
      <c r="AJ1075" s="3"/>
      <c r="AK1075" s="3"/>
    </row>
    <row r="1076" spans="1:37" ht="12.75" customHeight="1" x14ac:dyDescent="0.2">
      <c r="A1076" s="14"/>
      <c r="B1076" s="4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4"/>
      <c r="Y1076" s="4"/>
      <c r="Z1076" s="4"/>
      <c r="AA1076" s="4"/>
      <c r="AB1076" s="4"/>
      <c r="AC1076" s="4"/>
      <c r="AD1076" s="4"/>
      <c r="AE1076" s="4"/>
      <c r="AF1076" s="3"/>
      <c r="AG1076" s="3"/>
      <c r="AH1076" s="3"/>
      <c r="AI1076" s="3"/>
      <c r="AJ1076" s="3"/>
      <c r="AK1076" s="3"/>
    </row>
    <row r="1077" spans="1:37" ht="12.75" customHeight="1" x14ac:dyDescent="0.2">
      <c r="A1077" s="14"/>
      <c r="B1077" s="4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4"/>
      <c r="Y1077" s="4"/>
      <c r="Z1077" s="4"/>
      <c r="AA1077" s="4"/>
      <c r="AB1077" s="4"/>
      <c r="AC1077" s="4"/>
      <c r="AD1077" s="4"/>
      <c r="AE1077" s="4"/>
      <c r="AF1077" s="3"/>
      <c r="AG1077" s="3"/>
      <c r="AH1077" s="3"/>
      <c r="AI1077" s="3"/>
      <c r="AJ1077" s="3"/>
      <c r="AK1077" s="3"/>
    </row>
    <row r="1078" spans="1:37" ht="12.75" customHeight="1" x14ac:dyDescent="0.2">
      <c r="A1078" s="14"/>
      <c r="B1078" s="4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4"/>
      <c r="Y1078" s="4"/>
      <c r="Z1078" s="4"/>
      <c r="AA1078" s="4"/>
      <c r="AB1078" s="4"/>
      <c r="AC1078" s="4"/>
      <c r="AD1078" s="4"/>
      <c r="AE1078" s="4"/>
      <c r="AF1078" s="3"/>
      <c r="AG1078" s="3"/>
      <c r="AH1078" s="3"/>
      <c r="AI1078" s="3"/>
      <c r="AJ1078" s="3"/>
      <c r="AK1078" s="3"/>
    </row>
    <row r="1079" spans="1:37" ht="12.75" customHeight="1" x14ac:dyDescent="0.2">
      <c r="A1079" s="14"/>
      <c r="B1079" s="4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4"/>
      <c r="Y1079" s="4"/>
      <c r="Z1079" s="4"/>
      <c r="AA1079" s="4"/>
      <c r="AB1079" s="4"/>
      <c r="AC1079" s="4"/>
      <c r="AD1079" s="4"/>
      <c r="AE1079" s="4"/>
      <c r="AF1079" s="3"/>
      <c r="AG1079" s="3"/>
      <c r="AH1079" s="3"/>
      <c r="AI1079" s="3"/>
      <c r="AJ1079" s="3"/>
      <c r="AK1079" s="3"/>
    </row>
    <row r="1080" spans="1:37" ht="12.75" customHeight="1" x14ac:dyDescent="0.2">
      <c r="A1080" s="14"/>
      <c r="B1080" s="4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4"/>
      <c r="Y1080" s="4"/>
      <c r="Z1080" s="4"/>
      <c r="AA1080" s="4"/>
      <c r="AB1080" s="4"/>
      <c r="AC1080" s="4"/>
      <c r="AD1080" s="4"/>
      <c r="AE1080" s="4"/>
      <c r="AF1080" s="3"/>
      <c r="AG1080" s="3"/>
      <c r="AH1080" s="3"/>
      <c r="AI1080" s="3"/>
      <c r="AJ1080" s="3"/>
      <c r="AK1080" s="3"/>
    </row>
    <row r="1081" spans="1:37" ht="12.75" customHeight="1" x14ac:dyDescent="0.2">
      <c r="A1081" s="14"/>
      <c r="B1081" s="4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4"/>
      <c r="Y1081" s="4"/>
      <c r="Z1081" s="4"/>
      <c r="AA1081" s="4"/>
      <c r="AB1081" s="4"/>
      <c r="AC1081" s="4"/>
      <c r="AD1081" s="4"/>
      <c r="AE1081" s="4"/>
      <c r="AF1081" s="3"/>
      <c r="AG1081" s="3"/>
      <c r="AH1081" s="3"/>
      <c r="AI1081" s="3"/>
      <c r="AJ1081" s="3"/>
      <c r="AK1081" s="3"/>
    </row>
    <row r="1082" spans="1:37" ht="12.75" customHeight="1" x14ac:dyDescent="0.2">
      <c r="A1082" s="14"/>
      <c r="B1082" s="4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4"/>
      <c r="Y1082" s="4"/>
      <c r="Z1082" s="4"/>
      <c r="AA1082" s="4"/>
      <c r="AB1082" s="4"/>
      <c r="AC1082" s="4"/>
      <c r="AD1082" s="4"/>
      <c r="AE1082" s="4"/>
      <c r="AF1082" s="3"/>
      <c r="AG1082" s="3"/>
      <c r="AH1082" s="3"/>
      <c r="AI1082" s="3"/>
      <c r="AJ1082" s="3"/>
      <c r="AK1082" s="3"/>
    </row>
    <row r="1083" spans="1:37" ht="12.75" customHeight="1" x14ac:dyDescent="0.2">
      <c r="A1083" s="14"/>
      <c r="B1083" s="4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4"/>
      <c r="Y1083" s="4"/>
      <c r="Z1083" s="4"/>
      <c r="AA1083" s="4"/>
      <c r="AB1083" s="4"/>
      <c r="AC1083" s="4"/>
      <c r="AD1083" s="4"/>
      <c r="AE1083" s="4"/>
      <c r="AF1083" s="3"/>
      <c r="AG1083" s="3"/>
      <c r="AH1083" s="3"/>
      <c r="AI1083" s="3"/>
      <c r="AJ1083" s="3"/>
      <c r="AK1083" s="3"/>
    </row>
    <row r="1084" spans="1:37" ht="12.75" customHeight="1" x14ac:dyDescent="0.2">
      <c r="A1084" s="14"/>
      <c r="B1084" s="4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4"/>
      <c r="Y1084" s="4"/>
      <c r="Z1084" s="4"/>
      <c r="AA1084" s="4"/>
      <c r="AB1084" s="4"/>
      <c r="AC1084" s="4"/>
      <c r="AD1084" s="4"/>
      <c r="AE1084" s="4"/>
      <c r="AF1084" s="3"/>
      <c r="AG1084" s="3"/>
      <c r="AH1084" s="3"/>
      <c r="AI1084" s="3"/>
      <c r="AJ1084" s="3"/>
      <c r="AK1084" s="3"/>
    </row>
    <row r="1085" spans="1:37" ht="12.75" customHeight="1" x14ac:dyDescent="0.2">
      <c r="A1085" s="14"/>
      <c r="B1085" s="4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4"/>
      <c r="Y1085" s="4"/>
      <c r="Z1085" s="4"/>
      <c r="AA1085" s="4"/>
      <c r="AB1085" s="4"/>
      <c r="AC1085" s="4"/>
      <c r="AD1085" s="4"/>
      <c r="AE1085" s="4"/>
      <c r="AF1085" s="3"/>
      <c r="AG1085" s="3"/>
      <c r="AH1085" s="3"/>
      <c r="AI1085" s="3"/>
      <c r="AJ1085" s="3"/>
      <c r="AK1085" s="3"/>
    </row>
    <row r="1086" spans="1:37" ht="12.75" customHeight="1" x14ac:dyDescent="0.2">
      <c r="A1086" s="14"/>
      <c r="B1086" s="4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4"/>
      <c r="Y1086" s="4"/>
      <c r="Z1086" s="4"/>
      <c r="AA1086" s="4"/>
      <c r="AB1086" s="4"/>
      <c r="AC1086" s="4"/>
      <c r="AD1086" s="4"/>
      <c r="AE1086" s="4"/>
      <c r="AF1086" s="3"/>
      <c r="AG1086" s="3"/>
      <c r="AH1086" s="3"/>
      <c r="AI1086" s="3"/>
      <c r="AJ1086" s="3"/>
      <c r="AK1086" s="3"/>
    </row>
    <row r="1087" spans="1:37" ht="12.75" customHeight="1" x14ac:dyDescent="0.2">
      <c r="A1087" s="14"/>
      <c r="B1087" s="4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4"/>
      <c r="Y1087" s="4"/>
      <c r="Z1087" s="4"/>
      <c r="AA1087" s="4"/>
      <c r="AB1087" s="4"/>
      <c r="AC1087" s="4"/>
      <c r="AD1087" s="4"/>
      <c r="AE1087" s="4"/>
      <c r="AF1087" s="3"/>
      <c r="AG1087" s="3"/>
      <c r="AH1087" s="3"/>
      <c r="AI1087" s="3"/>
      <c r="AJ1087" s="3"/>
      <c r="AK1087" s="3"/>
    </row>
    <row r="1088" spans="1:37" ht="12.75" customHeight="1" x14ac:dyDescent="0.2">
      <c r="A1088" s="14"/>
      <c r="B1088" s="4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4"/>
      <c r="Y1088" s="4"/>
      <c r="Z1088" s="4"/>
      <c r="AA1088" s="4"/>
      <c r="AB1088" s="4"/>
      <c r="AC1088" s="4"/>
      <c r="AD1088" s="4"/>
      <c r="AE1088" s="4"/>
      <c r="AF1088" s="3"/>
      <c r="AG1088" s="3"/>
      <c r="AH1088" s="3"/>
      <c r="AI1088" s="3"/>
      <c r="AJ1088" s="3"/>
      <c r="AK1088" s="3"/>
    </row>
    <row r="1089" spans="1:37" ht="12.75" customHeight="1" x14ac:dyDescent="0.2">
      <c r="A1089" s="14"/>
      <c r="B1089" s="4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4"/>
      <c r="Y1089" s="4"/>
      <c r="Z1089" s="4"/>
      <c r="AA1089" s="4"/>
      <c r="AB1089" s="4"/>
      <c r="AC1089" s="4"/>
      <c r="AD1089" s="4"/>
      <c r="AE1089" s="4"/>
      <c r="AF1089" s="3"/>
      <c r="AG1089" s="3"/>
      <c r="AH1089" s="3"/>
      <c r="AI1089" s="3"/>
      <c r="AJ1089" s="3"/>
      <c r="AK1089" s="3"/>
    </row>
    <row r="1090" spans="1:37" ht="12.75" customHeight="1" x14ac:dyDescent="0.2">
      <c r="A1090" s="14"/>
      <c r="B1090" s="4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4"/>
      <c r="Y1090" s="4"/>
      <c r="Z1090" s="4"/>
      <c r="AA1090" s="4"/>
      <c r="AB1090" s="4"/>
      <c r="AC1090" s="4"/>
      <c r="AD1090" s="4"/>
      <c r="AE1090" s="4"/>
      <c r="AF1090" s="3"/>
      <c r="AG1090" s="3"/>
      <c r="AH1090" s="3"/>
      <c r="AI1090" s="3"/>
      <c r="AJ1090" s="3"/>
      <c r="AK1090" s="3"/>
    </row>
    <row r="1091" spans="1:37" ht="12.75" customHeight="1" x14ac:dyDescent="0.2">
      <c r="A1091" s="14"/>
      <c r="B1091" s="4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4"/>
      <c r="Y1091" s="4"/>
      <c r="Z1091" s="4"/>
      <c r="AA1091" s="4"/>
      <c r="AB1091" s="4"/>
      <c r="AC1091" s="4"/>
      <c r="AD1091" s="4"/>
      <c r="AE1091" s="4"/>
      <c r="AF1091" s="3"/>
      <c r="AG1091" s="3"/>
      <c r="AH1091" s="3"/>
      <c r="AI1091" s="3"/>
      <c r="AJ1091" s="3"/>
      <c r="AK1091" s="3"/>
    </row>
    <row r="1092" spans="1:37" ht="12.75" customHeight="1" x14ac:dyDescent="0.2">
      <c r="A1092" s="14"/>
      <c r="B1092" s="4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4"/>
      <c r="Y1092" s="4"/>
      <c r="Z1092" s="4"/>
      <c r="AA1092" s="4"/>
      <c r="AB1092" s="4"/>
      <c r="AC1092" s="4"/>
      <c r="AD1092" s="4"/>
      <c r="AE1092" s="4"/>
      <c r="AF1092" s="3"/>
      <c r="AG1092" s="3"/>
      <c r="AH1092" s="3"/>
      <c r="AI1092" s="3"/>
      <c r="AJ1092" s="3"/>
      <c r="AK1092" s="3"/>
    </row>
    <row r="1093" spans="1:37" ht="12.75" customHeight="1" x14ac:dyDescent="0.2">
      <c r="A1093" s="14"/>
      <c r="B1093" s="4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4"/>
      <c r="Y1093" s="4"/>
      <c r="Z1093" s="4"/>
      <c r="AA1093" s="4"/>
      <c r="AB1093" s="4"/>
      <c r="AC1093" s="4"/>
      <c r="AD1093" s="4"/>
      <c r="AE1093" s="4"/>
      <c r="AF1093" s="3"/>
      <c r="AG1093" s="3"/>
      <c r="AH1093" s="3"/>
      <c r="AI1093" s="3"/>
      <c r="AJ1093" s="3"/>
      <c r="AK1093" s="3"/>
    </row>
    <row r="1094" spans="1:37" ht="12.75" customHeight="1" x14ac:dyDescent="0.2">
      <c r="A1094" s="14"/>
      <c r="B1094" s="4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4"/>
      <c r="Y1094" s="4"/>
      <c r="Z1094" s="4"/>
      <c r="AA1094" s="4"/>
      <c r="AB1094" s="4"/>
      <c r="AC1094" s="4"/>
      <c r="AD1094" s="4"/>
      <c r="AE1094" s="4"/>
      <c r="AF1094" s="3"/>
      <c r="AG1094" s="3"/>
      <c r="AH1094" s="3"/>
      <c r="AI1094" s="3"/>
      <c r="AJ1094" s="3"/>
      <c r="AK1094" s="3"/>
    </row>
    <row r="1095" spans="1:37" ht="12.75" customHeight="1" x14ac:dyDescent="0.2">
      <c r="A1095" s="14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4"/>
      <c r="Y1095" s="4"/>
      <c r="Z1095" s="4"/>
      <c r="AA1095" s="4"/>
      <c r="AB1095" s="4"/>
      <c r="AC1095" s="4"/>
      <c r="AD1095" s="4"/>
      <c r="AE1095" s="4"/>
      <c r="AF1095" s="3"/>
      <c r="AG1095" s="3"/>
      <c r="AH1095" s="3"/>
      <c r="AI1095" s="3"/>
      <c r="AJ1095" s="3"/>
      <c r="AK1095" s="3"/>
    </row>
    <row r="1096" spans="1:37" ht="12.75" customHeight="1" x14ac:dyDescent="0.2">
      <c r="A1096" s="14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4"/>
      <c r="Y1096" s="4"/>
      <c r="Z1096" s="4"/>
      <c r="AA1096" s="4"/>
      <c r="AB1096" s="4"/>
      <c r="AC1096" s="4"/>
      <c r="AD1096" s="4"/>
      <c r="AE1096" s="4"/>
      <c r="AF1096" s="3"/>
      <c r="AG1096" s="3"/>
      <c r="AH1096" s="3"/>
      <c r="AI1096" s="3"/>
      <c r="AJ1096" s="3"/>
      <c r="AK1096" s="3"/>
    </row>
    <row r="1097" spans="1:37" ht="12.75" customHeight="1" x14ac:dyDescent="0.2">
      <c r="A1097" s="14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4"/>
      <c r="Y1097" s="4"/>
      <c r="Z1097" s="4"/>
      <c r="AA1097" s="4"/>
      <c r="AB1097" s="4"/>
      <c r="AC1097" s="4"/>
      <c r="AD1097" s="4"/>
      <c r="AE1097" s="4"/>
      <c r="AF1097" s="3"/>
      <c r="AG1097" s="3"/>
      <c r="AH1097" s="3"/>
      <c r="AI1097" s="3"/>
      <c r="AJ1097" s="3"/>
      <c r="AK1097" s="3"/>
    </row>
    <row r="1098" spans="1:37" ht="12.75" customHeight="1" x14ac:dyDescent="0.2">
      <c r="A1098" s="14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4"/>
      <c r="Y1098" s="4"/>
      <c r="Z1098" s="4"/>
      <c r="AA1098" s="4"/>
      <c r="AB1098" s="4"/>
      <c r="AC1098" s="4"/>
      <c r="AD1098" s="4"/>
      <c r="AE1098" s="4"/>
      <c r="AF1098" s="3"/>
      <c r="AG1098" s="3"/>
      <c r="AH1098" s="3"/>
      <c r="AI1098" s="3"/>
      <c r="AJ1098" s="3"/>
      <c r="AK1098" s="3"/>
    </row>
    <row r="1099" spans="1:37" ht="12.75" customHeight="1" x14ac:dyDescent="0.2">
      <c r="A1099" s="14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4"/>
      <c r="Y1099" s="4"/>
      <c r="Z1099" s="4"/>
      <c r="AA1099" s="4"/>
      <c r="AB1099" s="4"/>
      <c r="AC1099" s="4"/>
      <c r="AD1099" s="4"/>
      <c r="AE1099" s="4"/>
      <c r="AF1099" s="3"/>
      <c r="AG1099" s="3"/>
      <c r="AH1099" s="3"/>
      <c r="AI1099" s="3"/>
      <c r="AJ1099" s="3"/>
      <c r="AK1099" s="3"/>
    </row>
    <row r="1100" spans="1:37" ht="12.75" customHeight="1" x14ac:dyDescent="0.2">
      <c r="A1100" s="14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4"/>
      <c r="Y1100" s="4"/>
      <c r="Z1100" s="4"/>
      <c r="AA1100" s="4"/>
      <c r="AB1100" s="4"/>
      <c r="AC1100" s="4"/>
      <c r="AD1100" s="4"/>
      <c r="AE1100" s="4"/>
      <c r="AF1100" s="3"/>
      <c r="AG1100" s="3"/>
      <c r="AH1100" s="3"/>
      <c r="AI1100" s="3"/>
      <c r="AJ1100" s="3"/>
      <c r="AK1100" s="3"/>
    </row>
    <row r="1101" spans="1:37" ht="12.75" customHeight="1" x14ac:dyDescent="0.2">
      <c r="A1101" s="14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4"/>
      <c r="Y1101" s="4"/>
      <c r="Z1101" s="4"/>
      <c r="AA1101" s="4"/>
      <c r="AB1101" s="4"/>
      <c r="AC1101" s="4"/>
      <c r="AD1101" s="4"/>
      <c r="AE1101" s="4"/>
      <c r="AF1101" s="3"/>
      <c r="AG1101" s="3"/>
      <c r="AH1101" s="3"/>
      <c r="AI1101" s="3"/>
      <c r="AJ1101" s="3"/>
      <c r="AK1101" s="3"/>
    </row>
    <row r="1102" spans="1:37" ht="12.75" customHeight="1" x14ac:dyDescent="0.2">
      <c r="A1102" s="14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4"/>
      <c r="Y1102" s="4"/>
      <c r="Z1102" s="4"/>
      <c r="AA1102" s="4"/>
      <c r="AB1102" s="4"/>
      <c r="AC1102" s="4"/>
      <c r="AD1102" s="4"/>
      <c r="AE1102" s="4"/>
      <c r="AF1102" s="3"/>
      <c r="AG1102" s="3"/>
      <c r="AH1102" s="3"/>
      <c r="AI1102" s="3"/>
      <c r="AJ1102" s="3"/>
      <c r="AK1102" s="3"/>
    </row>
    <row r="1103" spans="1:37" ht="12.75" customHeight="1" x14ac:dyDescent="0.2">
      <c r="A1103" s="14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4"/>
      <c r="Y1103" s="4"/>
      <c r="Z1103" s="4"/>
      <c r="AA1103" s="4"/>
      <c r="AB1103" s="4"/>
      <c r="AC1103" s="4"/>
      <c r="AD1103" s="4"/>
      <c r="AE1103" s="4"/>
      <c r="AF1103" s="3"/>
      <c r="AG1103" s="3"/>
      <c r="AH1103" s="3"/>
      <c r="AI1103" s="3"/>
      <c r="AJ1103" s="3"/>
      <c r="AK1103" s="3"/>
    </row>
    <row r="1104" spans="1:37" ht="12.75" customHeight="1" x14ac:dyDescent="0.2">
      <c r="A1104" s="14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4"/>
      <c r="Y1104" s="4"/>
      <c r="Z1104" s="4"/>
      <c r="AA1104" s="4"/>
      <c r="AB1104" s="4"/>
      <c r="AC1104" s="4"/>
      <c r="AD1104" s="4"/>
      <c r="AE1104" s="4"/>
      <c r="AF1104" s="3"/>
      <c r="AG1104" s="3"/>
      <c r="AH1104" s="3"/>
      <c r="AI1104" s="3"/>
      <c r="AJ1104" s="3"/>
      <c r="AK1104" s="3"/>
    </row>
    <row r="1105" spans="1:37" ht="12.75" customHeight="1" x14ac:dyDescent="0.2">
      <c r="A1105" s="14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4"/>
      <c r="Y1105" s="4"/>
      <c r="Z1105" s="4"/>
      <c r="AA1105" s="4"/>
      <c r="AB1105" s="4"/>
      <c r="AC1105" s="4"/>
      <c r="AD1105" s="4"/>
      <c r="AE1105" s="4"/>
      <c r="AF1105" s="3"/>
      <c r="AG1105" s="3"/>
      <c r="AH1105" s="3"/>
      <c r="AI1105" s="3"/>
      <c r="AJ1105" s="3"/>
      <c r="AK1105" s="3"/>
    </row>
    <row r="1106" spans="1:37" ht="12.75" customHeight="1" x14ac:dyDescent="0.2">
      <c r="A1106" s="14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4"/>
      <c r="Y1106" s="4"/>
      <c r="Z1106" s="4"/>
      <c r="AA1106" s="4"/>
      <c r="AB1106" s="4"/>
      <c r="AC1106" s="4"/>
      <c r="AD1106" s="4"/>
      <c r="AE1106" s="4"/>
      <c r="AF1106" s="3"/>
      <c r="AG1106" s="3"/>
      <c r="AH1106" s="3"/>
      <c r="AI1106" s="3"/>
      <c r="AJ1106" s="3"/>
      <c r="AK1106" s="3"/>
    </row>
    <row r="1107" spans="1:37" ht="12.75" customHeight="1" x14ac:dyDescent="0.2">
      <c r="A1107" s="14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4"/>
      <c r="Y1107" s="4"/>
      <c r="Z1107" s="4"/>
      <c r="AA1107" s="4"/>
      <c r="AB1107" s="4"/>
      <c r="AC1107" s="4"/>
      <c r="AD1107" s="4"/>
      <c r="AE1107" s="4"/>
      <c r="AF1107" s="3"/>
      <c r="AG1107" s="3"/>
      <c r="AH1107" s="3"/>
      <c r="AI1107" s="3"/>
      <c r="AJ1107" s="3"/>
      <c r="AK1107" s="3"/>
    </row>
    <row r="1108" spans="1:37" ht="12.75" customHeight="1" x14ac:dyDescent="0.2">
      <c r="A1108" s="14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4"/>
      <c r="Y1108" s="4"/>
      <c r="Z1108" s="4"/>
      <c r="AA1108" s="4"/>
      <c r="AB1108" s="4"/>
      <c r="AC1108" s="4"/>
      <c r="AD1108" s="4"/>
      <c r="AE1108" s="4"/>
      <c r="AF1108" s="3"/>
      <c r="AG1108" s="3"/>
      <c r="AH1108" s="3"/>
      <c r="AI1108" s="3"/>
      <c r="AJ1108" s="3"/>
      <c r="AK1108" s="3"/>
    </row>
    <row r="1109" spans="1:37" ht="12.75" customHeight="1" x14ac:dyDescent="0.2">
      <c r="A1109" s="14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4"/>
      <c r="Y1109" s="4"/>
      <c r="Z1109" s="4"/>
      <c r="AA1109" s="4"/>
      <c r="AB1109" s="4"/>
      <c r="AC1109" s="4"/>
      <c r="AD1109" s="4"/>
      <c r="AE1109" s="4"/>
      <c r="AF1109" s="3"/>
      <c r="AG1109" s="3"/>
      <c r="AH1109" s="3"/>
      <c r="AI1109" s="3"/>
      <c r="AJ1109" s="3"/>
      <c r="AK1109" s="3"/>
    </row>
    <row r="1110" spans="1:37" ht="12.75" customHeight="1" x14ac:dyDescent="0.2">
      <c r="A1110" s="14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4"/>
      <c r="Y1110" s="4"/>
      <c r="Z1110" s="4"/>
      <c r="AA1110" s="4"/>
      <c r="AB1110" s="4"/>
      <c r="AC1110" s="4"/>
      <c r="AD1110" s="4"/>
      <c r="AE1110" s="4"/>
      <c r="AF1110" s="3"/>
      <c r="AG1110" s="3"/>
      <c r="AH1110" s="3"/>
      <c r="AI1110" s="3"/>
      <c r="AJ1110" s="3"/>
      <c r="AK1110" s="3"/>
    </row>
    <row r="1111" spans="1:37" ht="12.75" customHeight="1" x14ac:dyDescent="0.2">
      <c r="A1111" s="14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4"/>
      <c r="Y1111" s="4"/>
      <c r="Z1111" s="4"/>
      <c r="AA1111" s="4"/>
      <c r="AB1111" s="4"/>
      <c r="AC1111" s="4"/>
      <c r="AD1111" s="4"/>
      <c r="AE1111" s="4"/>
      <c r="AF1111" s="3"/>
      <c r="AG1111" s="3"/>
      <c r="AH1111" s="3"/>
      <c r="AI1111" s="3"/>
      <c r="AJ1111" s="3"/>
      <c r="AK1111" s="3"/>
    </row>
    <row r="1112" spans="1:37" ht="12.75" customHeight="1" x14ac:dyDescent="0.2">
      <c r="A1112" s="14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4"/>
      <c r="Y1112" s="4"/>
      <c r="Z1112" s="4"/>
      <c r="AA1112" s="4"/>
      <c r="AB1112" s="4"/>
      <c r="AC1112" s="4"/>
      <c r="AD1112" s="4"/>
      <c r="AE1112" s="4"/>
      <c r="AF1112" s="3"/>
      <c r="AG1112" s="3"/>
      <c r="AH1112" s="3"/>
      <c r="AI1112" s="3"/>
      <c r="AJ1112" s="3"/>
      <c r="AK1112" s="3"/>
    </row>
    <row r="1113" spans="1:37" ht="12.75" customHeight="1" x14ac:dyDescent="0.2">
      <c r="A1113" s="14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4"/>
      <c r="Y1113" s="4"/>
      <c r="Z1113" s="4"/>
      <c r="AA1113" s="4"/>
      <c r="AB1113" s="4"/>
      <c r="AC1113" s="4"/>
      <c r="AD1113" s="4"/>
      <c r="AE1113" s="4"/>
      <c r="AF1113" s="3"/>
      <c r="AG1113" s="3"/>
      <c r="AH1113" s="3"/>
      <c r="AI1113" s="3"/>
      <c r="AJ1113" s="3"/>
      <c r="AK1113" s="3"/>
    </row>
    <row r="1114" spans="1:37" ht="12.75" customHeight="1" x14ac:dyDescent="0.2">
      <c r="A1114" s="14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4"/>
      <c r="Y1114" s="4"/>
      <c r="Z1114" s="4"/>
      <c r="AA1114" s="4"/>
      <c r="AB1114" s="4"/>
      <c r="AC1114" s="4"/>
      <c r="AD1114" s="4"/>
      <c r="AE1114" s="4"/>
      <c r="AF1114" s="3"/>
      <c r="AG1114" s="3"/>
      <c r="AH1114" s="3"/>
      <c r="AI1114" s="3"/>
      <c r="AJ1114" s="3"/>
      <c r="AK1114" s="3"/>
    </row>
    <row r="1115" spans="1:37" ht="12.75" customHeight="1" x14ac:dyDescent="0.2">
      <c r="A1115" s="14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4"/>
      <c r="Y1115" s="4"/>
      <c r="Z1115" s="4"/>
      <c r="AA1115" s="4"/>
      <c r="AB1115" s="4"/>
      <c r="AC1115" s="4"/>
      <c r="AD1115" s="4"/>
      <c r="AE1115" s="4"/>
      <c r="AF1115" s="3"/>
      <c r="AG1115" s="3"/>
      <c r="AH1115" s="3"/>
      <c r="AI1115" s="3"/>
      <c r="AJ1115" s="3"/>
      <c r="AK1115" s="3"/>
    </row>
    <row r="1116" spans="1:37" ht="12.75" customHeight="1" x14ac:dyDescent="0.2">
      <c r="A1116" s="14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4"/>
      <c r="Y1116" s="4"/>
      <c r="Z1116" s="4"/>
      <c r="AA1116" s="4"/>
      <c r="AB1116" s="4"/>
      <c r="AC1116" s="4"/>
      <c r="AD1116" s="4"/>
      <c r="AE1116" s="4"/>
      <c r="AF1116" s="3"/>
      <c r="AG1116" s="3"/>
      <c r="AH1116" s="3"/>
      <c r="AI1116" s="3"/>
      <c r="AJ1116" s="3"/>
      <c r="AK1116" s="3"/>
    </row>
    <row r="1117" spans="1:37" ht="12.75" customHeight="1" x14ac:dyDescent="0.2">
      <c r="A1117" s="14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4"/>
      <c r="Y1117" s="4"/>
      <c r="Z1117" s="4"/>
      <c r="AA1117" s="4"/>
      <c r="AB1117" s="4"/>
      <c r="AC1117" s="4"/>
      <c r="AD1117" s="4"/>
      <c r="AE1117" s="4"/>
      <c r="AF1117" s="3"/>
      <c r="AG1117" s="3"/>
      <c r="AH1117" s="3"/>
      <c r="AI1117" s="3"/>
      <c r="AJ1117" s="3"/>
      <c r="AK1117" s="3"/>
    </row>
    <row r="1118" spans="1:37" ht="12.75" customHeight="1" x14ac:dyDescent="0.2">
      <c r="A1118" s="14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4"/>
      <c r="Y1118" s="4"/>
      <c r="Z1118" s="4"/>
      <c r="AA1118" s="4"/>
      <c r="AB1118" s="4"/>
      <c r="AC1118" s="4"/>
      <c r="AD1118" s="4"/>
      <c r="AE1118" s="4"/>
      <c r="AF1118" s="3"/>
      <c r="AG1118" s="3"/>
      <c r="AH1118" s="3"/>
      <c r="AI1118" s="3"/>
      <c r="AJ1118" s="3"/>
      <c r="AK1118" s="3"/>
    </row>
    <row r="1119" spans="1:37" ht="12.75" customHeight="1" x14ac:dyDescent="0.2">
      <c r="A1119" s="14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4"/>
      <c r="Y1119" s="4"/>
      <c r="Z1119" s="4"/>
      <c r="AA1119" s="4"/>
      <c r="AB1119" s="4"/>
      <c r="AC1119" s="4"/>
      <c r="AD1119" s="4"/>
      <c r="AE1119" s="4"/>
      <c r="AF1119" s="3"/>
      <c r="AG1119" s="3"/>
      <c r="AH1119" s="3"/>
      <c r="AI1119" s="3"/>
      <c r="AJ1119" s="3"/>
      <c r="AK1119" s="3"/>
    </row>
    <row r="1120" spans="1:37" ht="12.75" customHeight="1" x14ac:dyDescent="0.2">
      <c r="A1120" s="14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4"/>
      <c r="Y1120" s="4"/>
      <c r="Z1120" s="4"/>
      <c r="AA1120" s="4"/>
      <c r="AB1120" s="4"/>
      <c r="AC1120" s="4"/>
      <c r="AD1120" s="4"/>
      <c r="AE1120" s="4"/>
      <c r="AF1120" s="3"/>
      <c r="AG1120" s="3"/>
      <c r="AH1120" s="3"/>
      <c r="AI1120" s="3"/>
      <c r="AJ1120" s="3"/>
      <c r="AK1120" s="3"/>
    </row>
    <row r="1121" spans="1:37" ht="12.75" customHeight="1" x14ac:dyDescent="0.2">
      <c r="A1121" s="14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4"/>
      <c r="Y1121" s="4"/>
      <c r="Z1121" s="4"/>
      <c r="AA1121" s="4"/>
      <c r="AB1121" s="4"/>
      <c r="AC1121" s="4"/>
      <c r="AD1121" s="4"/>
      <c r="AE1121" s="4"/>
      <c r="AF1121" s="3"/>
      <c r="AG1121" s="3"/>
      <c r="AH1121" s="3"/>
      <c r="AI1121" s="3"/>
      <c r="AJ1121" s="3"/>
      <c r="AK1121" s="3"/>
    </row>
    <row r="1122" spans="1:37" ht="12.75" customHeight="1" x14ac:dyDescent="0.2">
      <c r="A1122" s="14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4"/>
      <c r="Y1122" s="4"/>
      <c r="Z1122" s="4"/>
      <c r="AA1122" s="4"/>
      <c r="AB1122" s="4"/>
      <c r="AC1122" s="4"/>
      <c r="AD1122" s="4"/>
      <c r="AE1122" s="4"/>
      <c r="AF1122" s="3"/>
      <c r="AG1122" s="3"/>
      <c r="AH1122" s="3"/>
      <c r="AI1122" s="3"/>
      <c r="AJ1122" s="3"/>
      <c r="AK1122" s="3"/>
    </row>
    <row r="1123" spans="1:37" ht="12.75" customHeight="1" x14ac:dyDescent="0.2">
      <c r="A1123" s="14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4"/>
      <c r="Y1123" s="4"/>
      <c r="Z1123" s="4"/>
      <c r="AA1123" s="4"/>
      <c r="AB1123" s="4"/>
      <c r="AC1123" s="4"/>
      <c r="AD1123" s="4"/>
      <c r="AE1123" s="4"/>
      <c r="AF1123" s="3"/>
      <c r="AG1123" s="3"/>
      <c r="AH1123" s="3"/>
      <c r="AI1123" s="3"/>
      <c r="AJ1123" s="3"/>
      <c r="AK1123" s="3"/>
    </row>
    <row r="1124" spans="1:37" ht="12.75" customHeight="1" x14ac:dyDescent="0.2">
      <c r="A1124" s="14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4"/>
      <c r="Y1124" s="4"/>
      <c r="Z1124" s="4"/>
      <c r="AA1124" s="4"/>
      <c r="AB1124" s="4"/>
      <c r="AC1124" s="4"/>
      <c r="AD1124" s="4"/>
      <c r="AE1124" s="4"/>
      <c r="AF1124" s="3"/>
      <c r="AG1124" s="3"/>
      <c r="AH1124" s="3"/>
      <c r="AI1124" s="3"/>
      <c r="AJ1124" s="3"/>
      <c r="AK1124" s="3"/>
    </row>
    <row r="1125" spans="1:37" ht="12.75" customHeight="1" x14ac:dyDescent="0.2">
      <c r="A1125" s="14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4"/>
      <c r="Y1125" s="4"/>
      <c r="Z1125" s="4"/>
      <c r="AA1125" s="4"/>
      <c r="AB1125" s="4"/>
      <c r="AC1125" s="4"/>
      <c r="AD1125" s="4"/>
      <c r="AE1125" s="4"/>
      <c r="AF1125" s="3"/>
      <c r="AG1125" s="3"/>
      <c r="AH1125" s="3"/>
      <c r="AI1125" s="3"/>
      <c r="AJ1125" s="3"/>
      <c r="AK1125" s="3"/>
    </row>
    <row r="1126" spans="1:37" ht="12.75" customHeight="1" x14ac:dyDescent="0.2">
      <c r="A1126" s="14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4"/>
      <c r="Y1126" s="4"/>
      <c r="Z1126" s="4"/>
      <c r="AA1126" s="4"/>
      <c r="AB1126" s="4"/>
      <c r="AC1126" s="4"/>
      <c r="AD1126" s="4"/>
      <c r="AE1126" s="4"/>
      <c r="AF1126" s="3"/>
      <c r="AG1126" s="3"/>
      <c r="AH1126" s="3"/>
      <c r="AI1126" s="3"/>
      <c r="AJ1126" s="3"/>
      <c r="AK1126" s="3"/>
    </row>
    <row r="1127" spans="1:37" ht="12.75" customHeight="1" x14ac:dyDescent="0.2">
      <c r="A1127" s="14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4"/>
      <c r="Y1127" s="4"/>
      <c r="Z1127" s="4"/>
      <c r="AA1127" s="4"/>
      <c r="AB1127" s="4"/>
      <c r="AC1127" s="4"/>
      <c r="AD1127" s="4"/>
      <c r="AE1127" s="4"/>
      <c r="AF1127" s="3"/>
      <c r="AG1127" s="3"/>
      <c r="AH1127" s="3"/>
      <c r="AI1127" s="3"/>
      <c r="AJ1127" s="3"/>
      <c r="AK1127" s="3"/>
    </row>
    <row r="1128" spans="1:37" ht="12.75" customHeight="1" x14ac:dyDescent="0.2">
      <c r="A1128" s="14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4"/>
      <c r="Y1128" s="4"/>
      <c r="Z1128" s="4"/>
      <c r="AA1128" s="4"/>
      <c r="AB1128" s="4"/>
      <c r="AC1128" s="4"/>
      <c r="AD1128" s="4"/>
      <c r="AE1128" s="4"/>
      <c r="AF1128" s="3"/>
      <c r="AG1128" s="3"/>
      <c r="AH1128" s="3"/>
      <c r="AI1128" s="3"/>
      <c r="AJ1128" s="3"/>
      <c r="AK1128" s="3"/>
    </row>
    <row r="1129" spans="1:37" ht="12.75" customHeight="1" x14ac:dyDescent="0.2">
      <c r="A1129" s="14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4"/>
      <c r="Y1129" s="4"/>
      <c r="Z1129" s="4"/>
      <c r="AA1129" s="4"/>
      <c r="AB1129" s="4"/>
      <c r="AC1129" s="4"/>
      <c r="AD1129" s="4"/>
      <c r="AE1129" s="4"/>
      <c r="AF1129" s="3"/>
      <c r="AG1129" s="3"/>
      <c r="AH1129" s="3"/>
      <c r="AI1129" s="3"/>
      <c r="AJ1129" s="3"/>
      <c r="AK1129" s="3"/>
    </row>
    <row r="1130" spans="1:37" ht="12.75" customHeight="1" x14ac:dyDescent="0.2">
      <c r="A1130" s="14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4"/>
      <c r="Y1130" s="4"/>
      <c r="Z1130" s="4"/>
      <c r="AA1130" s="4"/>
      <c r="AB1130" s="4"/>
      <c r="AC1130" s="4"/>
      <c r="AD1130" s="4"/>
      <c r="AE1130" s="4"/>
      <c r="AF1130" s="3"/>
      <c r="AG1130" s="3"/>
      <c r="AH1130" s="3"/>
      <c r="AI1130" s="3"/>
      <c r="AJ1130" s="3"/>
      <c r="AK1130" s="3"/>
    </row>
    <row r="1131" spans="1:37" ht="12.75" customHeight="1" x14ac:dyDescent="0.2">
      <c r="A1131" s="14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4"/>
      <c r="Y1131" s="4"/>
      <c r="Z1131" s="4"/>
      <c r="AA1131" s="4"/>
      <c r="AB1131" s="4"/>
      <c r="AC1131" s="4"/>
      <c r="AD1131" s="4"/>
      <c r="AE1131" s="4"/>
      <c r="AF1131" s="3"/>
      <c r="AG1131" s="3"/>
      <c r="AH1131" s="3"/>
      <c r="AI1131" s="3"/>
      <c r="AJ1131" s="3"/>
      <c r="AK1131" s="3"/>
    </row>
    <row r="1132" spans="1:37" ht="12.75" customHeight="1" x14ac:dyDescent="0.2">
      <c r="A1132" s="14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4"/>
      <c r="Y1132" s="4"/>
      <c r="Z1132" s="4"/>
      <c r="AA1132" s="4"/>
      <c r="AB1132" s="4"/>
      <c r="AC1132" s="4"/>
      <c r="AD1132" s="4"/>
      <c r="AE1132" s="4"/>
      <c r="AF1132" s="3"/>
      <c r="AG1132" s="3"/>
      <c r="AH1132" s="3"/>
      <c r="AI1132" s="3"/>
      <c r="AJ1132" s="3"/>
      <c r="AK1132" s="3"/>
    </row>
    <row r="1133" spans="1:37" ht="12.75" customHeight="1" x14ac:dyDescent="0.2">
      <c r="A1133" s="14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4"/>
      <c r="Y1133" s="4"/>
      <c r="Z1133" s="4"/>
      <c r="AA1133" s="4"/>
      <c r="AB1133" s="4"/>
      <c r="AC1133" s="4"/>
      <c r="AD1133" s="4"/>
      <c r="AE1133" s="4"/>
      <c r="AF1133" s="3"/>
      <c r="AG1133" s="3"/>
      <c r="AH1133" s="3"/>
      <c r="AI1133" s="3"/>
      <c r="AJ1133" s="3"/>
      <c r="AK1133" s="3"/>
    </row>
    <row r="1134" spans="1:37" ht="12.75" customHeight="1" x14ac:dyDescent="0.2">
      <c r="A1134" s="14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4"/>
      <c r="Y1134" s="4"/>
      <c r="Z1134" s="4"/>
      <c r="AA1134" s="4"/>
      <c r="AB1134" s="4"/>
      <c r="AC1134" s="4"/>
      <c r="AD1134" s="4"/>
      <c r="AE1134" s="4"/>
      <c r="AF1134" s="3"/>
      <c r="AG1134" s="3"/>
      <c r="AH1134" s="3"/>
      <c r="AI1134" s="3"/>
      <c r="AJ1134" s="3"/>
      <c r="AK1134" s="3"/>
    </row>
    <row r="1135" spans="1:37" ht="12.75" customHeight="1" x14ac:dyDescent="0.2">
      <c r="A1135" s="14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4"/>
      <c r="Y1135" s="4"/>
      <c r="Z1135" s="4"/>
      <c r="AA1135" s="4"/>
      <c r="AB1135" s="4"/>
      <c r="AC1135" s="4"/>
      <c r="AD1135" s="4"/>
      <c r="AE1135" s="4"/>
      <c r="AF1135" s="3"/>
      <c r="AG1135" s="3"/>
      <c r="AH1135" s="3"/>
      <c r="AI1135" s="3"/>
      <c r="AJ1135" s="3"/>
      <c r="AK1135" s="3"/>
    </row>
    <row r="1136" spans="1:37" ht="12.75" customHeight="1" x14ac:dyDescent="0.2">
      <c r="A1136" s="14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4"/>
      <c r="Y1136" s="4"/>
      <c r="Z1136" s="4"/>
      <c r="AA1136" s="4"/>
      <c r="AB1136" s="4"/>
      <c r="AC1136" s="4"/>
      <c r="AD1136" s="4"/>
      <c r="AE1136" s="4"/>
      <c r="AF1136" s="3"/>
      <c r="AG1136" s="3"/>
      <c r="AH1136" s="3"/>
      <c r="AI1136" s="3"/>
      <c r="AJ1136" s="3"/>
      <c r="AK1136" s="3"/>
    </row>
    <row r="1137" spans="1:37" ht="12.75" customHeight="1" x14ac:dyDescent="0.2">
      <c r="A1137" s="14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4"/>
      <c r="Y1137" s="4"/>
      <c r="Z1137" s="4"/>
      <c r="AA1137" s="4"/>
      <c r="AB1137" s="4"/>
      <c r="AC1137" s="4"/>
      <c r="AD1137" s="4"/>
      <c r="AE1137" s="4"/>
      <c r="AF1137" s="3"/>
      <c r="AG1137" s="3"/>
      <c r="AH1137" s="3"/>
      <c r="AI1137" s="3"/>
      <c r="AJ1137" s="3"/>
      <c r="AK1137" s="3"/>
    </row>
    <row r="1138" spans="1:37" ht="12.75" customHeight="1" x14ac:dyDescent="0.2">
      <c r="A1138" s="14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4"/>
      <c r="Y1138" s="4"/>
      <c r="Z1138" s="4"/>
      <c r="AA1138" s="4"/>
      <c r="AB1138" s="4"/>
      <c r="AC1138" s="4"/>
      <c r="AD1138" s="4"/>
      <c r="AE1138" s="4"/>
      <c r="AF1138" s="3"/>
      <c r="AG1138" s="3"/>
      <c r="AH1138" s="3"/>
      <c r="AI1138" s="3"/>
      <c r="AJ1138" s="3"/>
      <c r="AK1138" s="3"/>
    </row>
    <row r="1139" spans="1:37" ht="12.75" customHeight="1" x14ac:dyDescent="0.2">
      <c r="A1139" s="14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4"/>
      <c r="Y1139" s="4"/>
      <c r="Z1139" s="4"/>
      <c r="AA1139" s="4"/>
      <c r="AB1139" s="4"/>
      <c r="AC1139" s="4"/>
      <c r="AD1139" s="4"/>
      <c r="AE1139" s="4"/>
      <c r="AF1139" s="3"/>
      <c r="AG1139" s="3"/>
      <c r="AH1139" s="3"/>
      <c r="AI1139" s="3"/>
      <c r="AJ1139" s="3"/>
      <c r="AK1139" s="3"/>
    </row>
    <row r="1140" spans="1:37" ht="12.75" customHeight="1" x14ac:dyDescent="0.2">
      <c r="A1140" s="14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4"/>
      <c r="Y1140" s="4"/>
      <c r="Z1140" s="4"/>
      <c r="AA1140" s="4"/>
      <c r="AB1140" s="4"/>
      <c r="AC1140" s="4"/>
      <c r="AD1140" s="4"/>
      <c r="AE1140" s="4"/>
      <c r="AF1140" s="3"/>
      <c r="AG1140" s="3"/>
      <c r="AH1140" s="3"/>
      <c r="AI1140" s="3"/>
      <c r="AJ1140" s="3"/>
      <c r="AK1140" s="3"/>
    </row>
    <row r="1141" spans="1:37" ht="12.75" customHeight="1" x14ac:dyDescent="0.2">
      <c r="A1141" s="14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4"/>
      <c r="Y1141" s="4"/>
      <c r="Z1141" s="4"/>
      <c r="AA1141" s="4"/>
      <c r="AB1141" s="4"/>
      <c r="AC1141" s="4"/>
      <c r="AD1141" s="4"/>
      <c r="AE1141" s="4"/>
      <c r="AF1141" s="3"/>
      <c r="AG1141" s="3"/>
      <c r="AH1141" s="3"/>
      <c r="AI1141" s="3"/>
      <c r="AJ1141" s="3"/>
      <c r="AK1141" s="3"/>
    </row>
    <row r="1142" spans="1:37" ht="12.75" customHeight="1" x14ac:dyDescent="0.2">
      <c r="A1142" s="14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4"/>
      <c r="Y1142" s="4"/>
      <c r="Z1142" s="4"/>
      <c r="AA1142" s="4"/>
      <c r="AB1142" s="4"/>
      <c r="AC1142" s="4"/>
      <c r="AD1142" s="4"/>
      <c r="AE1142" s="4"/>
      <c r="AF1142" s="3"/>
      <c r="AG1142" s="3"/>
      <c r="AH1142" s="3"/>
      <c r="AI1142" s="3"/>
      <c r="AJ1142" s="3"/>
      <c r="AK1142" s="3"/>
    </row>
    <row r="1143" spans="1:37" ht="12.75" customHeight="1" x14ac:dyDescent="0.2">
      <c r="A1143" s="14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4"/>
      <c r="Y1143" s="4"/>
      <c r="Z1143" s="4"/>
      <c r="AA1143" s="4"/>
      <c r="AB1143" s="4"/>
      <c r="AC1143" s="4"/>
      <c r="AD1143" s="4"/>
      <c r="AE1143" s="4"/>
      <c r="AF1143" s="3"/>
      <c r="AG1143" s="3"/>
      <c r="AH1143" s="3"/>
      <c r="AI1143" s="3"/>
      <c r="AJ1143" s="3"/>
      <c r="AK1143" s="3"/>
    </row>
    <row r="1144" spans="1:37" ht="12.75" customHeight="1" x14ac:dyDescent="0.2">
      <c r="A1144" s="14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4"/>
      <c r="Y1144" s="4"/>
      <c r="Z1144" s="4"/>
      <c r="AA1144" s="4"/>
      <c r="AB1144" s="4"/>
      <c r="AC1144" s="4"/>
      <c r="AD1144" s="4"/>
      <c r="AE1144" s="4"/>
      <c r="AF1144" s="3"/>
      <c r="AG1144" s="3"/>
      <c r="AH1144" s="3"/>
      <c r="AI1144" s="3"/>
      <c r="AJ1144" s="3"/>
      <c r="AK1144" s="3"/>
    </row>
    <row r="1145" spans="1:37" ht="12.75" customHeight="1" x14ac:dyDescent="0.2">
      <c r="A1145" s="14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4"/>
      <c r="Y1145" s="4"/>
      <c r="Z1145" s="4"/>
      <c r="AA1145" s="4"/>
      <c r="AB1145" s="4"/>
      <c r="AC1145" s="4"/>
      <c r="AD1145" s="4"/>
      <c r="AE1145" s="4"/>
      <c r="AF1145" s="3"/>
      <c r="AG1145" s="3"/>
      <c r="AH1145" s="3"/>
      <c r="AI1145" s="3"/>
      <c r="AJ1145" s="3"/>
      <c r="AK1145" s="3"/>
    </row>
    <row r="1146" spans="1:37" ht="12.75" customHeight="1" x14ac:dyDescent="0.2">
      <c r="A1146" s="14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4"/>
      <c r="Y1146" s="4"/>
      <c r="Z1146" s="4"/>
      <c r="AA1146" s="4"/>
      <c r="AB1146" s="4"/>
      <c r="AC1146" s="4"/>
      <c r="AD1146" s="4"/>
      <c r="AE1146" s="4"/>
      <c r="AF1146" s="3"/>
      <c r="AG1146" s="3"/>
      <c r="AH1146" s="3"/>
      <c r="AI1146" s="3"/>
      <c r="AJ1146" s="3"/>
      <c r="AK1146" s="3"/>
    </row>
    <row r="1147" spans="1:37" ht="12.75" customHeight="1" x14ac:dyDescent="0.2">
      <c r="A1147" s="14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4"/>
      <c r="Y1147" s="4"/>
      <c r="Z1147" s="4"/>
      <c r="AA1147" s="4"/>
      <c r="AB1147" s="4"/>
      <c r="AC1147" s="4"/>
      <c r="AD1147" s="4"/>
      <c r="AE1147" s="4"/>
      <c r="AF1147" s="3"/>
      <c r="AG1147" s="3"/>
      <c r="AH1147" s="3"/>
      <c r="AI1147" s="3"/>
      <c r="AJ1147" s="3"/>
      <c r="AK1147" s="3"/>
    </row>
    <row r="1148" spans="1:37" ht="12.75" customHeight="1" x14ac:dyDescent="0.2">
      <c r="A1148" s="14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4"/>
      <c r="Y1148" s="4"/>
      <c r="Z1148" s="4"/>
      <c r="AA1148" s="4"/>
      <c r="AB1148" s="4"/>
      <c r="AC1148" s="4"/>
      <c r="AD1148" s="4"/>
      <c r="AE1148" s="4"/>
      <c r="AF1148" s="3"/>
      <c r="AG1148" s="3"/>
      <c r="AH1148" s="3"/>
      <c r="AI1148" s="3"/>
      <c r="AJ1148" s="3"/>
      <c r="AK1148" s="3"/>
    </row>
    <row r="1149" spans="1:37" ht="12.75" customHeight="1" x14ac:dyDescent="0.2">
      <c r="A1149" s="14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4"/>
      <c r="Y1149" s="4"/>
      <c r="Z1149" s="4"/>
      <c r="AA1149" s="4"/>
      <c r="AB1149" s="4"/>
      <c r="AC1149" s="4"/>
      <c r="AD1149" s="4"/>
      <c r="AE1149" s="4"/>
      <c r="AF1149" s="3"/>
      <c r="AG1149" s="3"/>
      <c r="AH1149" s="3"/>
      <c r="AI1149" s="3"/>
      <c r="AJ1149" s="3"/>
      <c r="AK1149" s="3"/>
    </row>
    <row r="1150" spans="1:37" ht="12.75" customHeight="1" x14ac:dyDescent="0.2">
      <c r="A1150" s="14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4"/>
      <c r="Y1150" s="4"/>
      <c r="Z1150" s="4"/>
      <c r="AA1150" s="4"/>
      <c r="AB1150" s="4"/>
      <c r="AC1150" s="4"/>
      <c r="AD1150" s="4"/>
      <c r="AE1150" s="4"/>
      <c r="AF1150" s="3"/>
      <c r="AG1150" s="3"/>
      <c r="AH1150" s="3"/>
      <c r="AI1150" s="3"/>
      <c r="AJ1150" s="3"/>
      <c r="AK1150" s="3"/>
    </row>
    <row r="1151" spans="1:37" ht="12.75" customHeight="1" x14ac:dyDescent="0.2">
      <c r="A1151" s="14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4"/>
      <c r="Y1151" s="4"/>
      <c r="Z1151" s="4"/>
      <c r="AA1151" s="4"/>
      <c r="AB1151" s="4"/>
      <c r="AC1151" s="4"/>
      <c r="AD1151" s="4"/>
      <c r="AE1151" s="4"/>
      <c r="AF1151" s="3"/>
      <c r="AG1151" s="3"/>
      <c r="AH1151" s="3"/>
      <c r="AI1151" s="3"/>
      <c r="AJ1151" s="3"/>
      <c r="AK1151" s="3"/>
    </row>
    <row r="1152" spans="1:37" ht="12.75" customHeight="1" x14ac:dyDescent="0.2">
      <c r="A1152" s="14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4"/>
      <c r="Y1152" s="4"/>
      <c r="Z1152" s="4"/>
      <c r="AA1152" s="4"/>
      <c r="AB1152" s="4"/>
      <c r="AC1152" s="4"/>
      <c r="AD1152" s="4"/>
      <c r="AE1152" s="4"/>
      <c r="AF1152" s="3"/>
      <c r="AG1152" s="3"/>
      <c r="AH1152" s="3"/>
      <c r="AI1152" s="3"/>
      <c r="AJ1152" s="3"/>
      <c r="AK1152" s="3"/>
    </row>
    <row r="1153" spans="1:37" ht="12.75" customHeight="1" x14ac:dyDescent="0.2">
      <c r="A1153" s="14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4"/>
      <c r="Y1153" s="4"/>
      <c r="Z1153" s="4"/>
      <c r="AA1153" s="4"/>
      <c r="AB1153" s="4"/>
      <c r="AC1153" s="4"/>
      <c r="AD1153" s="4"/>
      <c r="AE1153" s="4"/>
      <c r="AF1153" s="3"/>
      <c r="AG1153" s="3"/>
      <c r="AH1153" s="3"/>
      <c r="AI1153" s="3"/>
      <c r="AJ1153" s="3"/>
      <c r="AK1153" s="3"/>
    </row>
    <row r="1154" spans="1:37" ht="12.75" customHeight="1" x14ac:dyDescent="0.2">
      <c r="A1154" s="14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4"/>
      <c r="Y1154" s="4"/>
      <c r="Z1154" s="4"/>
      <c r="AA1154" s="4"/>
      <c r="AB1154" s="4"/>
      <c r="AC1154" s="4"/>
      <c r="AD1154" s="4"/>
      <c r="AE1154" s="4"/>
      <c r="AF1154" s="3"/>
      <c r="AG1154" s="3"/>
      <c r="AH1154" s="3"/>
      <c r="AI1154" s="3"/>
      <c r="AJ1154" s="3"/>
      <c r="AK1154" s="3"/>
    </row>
    <row r="1155" spans="1:37" ht="12.75" customHeight="1" x14ac:dyDescent="0.2">
      <c r="A1155" s="14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4"/>
      <c r="Y1155" s="4"/>
      <c r="Z1155" s="4"/>
      <c r="AA1155" s="4"/>
      <c r="AB1155" s="4"/>
      <c r="AC1155" s="4"/>
      <c r="AD1155" s="4"/>
      <c r="AE1155" s="4"/>
      <c r="AF1155" s="3"/>
      <c r="AG1155" s="3"/>
      <c r="AH1155" s="3"/>
      <c r="AI1155" s="3"/>
      <c r="AJ1155" s="3"/>
      <c r="AK1155" s="3"/>
    </row>
    <row r="1156" spans="1:37" ht="12.75" customHeight="1" x14ac:dyDescent="0.2">
      <c r="A1156" s="14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4"/>
      <c r="Y1156" s="4"/>
      <c r="Z1156" s="4"/>
      <c r="AA1156" s="4"/>
      <c r="AB1156" s="4"/>
      <c r="AC1156" s="4"/>
      <c r="AD1156" s="4"/>
      <c r="AE1156" s="4"/>
      <c r="AF1156" s="3"/>
      <c r="AG1156" s="3"/>
      <c r="AH1156" s="3"/>
      <c r="AI1156" s="3"/>
      <c r="AJ1156" s="3"/>
      <c r="AK1156" s="3"/>
    </row>
    <row r="1157" spans="1:37" ht="12.75" customHeight="1" x14ac:dyDescent="0.2">
      <c r="A1157" s="14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4"/>
      <c r="Y1157" s="4"/>
      <c r="Z1157" s="4"/>
      <c r="AA1157" s="4"/>
      <c r="AB1157" s="4"/>
      <c r="AC1157" s="4"/>
      <c r="AD1157" s="4"/>
      <c r="AE1157" s="4"/>
      <c r="AF1157" s="3"/>
      <c r="AG1157" s="3"/>
      <c r="AH1157" s="3"/>
      <c r="AI1157" s="3"/>
      <c r="AJ1157" s="3"/>
      <c r="AK1157" s="3"/>
    </row>
    <row r="1158" spans="1:37" ht="12.75" customHeight="1" x14ac:dyDescent="0.2">
      <c r="A1158" s="14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4"/>
      <c r="Y1158" s="4"/>
      <c r="Z1158" s="4"/>
      <c r="AA1158" s="4"/>
      <c r="AB1158" s="4"/>
      <c r="AC1158" s="4"/>
      <c r="AD1158" s="4"/>
      <c r="AE1158" s="4"/>
      <c r="AF1158" s="3"/>
      <c r="AG1158" s="3"/>
      <c r="AH1158" s="3"/>
      <c r="AI1158" s="3"/>
      <c r="AJ1158" s="3"/>
      <c r="AK1158" s="3"/>
    </row>
    <row r="1159" spans="1:37" ht="12.75" customHeight="1" x14ac:dyDescent="0.2">
      <c r="A1159" s="14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4"/>
      <c r="Y1159" s="4"/>
      <c r="Z1159" s="4"/>
      <c r="AA1159" s="4"/>
      <c r="AB1159" s="4"/>
      <c r="AC1159" s="4"/>
      <c r="AD1159" s="4"/>
      <c r="AE1159" s="4"/>
      <c r="AF1159" s="3"/>
      <c r="AG1159" s="3"/>
      <c r="AH1159" s="3"/>
      <c r="AI1159" s="3"/>
      <c r="AJ1159" s="3"/>
      <c r="AK1159" s="3"/>
    </row>
    <row r="1160" spans="1:37" ht="12.75" customHeight="1" x14ac:dyDescent="0.2">
      <c r="A1160" s="14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4"/>
      <c r="Y1160" s="4"/>
      <c r="Z1160" s="4"/>
      <c r="AA1160" s="4"/>
      <c r="AB1160" s="4"/>
      <c r="AC1160" s="4"/>
      <c r="AD1160" s="4"/>
      <c r="AE1160" s="4"/>
      <c r="AF1160" s="3"/>
      <c r="AG1160" s="3"/>
      <c r="AH1160" s="3"/>
      <c r="AI1160" s="3"/>
      <c r="AJ1160" s="3"/>
      <c r="AK1160" s="3"/>
    </row>
    <row r="1161" spans="1:37" ht="12.75" customHeight="1" x14ac:dyDescent="0.2">
      <c r="A1161" s="14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4"/>
      <c r="Y1161" s="4"/>
      <c r="Z1161" s="4"/>
      <c r="AA1161" s="4"/>
      <c r="AB1161" s="4"/>
      <c r="AC1161" s="4"/>
      <c r="AD1161" s="4"/>
      <c r="AE1161" s="4"/>
      <c r="AF1161" s="3"/>
      <c r="AG1161" s="3"/>
      <c r="AH1161" s="3"/>
      <c r="AI1161" s="3"/>
      <c r="AJ1161" s="3"/>
      <c r="AK1161" s="3"/>
    </row>
    <row r="1162" spans="1:37" ht="12.75" customHeight="1" x14ac:dyDescent="0.2">
      <c r="A1162" s="14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4"/>
      <c r="Y1162" s="4"/>
      <c r="Z1162" s="4"/>
      <c r="AA1162" s="4"/>
      <c r="AB1162" s="4"/>
      <c r="AC1162" s="4"/>
      <c r="AD1162" s="4"/>
      <c r="AE1162" s="4"/>
      <c r="AF1162" s="3"/>
      <c r="AG1162" s="3"/>
      <c r="AH1162" s="3"/>
      <c r="AI1162" s="3"/>
      <c r="AJ1162" s="3"/>
      <c r="AK1162" s="3"/>
    </row>
    <row r="1163" spans="1:37" ht="12.75" customHeight="1" x14ac:dyDescent="0.2">
      <c r="A1163" s="14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4"/>
      <c r="Y1163" s="4"/>
      <c r="Z1163" s="4"/>
      <c r="AA1163" s="4"/>
      <c r="AB1163" s="4"/>
      <c r="AC1163" s="4"/>
      <c r="AD1163" s="4"/>
      <c r="AE1163" s="4"/>
      <c r="AF1163" s="3"/>
      <c r="AG1163" s="3"/>
      <c r="AH1163" s="3"/>
      <c r="AI1163" s="3"/>
      <c r="AJ1163" s="3"/>
      <c r="AK1163" s="3"/>
    </row>
    <row r="1164" spans="1:37" ht="12.75" customHeight="1" x14ac:dyDescent="0.2">
      <c r="A1164" s="14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4"/>
      <c r="Y1164" s="4"/>
      <c r="Z1164" s="4"/>
      <c r="AA1164" s="4"/>
      <c r="AB1164" s="4"/>
      <c r="AC1164" s="4"/>
      <c r="AD1164" s="4"/>
      <c r="AE1164" s="4"/>
      <c r="AF1164" s="3"/>
      <c r="AG1164" s="3"/>
      <c r="AH1164" s="3"/>
      <c r="AI1164" s="3"/>
      <c r="AJ1164" s="3"/>
      <c r="AK1164" s="3"/>
    </row>
    <row r="1165" spans="1:37" ht="12.75" customHeight="1" x14ac:dyDescent="0.2">
      <c r="A1165" s="14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4"/>
      <c r="Y1165" s="4"/>
      <c r="Z1165" s="4"/>
      <c r="AA1165" s="4"/>
      <c r="AB1165" s="4"/>
      <c r="AC1165" s="4"/>
      <c r="AD1165" s="4"/>
      <c r="AE1165" s="4"/>
      <c r="AF1165" s="3"/>
      <c r="AG1165" s="3"/>
      <c r="AH1165" s="3"/>
      <c r="AI1165" s="3"/>
      <c r="AJ1165" s="3"/>
      <c r="AK1165" s="3"/>
    </row>
    <row r="1166" spans="1:37" ht="12.75" customHeight="1" x14ac:dyDescent="0.2">
      <c r="A1166" s="14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4"/>
      <c r="Y1166" s="4"/>
      <c r="Z1166" s="4"/>
      <c r="AA1166" s="4"/>
      <c r="AB1166" s="4"/>
      <c r="AC1166" s="4"/>
      <c r="AD1166" s="4"/>
      <c r="AE1166" s="4"/>
      <c r="AF1166" s="3"/>
      <c r="AG1166" s="3"/>
      <c r="AH1166" s="3"/>
      <c r="AI1166" s="3"/>
      <c r="AJ1166" s="3"/>
      <c r="AK1166" s="3"/>
    </row>
    <row r="1167" spans="1:37" ht="12.75" customHeight="1" x14ac:dyDescent="0.2">
      <c r="A1167" s="14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4"/>
      <c r="Y1167" s="4"/>
      <c r="Z1167" s="4"/>
      <c r="AA1167" s="4"/>
      <c r="AB1167" s="4"/>
      <c r="AC1167" s="4"/>
      <c r="AD1167" s="4"/>
      <c r="AE1167" s="4"/>
      <c r="AF1167" s="3"/>
      <c r="AG1167" s="3"/>
      <c r="AH1167" s="3"/>
      <c r="AI1167" s="3"/>
      <c r="AJ1167" s="3"/>
      <c r="AK1167" s="3"/>
    </row>
    <row r="1168" spans="1:37" ht="12.75" customHeight="1" x14ac:dyDescent="0.2">
      <c r="A1168" s="14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4"/>
      <c r="Y1168" s="4"/>
      <c r="Z1168" s="4"/>
      <c r="AA1168" s="4"/>
      <c r="AB1168" s="4"/>
      <c r="AC1168" s="4"/>
      <c r="AD1168" s="4"/>
      <c r="AE1168" s="4"/>
      <c r="AF1168" s="3"/>
      <c r="AG1168" s="3"/>
      <c r="AH1168" s="3"/>
      <c r="AI1168" s="3"/>
      <c r="AJ1168" s="3"/>
      <c r="AK1168" s="3"/>
    </row>
    <row r="1169" spans="1:37" ht="12.75" customHeight="1" x14ac:dyDescent="0.2">
      <c r="A1169" s="14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4"/>
      <c r="Y1169" s="4"/>
      <c r="Z1169" s="4"/>
      <c r="AA1169" s="4"/>
      <c r="AB1169" s="4"/>
      <c r="AC1169" s="4"/>
      <c r="AD1169" s="4"/>
      <c r="AE1169" s="4"/>
      <c r="AF1169" s="3"/>
      <c r="AG1169" s="3"/>
      <c r="AH1169" s="3"/>
      <c r="AI1169" s="3"/>
      <c r="AJ1169" s="3"/>
      <c r="AK1169" s="3"/>
    </row>
    <row r="1170" spans="1:37" ht="12.75" customHeight="1" x14ac:dyDescent="0.2">
      <c r="A1170" s="14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4"/>
      <c r="Y1170" s="4"/>
      <c r="Z1170" s="4"/>
      <c r="AA1170" s="4"/>
      <c r="AB1170" s="4"/>
      <c r="AC1170" s="4"/>
      <c r="AD1170" s="4"/>
      <c r="AE1170" s="4"/>
      <c r="AF1170" s="3"/>
      <c r="AG1170" s="3"/>
      <c r="AH1170" s="3"/>
      <c r="AI1170" s="3"/>
      <c r="AJ1170" s="3"/>
      <c r="AK1170" s="3"/>
    </row>
    <row r="1171" spans="1:37" ht="12.75" customHeight="1" x14ac:dyDescent="0.2">
      <c r="A1171" s="14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4"/>
      <c r="Y1171" s="4"/>
      <c r="Z1171" s="4"/>
      <c r="AA1171" s="4"/>
      <c r="AB1171" s="4"/>
      <c r="AC1171" s="4"/>
      <c r="AD1171" s="4"/>
      <c r="AE1171" s="4"/>
      <c r="AF1171" s="3"/>
      <c r="AG1171" s="3"/>
      <c r="AH1171" s="3"/>
      <c r="AI1171" s="3"/>
      <c r="AJ1171" s="3"/>
      <c r="AK1171" s="3"/>
    </row>
    <row r="1172" spans="1:37" ht="12.75" customHeight="1" x14ac:dyDescent="0.2">
      <c r="A1172" s="14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4"/>
      <c r="Y1172" s="4"/>
      <c r="Z1172" s="4"/>
      <c r="AA1172" s="4"/>
      <c r="AB1172" s="4"/>
      <c r="AC1172" s="4"/>
      <c r="AD1172" s="4"/>
      <c r="AE1172" s="4"/>
      <c r="AF1172" s="3"/>
      <c r="AG1172" s="3"/>
      <c r="AH1172" s="3"/>
      <c r="AI1172" s="3"/>
      <c r="AJ1172" s="3"/>
      <c r="AK1172" s="3"/>
    </row>
    <row r="1173" spans="1:37" ht="12.75" customHeight="1" x14ac:dyDescent="0.2">
      <c r="A1173" s="14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4"/>
      <c r="Y1173" s="4"/>
      <c r="Z1173" s="4"/>
      <c r="AA1173" s="4"/>
      <c r="AB1173" s="4"/>
      <c r="AC1173" s="4"/>
      <c r="AD1173" s="4"/>
      <c r="AE1173" s="4"/>
      <c r="AF1173" s="3"/>
      <c r="AG1173" s="3"/>
      <c r="AH1173" s="3"/>
      <c r="AI1173" s="3"/>
      <c r="AJ1173" s="3"/>
      <c r="AK1173" s="3"/>
    </row>
    <row r="1174" spans="1:37" ht="12.75" customHeight="1" x14ac:dyDescent="0.2">
      <c r="A1174" s="14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4"/>
      <c r="Y1174" s="4"/>
      <c r="Z1174" s="4"/>
      <c r="AA1174" s="4"/>
      <c r="AB1174" s="4"/>
      <c r="AC1174" s="4"/>
      <c r="AD1174" s="4"/>
      <c r="AE1174" s="4"/>
      <c r="AF1174" s="3"/>
      <c r="AG1174" s="3"/>
      <c r="AH1174" s="3"/>
      <c r="AI1174" s="3"/>
      <c r="AJ1174" s="3"/>
      <c r="AK1174" s="3"/>
    </row>
    <row r="1175" spans="1:37" ht="12.75" customHeight="1" x14ac:dyDescent="0.2">
      <c r="A1175" s="14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4"/>
      <c r="Y1175" s="4"/>
      <c r="Z1175" s="4"/>
      <c r="AA1175" s="4"/>
      <c r="AB1175" s="4"/>
      <c r="AC1175" s="4"/>
      <c r="AD1175" s="4"/>
      <c r="AE1175" s="4"/>
      <c r="AF1175" s="3"/>
      <c r="AG1175" s="3"/>
      <c r="AH1175" s="3"/>
      <c r="AI1175" s="3"/>
      <c r="AJ1175" s="3"/>
      <c r="AK1175" s="3"/>
    </row>
    <row r="1176" spans="1:37" ht="12.75" customHeight="1" x14ac:dyDescent="0.2">
      <c r="A1176" s="14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4"/>
      <c r="Y1176" s="4"/>
      <c r="Z1176" s="4"/>
      <c r="AA1176" s="4"/>
      <c r="AB1176" s="4"/>
      <c r="AC1176" s="4"/>
      <c r="AD1176" s="4"/>
      <c r="AE1176" s="4"/>
      <c r="AF1176" s="3"/>
      <c r="AG1176" s="3"/>
      <c r="AH1176" s="3"/>
      <c r="AI1176" s="3"/>
      <c r="AJ1176" s="3"/>
      <c r="AK1176" s="3"/>
    </row>
    <row r="1177" spans="1:37" ht="12.75" customHeight="1" x14ac:dyDescent="0.2">
      <c r="A1177" s="14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4"/>
      <c r="Y1177" s="4"/>
      <c r="Z1177" s="4"/>
      <c r="AA1177" s="4"/>
      <c r="AB1177" s="4"/>
      <c r="AC1177" s="4"/>
      <c r="AD1177" s="4"/>
      <c r="AE1177" s="4"/>
      <c r="AF1177" s="3"/>
      <c r="AG1177" s="3"/>
      <c r="AH1177" s="3"/>
      <c r="AI1177" s="3"/>
      <c r="AJ1177" s="3"/>
      <c r="AK1177" s="3"/>
    </row>
    <row r="1178" spans="1:37" ht="12.75" customHeight="1" x14ac:dyDescent="0.2">
      <c r="A1178" s="14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4"/>
      <c r="Y1178" s="4"/>
      <c r="Z1178" s="4"/>
      <c r="AA1178" s="4"/>
      <c r="AB1178" s="4"/>
      <c r="AC1178" s="4"/>
      <c r="AD1178" s="4"/>
      <c r="AE1178" s="4"/>
      <c r="AF1178" s="3"/>
      <c r="AG1178" s="3"/>
      <c r="AH1178" s="3"/>
      <c r="AI1178" s="3"/>
      <c r="AJ1178" s="3"/>
      <c r="AK1178" s="3"/>
    </row>
    <row r="1179" spans="1:37" ht="12.75" customHeight="1" x14ac:dyDescent="0.2">
      <c r="A1179" s="14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4"/>
      <c r="Y1179" s="4"/>
      <c r="Z1179" s="4"/>
      <c r="AA1179" s="4"/>
      <c r="AB1179" s="4"/>
      <c r="AC1179" s="4"/>
      <c r="AD1179" s="4"/>
      <c r="AE1179" s="4"/>
      <c r="AF1179" s="3"/>
      <c r="AG1179" s="3"/>
      <c r="AH1179" s="3"/>
      <c r="AI1179" s="3"/>
      <c r="AJ1179" s="3"/>
      <c r="AK1179" s="3"/>
    </row>
    <row r="1180" spans="1:37" ht="12.75" customHeight="1" x14ac:dyDescent="0.2">
      <c r="A1180" s="14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4"/>
      <c r="Y1180" s="4"/>
      <c r="Z1180" s="4"/>
      <c r="AA1180" s="4"/>
      <c r="AB1180" s="4"/>
      <c r="AC1180" s="4"/>
      <c r="AD1180" s="4"/>
      <c r="AE1180" s="4"/>
      <c r="AF1180" s="3"/>
      <c r="AG1180" s="3"/>
      <c r="AH1180" s="3"/>
      <c r="AI1180" s="3"/>
      <c r="AJ1180" s="3"/>
      <c r="AK1180" s="3"/>
    </row>
    <row r="1181" spans="1:37" ht="12.75" customHeight="1" x14ac:dyDescent="0.2">
      <c r="A1181" s="14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4"/>
      <c r="Y1181" s="4"/>
      <c r="Z1181" s="4"/>
      <c r="AA1181" s="4"/>
      <c r="AB1181" s="4"/>
      <c r="AC1181" s="4"/>
      <c r="AD1181" s="4"/>
      <c r="AE1181" s="4"/>
      <c r="AF1181" s="3"/>
      <c r="AG1181" s="3"/>
      <c r="AH1181" s="3"/>
      <c r="AI1181" s="3"/>
      <c r="AJ1181" s="3"/>
      <c r="AK1181" s="3"/>
    </row>
    <row r="1182" spans="1:37" ht="12.75" customHeight="1" x14ac:dyDescent="0.2">
      <c r="A1182" s="14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4"/>
      <c r="Y1182" s="4"/>
      <c r="Z1182" s="4"/>
      <c r="AA1182" s="4"/>
      <c r="AB1182" s="4"/>
      <c r="AC1182" s="4"/>
      <c r="AD1182" s="4"/>
      <c r="AE1182" s="4"/>
      <c r="AF1182" s="3"/>
      <c r="AG1182" s="3"/>
      <c r="AH1182" s="3"/>
      <c r="AI1182" s="3"/>
      <c r="AJ1182" s="3"/>
      <c r="AK1182" s="3"/>
    </row>
    <row r="1183" spans="1:37" ht="12.75" customHeight="1" x14ac:dyDescent="0.2">
      <c r="A1183" s="14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4"/>
      <c r="Y1183" s="4"/>
      <c r="Z1183" s="4"/>
      <c r="AA1183" s="4"/>
      <c r="AB1183" s="4"/>
      <c r="AC1183" s="4"/>
      <c r="AD1183" s="4"/>
      <c r="AE1183" s="4"/>
      <c r="AF1183" s="3"/>
      <c r="AG1183" s="3"/>
      <c r="AH1183" s="3"/>
      <c r="AI1183" s="3"/>
      <c r="AJ1183" s="3"/>
      <c r="AK1183" s="3"/>
    </row>
    <row r="1184" spans="1:37" ht="12.75" customHeight="1" x14ac:dyDescent="0.2">
      <c r="A1184" s="14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4"/>
      <c r="Y1184" s="4"/>
      <c r="Z1184" s="4"/>
      <c r="AA1184" s="4"/>
      <c r="AB1184" s="4"/>
      <c r="AC1184" s="4"/>
      <c r="AD1184" s="4"/>
      <c r="AE1184" s="4"/>
      <c r="AF1184" s="3"/>
      <c r="AG1184" s="3"/>
      <c r="AH1184" s="3"/>
      <c r="AI1184" s="3"/>
      <c r="AJ1184" s="3"/>
      <c r="AK1184" s="3"/>
    </row>
    <row r="1185" spans="1:37" ht="12.75" customHeight="1" x14ac:dyDescent="0.2">
      <c r="A1185" s="14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4"/>
      <c r="Y1185" s="4"/>
      <c r="Z1185" s="4"/>
      <c r="AA1185" s="4"/>
      <c r="AB1185" s="4"/>
      <c r="AC1185" s="4"/>
      <c r="AD1185" s="4"/>
      <c r="AE1185" s="4"/>
      <c r="AF1185" s="3"/>
      <c r="AG1185" s="3"/>
      <c r="AH1185" s="3"/>
      <c r="AI1185" s="3"/>
      <c r="AJ1185" s="3"/>
      <c r="AK1185" s="3"/>
    </row>
    <row r="1186" spans="1:37" ht="12.75" customHeight="1" x14ac:dyDescent="0.2">
      <c r="A1186" s="14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4"/>
      <c r="Y1186" s="4"/>
      <c r="Z1186" s="4"/>
      <c r="AA1186" s="4"/>
      <c r="AB1186" s="4"/>
      <c r="AC1186" s="4"/>
      <c r="AD1186" s="4"/>
      <c r="AE1186" s="4"/>
      <c r="AF1186" s="3"/>
      <c r="AG1186" s="3"/>
      <c r="AH1186" s="3"/>
      <c r="AI1186" s="3"/>
      <c r="AJ1186" s="3"/>
      <c r="AK1186" s="3"/>
    </row>
    <row r="1187" spans="1:37" ht="12.75" customHeight="1" x14ac:dyDescent="0.2">
      <c r="A1187" s="14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4"/>
      <c r="Y1187" s="4"/>
      <c r="Z1187" s="4"/>
      <c r="AA1187" s="4"/>
      <c r="AB1187" s="4"/>
      <c r="AC1187" s="4"/>
      <c r="AD1187" s="4"/>
      <c r="AE1187" s="4"/>
      <c r="AF1187" s="3"/>
      <c r="AG1187" s="3"/>
      <c r="AH1187" s="3"/>
      <c r="AI1187" s="3"/>
      <c r="AJ1187" s="3"/>
      <c r="AK1187" s="3"/>
    </row>
    <row r="1188" spans="1:37" ht="12.75" customHeight="1" x14ac:dyDescent="0.2">
      <c r="A1188" s="14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4"/>
      <c r="Y1188" s="4"/>
      <c r="Z1188" s="4"/>
      <c r="AA1188" s="4"/>
      <c r="AB1188" s="4"/>
      <c r="AC1188" s="4"/>
      <c r="AD1188" s="4"/>
      <c r="AE1188" s="4"/>
      <c r="AF1188" s="3"/>
      <c r="AG1188" s="3"/>
      <c r="AH1188" s="3"/>
      <c r="AI1188" s="3"/>
      <c r="AJ1188" s="3"/>
      <c r="AK1188" s="3"/>
    </row>
    <row r="1189" spans="1:37" ht="12.75" customHeight="1" x14ac:dyDescent="0.2">
      <c r="A1189" s="14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4"/>
      <c r="Y1189" s="4"/>
      <c r="Z1189" s="4"/>
      <c r="AA1189" s="4"/>
      <c r="AB1189" s="4"/>
      <c r="AC1189" s="4"/>
      <c r="AD1189" s="4"/>
      <c r="AE1189" s="4"/>
      <c r="AF1189" s="3"/>
      <c r="AG1189" s="3"/>
      <c r="AH1189" s="3"/>
      <c r="AI1189" s="3"/>
      <c r="AJ1189" s="3"/>
      <c r="AK1189" s="3"/>
    </row>
    <row r="1190" spans="1:37" ht="12.75" customHeight="1" x14ac:dyDescent="0.2">
      <c r="A1190" s="14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4"/>
      <c r="Y1190" s="4"/>
      <c r="Z1190" s="4"/>
      <c r="AA1190" s="4"/>
      <c r="AB1190" s="4"/>
      <c r="AC1190" s="4"/>
      <c r="AD1190" s="4"/>
      <c r="AE1190" s="4"/>
      <c r="AF1190" s="3"/>
      <c r="AG1190" s="3"/>
      <c r="AH1190" s="3"/>
      <c r="AI1190" s="3"/>
      <c r="AJ1190" s="3"/>
      <c r="AK1190" s="3"/>
    </row>
    <row r="1191" spans="1:37" ht="12.75" customHeight="1" x14ac:dyDescent="0.2">
      <c r="A1191" s="14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4"/>
      <c r="Y1191" s="4"/>
      <c r="Z1191" s="4"/>
      <c r="AA1191" s="4"/>
      <c r="AB1191" s="4"/>
      <c r="AC1191" s="4"/>
      <c r="AD1191" s="4"/>
      <c r="AE1191" s="4"/>
      <c r="AF1191" s="3"/>
      <c r="AG1191" s="3"/>
      <c r="AH1191" s="3"/>
      <c r="AI1191" s="3"/>
      <c r="AJ1191" s="3"/>
      <c r="AK1191" s="3"/>
    </row>
    <row r="1192" spans="1:37" ht="12.75" customHeight="1" x14ac:dyDescent="0.2">
      <c r="A1192" s="14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4"/>
      <c r="Y1192" s="4"/>
      <c r="Z1192" s="4"/>
      <c r="AA1192" s="4"/>
      <c r="AB1192" s="4"/>
      <c r="AC1192" s="4"/>
      <c r="AD1192" s="4"/>
      <c r="AE1192" s="4"/>
      <c r="AF1192" s="3"/>
      <c r="AG1192" s="3"/>
      <c r="AH1192" s="3"/>
      <c r="AI1192" s="3"/>
      <c r="AJ1192" s="3"/>
      <c r="AK1192" s="3"/>
    </row>
    <row r="1193" spans="1:37" ht="12.75" customHeight="1" x14ac:dyDescent="0.2">
      <c r="A1193" s="14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4"/>
      <c r="Y1193" s="4"/>
      <c r="Z1193" s="4"/>
      <c r="AA1193" s="4"/>
      <c r="AB1193" s="4"/>
      <c r="AC1193" s="4"/>
      <c r="AD1193" s="4"/>
      <c r="AE1193" s="4"/>
      <c r="AF1193" s="3"/>
      <c r="AG1193" s="3"/>
      <c r="AH1193" s="3"/>
      <c r="AI1193" s="3"/>
      <c r="AJ1193" s="3"/>
      <c r="AK1193" s="3"/>
    </row>
    <row r="1194" spans="1:37" ht="12.75" customHeight="1" x14ac:dyDescent="0.2">
      <c r="A1194" s="14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4"/>
      <c r="Y1194" s="4"/>
      <c r="Z1194" s="4"/>
      <c r="AA1194" s="4"/>
      <c r="AB1194" s="4"/>
      <c r="AC1194" s="4"/>
      <c r="AD1194" s="4"/>
      <c r="AE1194" s="4"/>
      <c r="AF1194" s="3"/>
      <c r="AG1194" s="3"/>
      <c r="AH1194" s="3"/>
      <c r="AI1194" s="3"/>
      <c r="AJ1194" s="3"/>
      <c r="AK1194" s="3"/>
    </row>
    <row r="1195" spans="1:37" ht="12.75" customHeight="1" x14ac:dyDescent="0.2">
      <c r="A1195" s="14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4"/>
      <c r="Y1195" s="4"/>
      <c r="Z1195" s="4"/>
      <c r="AA1195" s="4"/>
      <c r="AB1195" s="4"/>
      <c r="AC1195" s="4"/>
      <c r="AD1195" s="4"/>
      <c r="AE1195" s="4"/>
      <c r="AF1195" s="3"/>
      <c r="AG1195" s="3"/>
      <c r="AH1195" s="3"/>
      <c r="AI1195" s="3"/>
      <c r="AJ1195" s="3"/>
      <c r="AK1195" s="3"/>
    </row>
    <row r="1196" spans="1:37" ht="12.75" customHeight="1" x14ac:dyDescent="0.2">
      <c r="A1196" s="14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4"/>
      <c r="Y1196" s="4"/>
      <c r="Z1196" s="4"/>
      <c r="AA1196" s="4"/>
      <c r="AB1196" s="4"/>
      <c r="AC1196" s="4"/>
      <c r="AD1196" s="4"/>
      <c r="AE1196" s="4"/>
      <c r="AF1196" s="3"/>
      <c r="AG1196" s="3"/>
      <c r="AH1196" s="3"/>
      <c r="AI1196" s="3"/>
      <c r="AJ1196" s="3"/>
      <c r="AK1196" s="3"/>
    </row>
    <row r="1197" spans="1:37" ht="12.75" customHeight="1" x14ac:dyDescent="0.2">
      <c r="A1197" s="14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4"/>
      <c r="Y1197" s="4"/>
      <c r="Z1197" s="4"/>
      <c r="AA1197" s="4"/>
      <c r="AB1197" s="4"/>
      <c r="AC1197" s="4"/>
      <c r="AD1197" s="4"/>
      <c r="AE1197" s="4"/>
      <c r="AF1197" s="3"/>
      <c r="AG1197" s="3"/>
      <c r="AH1197" s="3"/>
      <c r="AI1197" s="3"/>
      <c r="AJ1197" s="3"/>
      <c r="AK1197" s="3"/>
    </row>
    <row r="1198" spans="1:37" ht="12.75" customHeight="1" x14ac:dyDescent="0.2">
      <c r="A1198" s="14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4"/>
      <c r="Y1198" s="4"/>
      <c r="Z1198" s="4"/>
      <c r="AA1198" s="4"/>
      <c r="AB1198" s="4"/>
      <c r="AC1198" s="4"/>
      <c r="AD1198" s="4"/>
      <c r="AE1198" s="4"/>
      <c r="AF1198" s="3"/>
      <c r="AG1198" s="3"/>
      <c r="AH1198" s="3"/>
      <c r="AI1198" s="3"/>
      <c r="AJ1198" s="3"/>
      <c r="AK1198" s="3"/>
    </row>
    <row r="1199" spans="1:37" ht="12.75" customHeight="1" x14ac:dyDescent="0.2">
      <c r="A1199" s="14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4"/>
      <c r="Y1199" s="4"/>
      <c r="Z1199" s="4"/>
      <c r="AA1199" s="4"/>
      <c r="AB1199" s="4"/>
      <c r="AC1199" s="4"/>
      <c r="AD1199" s="4"/>
      <c r="AE1199" s="4"/>
      <c r="AF1199" s="3"/>
      <c r="AG1199" s="3"/>
      <c r="AH1199" s="3"/>
      <c r="AI1199" s="3"/>
      <c r="AJ1199" s="3"/>
      <c r="AK1199" s="3"/>
    </row>
    <row r="1200" spans="1:37" ht="12.75" customHeight="1" x14ac:dyDescent="0.2">
      <c r="A1200" s="14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4"/>
      <c r="Y1200" s="4"/>
      <c r="Z1200" s="4"/>
      <c r="AA1200" s="4"/>
      <c r="AB1200" s="4"/>
      <c r="AC1200" s="4"/>
      <c r="AD1200" s="4"/>
      <c r="AE1200" s="4"/>
      <c r="AF1200" s="3"/>
      <c r="AG1200" s="3"/>
      <c r="AH1200" s="3"/>
      <c r="AI1200" s="3"/>
      <c r="AJ1200" s="3"/>
      <c r="AK1200" s="3"/>
    </row>
    <row r="1201" spans="1:37" ht="12.75" customHeight="1" x14ac:dyDescent="0.2">
      <c r="A1201" s="14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4"/>
      <c r="Y1201" s="4"/>
      <c r="Z1201" s="4"/>
      <c r="AA1201" s="4"/>
      <c r="AB1201" s="4"/>
      <c r="AC1201" s="4"/>
      <c r="AD1201" s="4"/>
      <c r="AE1201" s="4"/>
      <c r="AF1201" s="3"/>
      <c r="AG1201" s="3"/>
      <c r="AH1201" s="3"/>
      <c r="AI1201" s="3"/>
      <c r="AJ1201" s="3"/>
      <c r="AK1201" s="3"/>
    </row>
    <row r="1202" spans="1:37" ht="12.75" customHeight="1" x14ac:dyDescent="0.2">
      <c r="A1202" s="14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4"/>
      <c r="Y1202" s="4"/>
      <c r="Z1202" s="4"/>
      <c r="AA1202" s="4"/>
      <c r="AB1202" s="4"/>
      <c r="AC1202" s="4"/>
      <c r="AD1202" s="4"/>
      <c r="AE1202" s="4"/>
      <c r="AF1202" s="3"/>
      <c r="AG1202" s="3"/>
      <c r="AH1202" s="3"/>
      <c r="AI1202" s="3"/>
      <c r="AJ1202" s="3"/>
      <c r="AK1202" s="3"/>
    </row>
    <row r="1203" spans="1:37" ht="12.75" customHeight="1" x14ac:dyDescent="0.2">
      <c r="A1203" s="14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4"/>
      <c r="Y1203" s="4"/>
      <c r="Z1203" s="4"/>
      <c r="AA1203" s="4"/>
      <c r="AB1203" s="4"/>
      <c r="AC1203" s="4"/>
      <c r="AD1203" s="4"/>
      <c r="AE1203" s="4"/>
      <c r="AF1203" s="3"/>
      <c r="AG1203" s="3"/>
      <c r="AH1203" s="3"/>
      <c r="AI1203" s="3"/>
      <c r="AJ1203" s="3"/>
      <c r="AK1203" s="3"/>
    </row>
    <row r="1204" spans="1:37" ht="12.75" customHeight="1" x14ac:dyDescent="0.2">
      <c r="A1204" s="14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4"/>
      <c r="Y1204" s="4"/>
      <c r="Z1204" s="4"/>
      <c r="AA1204" s="4"/>
      <c r="AB1204" s="4"/>
      <c r="AC1204" s="4"/>
      <c r="AD1204" s="4"/>
      <c r="AE1204" s="4"/>
      <c r="AF1204" s="3"/>
      <c r="AG1204" s="3"/>
      <c r="AH1204" s="3"/>
      <c r="AI1204" s="3"/>
      <c r="AJ1204" s="3"/>
      <c r="AK1204" s="3"/>
    </row>
    <row r="1205" spans="1:37" ht="12.75" customHeight="1" x14ac:dyDescent="0.2">
      <c r="A1205" s="14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4"/>
      <c r="Y1205" s="4"/>
      <c r="Z1205" s="4"/>
      <c r="AA1205" s="4"/>
      <c r="AB1205" s="4"/>
      <c r="AC1205" s="4"/>
      <c r="AD1205" s="4"/>
      <c r="AE1205" s="4"/>
      <c r="AF1205" s="3"/>
      <c r="AG1205" s="3"/>
      <c r="AH1205" s="3"/>
      <c r="AI1205" s="3"/>
      <c r="AJ1205" s="3"/>
      <c r="AK1205" s="3"/>
    </row>
    <row r="1206" spans="1:37" ht="12.75" customHeight="1" x14ac:dyDescent="0.2">
      <c r="A1206" s="14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4"/>
      <c r="Y1206" s="4"/>
      <c r="Z1206" s="4"/>
      <c r="AA1206" s="4"/>
      <c r="AB1206" s="4"/>
      <c r="AC1206" s="4"/>
      <c r="AD1206" s="4"/>
      <c r="AE1206" s="4"/>
      <c r="AF1206" s="3"/>
      <c r="AG1206" s="3"/>
      <c r="AH1206" s="3"/>
      <c r="AI1206" s="3"/>
      <c r="AJ1206" s="3"/>
      <c r="AK1206" s="3"/>
    </row>
    <row r="1207" spans="1:37" ht="12.75" customHeight="1" x14ac:dyDescent="0.2">
      <c r="A1207" s="14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4"/>
      <c r="Y1207" s="4"/>
      <c r="Z1207" s="4"/>
      <c r="AA1207" s="4"/>
      <c r="AB1207" s="4"/>
      <c r="AC1207" s="4"/>
      <c r="AD1207" s="4"/>
      <c r="AE1207" s="4"/>
      <c r="AF1207" s="3"/>
      <c r="AG1207" s="3"/>
      <c r="AH1207" s="3"/>
      <c r="AI1207" s="3"/>
      <c r="AJ1207" s="3"/>
      <c r="AK1207" s="3"/>
    </row>
    <row r="1208" spans="1:37" ht="12.75" customHeight="1" x14ac:dyDescent="0.2">
      <c r="A1208" s="14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4"/>
      <c r="Y1208" s="4"/>
      <c r="Z1208" s="4"/>
      <c r="AA1208" s="4"/>
      <c r="AB1208" s="4"/>
      <c r="AC1208" s="4"/>
      <c r="AD1208" s="4"/>
      <c r="AE1208" s="4"/>
      <c r="AF1208" s="3"/>
      <c r="AG1208" s="3"/>
      <c r="AH1208" s="3"/>
      <c r="AI1208" s="3"/>
      <c r="AJ1208" s="3"/>
      <c r="AK1208" s="3"/>
    </row>
    <row r="1209" spans="1:37" ht="12.75" customHeight="1" x14ac:dyDescent="0.2">
      <c r="A1209" s="14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4"/>
      <c r="Y1209" s="4"/>
      <c r="Z1209" s="4"/>
      <c r="AA1209" s="4"/>
      <c r="AB1209" s="4"/>
      <c r="AC1209" s="4"/>
      <c r="AD1209" s="4"/>
      <c r="AE1209" s="4"/>
      <c r="AF1209" s="3"/>
      <c r="AG1209" s="3"/>
      <c r="AH1209" s="3"/>
      <c r="AI1209" s="3"/>
      <c r="AJ1209" s="3"/>
      <c r="AK1209" s="3"/>
    </row>
  </sheetData>
  <mergeCells count="3">
    <mergeCell ref="A1:K1"/>
    <mergeCell ref="H7:K7"/>
    <mergeCell ref="AH8:AJ8"/>
  </mergeCells>
  <pageMargins left="0.39370078740157483" right="0.39370078740157483" top="0.39370078740157483" bottom="0.78740157480314965" header="0" footer="0"/>
  <pageSetup paperSize="9" orientation="landscape"/>
  <headerFooter>
    <oddFooter>&amp;L  Quality Department N°T20A04(EN)0 e-top&amp;R&amp;P /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122F60912C042418AA033B97861552D" ma:contentTypeVersion="15" ma:contentTypeDescription="Crie um novo documento." ma:contentTypeScope="" ma:versionID="c2a9af5e61b756326f08c3ac31c86e69">
  <xsd:schema xmlns:xsd="http://www.w3.org/2001/XMLSchema" xmlns:xs="http://www.w3.org/2001/XMLSchema" xmlns:p="http://schemas.microsoft.com/office/2006/metadata/properties" xmlns:ns2="758183a0-6fc4-48c4-b601-f7e0612905cd" xmlns:ns3="e8554688-c8bf-47a4-9df1-b04021560c14" targetNamespace="http://schemas.microsoft.com/office/2006/metadata/properties" ma:root="true" ma:fieldsID="06fb6f2d0d3ddf1d4110191bbb863aa3" ns2:_="" ns3:_="">
    <xsd:import namespace="758183a0-6fc4-48c4-b601-f7e0612905cd"/>
    <xsd:import namespace="e8554688-c8bf-47a4-9df1-b04021560c14"/>
    <xsd:element name="properties">
      <xsd:complexType>
        <xsd:sequence>
          <xsd:element name="documentManagement">
            <xsd:complexType>
              <xsd:all>
                <xsd:element ref="ns2:Nome_x0020_completo"/>
                <xsd:element ref="ns2:Qual_x0020_a_x0020_turma_x003f_"/>
                <xsd:element ref="ns2:Quais_x0020_os_x0020_dias_x0020_que_x0020_voc_x00ea__x0020_faz_x0020_o_x0020_curso_x0020_aqui_x0020_no_x0020_SENAI_x003f_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8183a0-6fc4-48c4-b601-f7e0612905cd" elementFormDefault="qualified">
    <xsd:import namespace="http://schemas.microsoft.com/office/2006/documentManagement/types"/>
    <xsd:import namespace="http://schemas.microsoft.com/office/infopath/2007/PartnerControls"/>
    <xsd:element name="Nome_x0020_completo" ma:index="8" ma:displayName="Nome completo" ma:internalName="Nome_x0020_completo">
      <xsd:simpleType>
        <xsd:restriction base="dms:Text">
          <xsd:maxLength value="255"/>
        </xsd:restriction>
      </xsd:simpleType>
    </xsd:element>
    <xsd:element name="Qual_x0020_a_x0020_turma_x003f_" ma:index="9" ma:displayName="Qual a turma?" ma:internalName="Qual_x0020_a_x0020_turma_x003f_">
      <xsd:simpleType>
        <xsd:restriction base="dms:Text">
          <xsd:maxLength value="255"/>
        </xsd:restriction>
      </xsd:simpleType>
    </xsd:element>
    <xsd:element name="Quais_x0020_os_x0020_dias_x0020_que_x0020_voc_x00ea__x0020_faz_x0020_o_x0020_curso_x0020_aqui_x0020_no_x0020_SENAI_x003f_" ma:index="10" ma:displayName="Quais os dias que você faz o curso aqui no SENAI?" ma:internalName="Quais_x0020_os_x0020_dias_x0020_que_x0020_voc_x00ea__x0020_faz_x0020_o_x0020_curso_x0020_aqui_x0020_no_x0020_SENAI_x003f_">
      <xsd:simpleType>
        <xsd:restriction base="dms:Choice">
          <xsd:enumeration value="Segundas"/>
          <xsd:enumeration value="Terças"/>
          <xsd:enumeration value="Quartas"/>
          <xsd:enumeration value="Quintas"/>
          <xsd:enumeration value="Sextas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3bb9e50e-ce22-4fee-9d7c-9dfda410bf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554688-c8bf-47a4-9df1-b04021560c1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3041407-5225-4e02-9881-de486d905dd7}" ma:internalName="TaxCatchAll" ma:showField="CatchAllData" ma:web="e8554688-c8bf-47a4-9df1-b04021560c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554688-c8bf-47a4-9df1-b04021560c14" xsi:nil="true"/>
    <Nome_x0020_completo xmlns="758183a0-6fc4-48c4-b601-f7e0612905cd"/>
    <lcf76f155ced4ddcb4097134ff3c332f xmlns="758183a0-6fc4-48c4-b601-f7e0612905cd">
      <Terms xmlns="http://schemas.microsoft.com/office/infopath/2007/PartnerControls"/>
    </lcf76f155ced4ddcb4097134ff3c332f>
    <Quais_x0020_os_x0020_dias_x0020_que_x0020_voc_x00ea__x0020_faz_x0020_o_x0020_curso_x0020_aqui_x0020_no_x0020_SENAI_x003f_ xmlns="758183a0-6fc4-48c4-b601-f7e0612905cd"/>
    <Qual_x0020_a_x0020_turma_x003f_ xmlns="758183a0-6fc4-48c4-b601-f7e0612905cd"/>
  </documentManagement>
</p:properties>
</file>

<file path=customXml/itemProps1.xml><?xml version="1.0" encoding="utf-8"?>
<ds:datastoreItem xmlns:ds="http://schemas.openxmlformats.org/officeDocument/2006/customXml" ds:itemID="{E70F3DB6-5213-4511-8FED-C09F1ED47279}"/>
</file>

<file path=customXml/itemProps2.xml><?xml version="1.0" encoding="utf-8"?>
<ds:datastoreItem xmlns:ds="http://schemas.openxmlformats.org/officeDocument/2006/customXml" ds:itemID="{AFF63E66-89D1-40F4-A162-A7B1B655DB14}"/>
</file>

<file path=customXml/itemProps3.xml><?xml version="1.0" encoding="utf-8"?>
<ds:datastoreItem xmlns:ds="http://schemas.openxmlformats.org/officeDocument/2006/customXml" ds:itemID="{E3828CDD-4E74-4E18-B7A3-94CE4A5632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Selo </vt:lpstr>
      <vt:lpstr>Normality test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Fabiana Dias Stoicov</dc:creator>
  <cp:keywords/>
  <dc:description/>
  <cp:lastModifiedBy>Rogerio Luciano de Sousa</cp:lastModifiedBy>
  <cp:revision/>
  <dcterms:created xsi:type="dcterms:W3CDTF">2026-08-18T17:58:47Z</dcterms:created>
  <dcterms:modified xsi:type="dcterms:W3CDTF">2026-10-05T15:49:22Z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0x0101004122F60912C042418AA033B97861552D</vt:lpwstr>
  </property>
</Properties>
</file>